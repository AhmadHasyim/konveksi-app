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OneDrive\Documents\File persiapan\admin gudang\"/>
    </mc:Choice>
  </mc:AlternateContent>
  <xr:revisionPtr revIDLastSave="0" documentId="13_ncr:1_{02E50B68-B24C-4BFC-A157-01A30A2FC747}" xr6:coauthVersionLast="47" xr6:coauthVersionMax="47" xr10:uidLastSave="{00000000-0000-0000-0000-000000000000}"/>
  <bookViews>
    <workbookView xWindow="-110" yWindow="-110" windowWidth="19420" windowHeight="10300" firstSheet="1" activeTab="3" xr2:uid="{00000000-000D-0000-FFFF-FFFF00000000}"/>
  </bookViews>
  <sheets>
    <sheet name="DATA" sheetId="8" r:id="rId1"/>
    <sheet name="BAHAN" sheetId="14" r:id="rId2"/>
    <sheet name="CUTTING NEW" sheetId="9" r:id="rId3"/>
    <sheet name="PENJAHIT" sheetId="13" r:id="rId4"/>
    <sheet name="CUTTING" sheetId="1" state="hidden" r:id="rId5"/>
    <sheet name="SO" sheetId="2" state="hidden" r:id="rId6"/>
    <sheet name="STOK" sheetId="3" state="hidden" r:id="rId7"/>
    <sheet name="KELUAR" sheetId="4" state="hidden" r:id="rId8"/>
    <sheet name="MASUK" sheetId="5" state="hidden" r:id="rId9"/>
  </sheets>
  <definedNames>
    <definedName name="_xlnm._FilterDatabase" localSheetId="7" hidden="1">KELUAR!$A$1:$E$89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4" l="1"/>
  <c r="G4" i="14"/>
  <c r="G5" i="14"/>
  <c r="G6" i="14"/>
  <c r="G7" i="14"/>
  <c r="G8" i="14"/>
  <c r="G9" i="14"/>
  <c r="G10" i="14"/>
  <c r="G11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G41" i="14"/>
  <c r="G42" i="14"/>
  <c r="G43" i="14"/>
  <c r="G44" i="14"/>
  <c r="G45" i="14"/>
  <c r="G46" i="14"/>
  <c r="G47" i="14"/>
  <c r="G48" i="14"/>
  <c r="G49" i="14"/>
  <c r="G50" i="14"/>
  <c r="G51" i="14"/>
  <c r="G52" i="14"/>
  <c r="G53" i="14"/>
  <c r="G54" i="14"/>
  <c r="G55" i="14"/>
  <c r="G56" i="14"/>
  <c r="G57" i="14"/>
  <c r="G58" i="14"/>
  <c r="G59" i="14"/>
  <c r="G60" i="14"/>
  <c r="G61" i="14"/>
  <c r="G62" i="14"/>
  <c r="G63" i="14"/>
  <c r="G64" i="14"/>
  <c r="G65" i="14"/>
  <c r="G66" i="14"/>
  <c r="G67" i="14"/>
  <c r="G68" i="14"/>
  <c r="G69" i="14"/>
  <c r="G70" i="14"/>
  <c r="G71" i="14"/>
  <c r="G72" i="14"/>
  <c r="G73" i="14"/>
  <c r="G74" i="14"/>
  <c r="G75" i="14"/>
  <c r="G76" i="14"/>
  <c r="G77" i="14"/>
  <c r="G78" i="14"/>
  <c r="G79" i="14"/>
  <c r="G80" i="14"/>
  <c r="G81" i="14"/>
  <c r="G82" i="14"/>
  <c r="G83" i="14"/>
  <c r="G84" i="14"/>
  <c r="G85" i="14"/>
  <c r="G86" i="14"/>
  <c r="G87" i="14"/>
  <c r="G88" i="14"/>
  <c r="G89" i="14"/>
  <c r="G90" i="14"/>
  <c r="G91" i="14"/>
  <c r="G92" i="14"/>
  <c r="G93" i="14"/>
  <c r="G94" i="14"/>
  <c r="G95" i="14"/>
  <c r="G96" i="14"/>
  <c r="G97" i="14"/>
  <c r="G98" i="14"/>
  <c r="G99" i="14"/>
  <c r="G100" i="14"/>
  <c r="G101" i="14"/>
  <c r="G102" i="14"/>
  <c r="G103" i="14"/>
  <c r="G104" i="14"/>
  <c r="G105" i="14"/>
  <c r="G106" i="14"/>
  <c r="G107" i="14"/>
  <c r="G108" i="14"/>
  <c r="G109" i="14"/>
  <c r="G110" i="14"/>
  <c r="G111" i="14"/>
  <c r="G112" i="14"/>
  <c r="G113" i="14"/>
  <c r="G114" i="14"/>
  <c r="G115" i="14"/>
  <c r="G116" i="14"/>
  <c r="G117" i="14"/>
  <c r="G118" i="14"/>
  <c r="G119" i="14"/>
  <c r="G120" i="14"/>
  <c r="G121" i="14"/>
  <c r="G122" i="14"/>
  <c r="G123" i="14"/>
  <c r="G124" i="14"/>
  <c r="G125" i="14"/>
  <c r="G126" i="14"/>
  <c r="G127" i="14"/>
  <c r="G128" i="14"/>
  <c r="G129" i="14"/>
  <c r="G130" i="14"/>
  <c r="G131" i="14"/>
  <c r="G132" i="14"/>
  <c r="G133" i="14"/>
  <c r="G134" i="14"/>
  <c r="G135" i="14"/>
  <c r="G136" i="14"/>
  <c r="G137" i="14"/>
  <c r="G138" i="14"/>
  <c r="G139" i="14"/>
  <c r="G140" i="14"/>
  <c r="G141" i="14"/>
  <c r="G142" i="14"/>
  <c r="G143" i="14"/>
  <c r="G144" i="14"/>
  <c r="G145" i="14"/>
  <c r="G146" i="14"/>
  <c r="G147" i="14"/>
  <c r="G148" i="14"/>
  <c r="G149" i="14"/>
  <c r="G150" i="14"/>
  <c r="G151" i="14"/>
  <c r="G152" i="14"/>
  <c r="G153" i="14"/>
  <c r="G154" i="14"/>
  <c r="G155" i="14"/>
  <c r="G156" i="14"/>
  <c r="G157" i="14"/>
  <c r="G158" i="14"/>
  <c r="G159" i="14"/>
  <c r="G160" i="14"/>
  <c r="G161" i="14"/>
  <c r="G162" i="14"/>
  <c r="G163" i="14"/>
  <c r="G164" i="14"/>
  <c r="G165" i="14"/>
  <c r="G166" i="14"/>
  <c r="G167" i="14"/>
  <c r="G168" i="14"/>
  <c r="G169" i="14"/>
  <c r="G170" i="14"/>
  <c r="G171" i="14"/>
  <c r="G172" i="14"/>
  <c r="G173" i="14"/>
  <c r="G174" i="14"/>
  <c r="G175" i="14"/>
  <c r="G176" i="14"/>
  <c r="G177" i="14"/>
  <c r="G178" i="14"/>
  <c r="G179" i="14"/>
  <c r="G180" i="14"/>
  <c r="G181" i="14"/>
  <c r="G182" i="14"/>
  <c r="G183" i="14"/>
  <c r="G184" i="14"/>
  <c r="G185" i="14"/>
  <c r="G186" i="14"/>
  <c r="G187" i="14"/>
  <c r="G188" i="14"/>
  <c r="G189" i="14"/>
  <c r="G190" i="14"/>
  <c r="G191" i="14"/>
  <c r="G192" i="14"/>
  <c r="G193" i="14"/>
  <c r="G194" i="14"/>
  <c r="G195" i="14"/>
  <c r="G196" i="14"/>
  <c r="G197" i="14"/>
  <c r="G198" i="14"/>
  <c r="G199" i="14"/>
  <c r="G200" i="14"/>
  <c r="G201" i="14"/>
  <c r="G202" i="14"/>
  <c r="G203" i="14"/>
  <c r="G204" i="14"/>
  <c r="G205" i="14"/>
  <c r="G206" i="14"/>
  <c r="G207" i="14"/>
  <c r="G208" i="14"/>
  <c r="G209" i="14"/>
  <c r="G210" i="14"/>
  <c r="G211" i="14"/>
  <c r="G212" i="14"/>
  <c r="G213" i="14"/>
  <c r="G214" i="14"/>
  <c r="G215" i="14"/>
  <c r="G216" i="14"/>
  <c r="G217" i="14"/>
  <c r="G218" i="14"/>
  <c r="G219" i="14"/>
  <c r="G220" i="14"/>
  <c r="G221" i="14"/>
  <c r="G222" i="14"/>
  <c r="G223" i="14"/>
  <c r="G224" i="14"/>
  <c r="G225" i="14"/>
  <c r="G226" i="14"/>
  <c r="G227" i="14"/>
  <c r="G228" i="14"/>
  <c r="G229" i="14"/>
  <c r="G230" i="14"/>
  <c r="G231" i="14"/>
  <c r="G232" i="14"/>
  <c r="G233" i="14"/>
  <c r="G234" i="14"/>
  <c r="G235" i="14"/>
  <c r="G236" i="14"/>
  <c r="G237" i="14"/>
  <c r="G238" i="14"/>
  <c r="G239" i="14"/>
  <c r="G240" i="14"/>
  <c r="G241" i="14"/>
  <c r="G242" i="14"/>
  <c r="G243" i="14"/>
  <c r="G244" i="14"/>
  <c r="G245" i="14"/>
  <c r="G246" i="14"/>
  <c r="G247" i="14"/>
  <c r="G248" i="14"/>
  <c r="G249" i="14"/>
  <c r="G250" i="14"/>
  <c r="G251" i="14"/>
  <c r="G252" i="14"/>
  <c r="G253" i="14"/>
  <c r="G254" i="14"/>
  <c r="G255" i="14"/>
  <c r="G256" i="14"/>
  <c r="G257" i="14"/>
  <c r="G258" i="14"/>
  <c r="G259" i="14"/>
  <c r="G260" i="14"/>
  <c r="G261" i="14"/>
  <c r="G262" i="14"/>
  <c r="G263" i="14"/>
  <c r="G264" i="14"/>
  <c r="G265" i="14"/>
  <c r="G266" i="14"/>
  <c r="G267" i="14"/>
  <c r="G268" i="14"/>
  <c r="G269" i="14"/>
  <c r="G270" i="14"/>
  <c r="G271" i="14"/>
  <c r="G272" i="14"/>
  <c r="G273" i="14"/>
  <c r="G274" i="14"/>
  <c r="G275" i="14"/>
  <c r="G276" i="14"/>
  <c r="G277" i="14"/>
  <c r="G278" i="14"/>
  <c r="G279" i="14"/>
  <c r="G280" i="14"/>
  <c r="G281" i="14"/>
  <c r="G282" i="14"/>
  <c r="G283" i="14"/>
  <c r="G284" i="14"/>
  <c r="G285" i="14"/>
  <c r="G286" i="14"/>
  <c r="G287" i="14"/>
  <c r="G288" i="14"/>
  <c r="G289" i="14"/>
  <c r="G290" i="14"/>
  <c r="G291" i="14"/>
  <c r="G292" i="14"/>
  <c r="G293" i="14"/>
  <c r="G294" i="14"/>
  <c r="G295" i="14"/>
  <c r="G296" i="14"/>
  <c r="G297" i="14"/>
  <c r="G298" i="14"/>
  <c r="G299" i="14"/>
  <c r="G300" i="14"/>
  <c r="G301" i="14"/>
  <c r="G302" i="14"/>
  <c r="G303" i="14"/>
  <c r="G304" i="14"/>
  <c r="G305" i="14"/>
  <c r="G306" i="14"/>
  <c r="G307" i="14"/>
  <c r="G308" i="14"/>
  <c r="G309" i="14"/>
  <c r="G310" i="14"/>
  <c r="G311" i="14"/>
  <c r="G312" i="14"/>
  <c r="G313" i="14"/>
  <c r="G314" i="14"/>
  <c r="G315" i="14"/>
  <c r="G316" i="14"/>
  <c r="G317" i="14"/>
  <c r="G318" i="14"/>
  <c r="G319" i="14"/>
  <c r="G320" i="14"/>
  <c r="G321" i="14"/>
  <c r="G322" i="14"/>
  <c r="G323" i="14"/>
  <c r="G324" i="14"/>
  <c r="G325" i="14"/>
  <c r="G326" i="14"/>
  <c r="G327" i="14"/>
  <c r="G328" i="14"/>
  <c r="G329" i="14"/>
  <c r="G330" i="14"/>
  <c r="G331" i="14"/>
  <c r="G332" i="14"/>
  <c r="G333" i="14"/>
  <c r="G334" i="14"/>
  <c r="G335" i="14"/>
  <c r="G336" i="14"/>
  <c r="G337" i="14"/>
  <c r="G338" i="14"/>
  <c r="G339" i="14"/>
  <c r="G340" i="14"/>
  <c r="G341" i="14"/>
  <c r="G342" i="14"/>
  <c r="G343" i="14"/>
  <c r="G344" i="14"/>
  <c r="G345" i="14"/>
  <c r="G346" i="14"/>
  <c r="G347" i="14"/>
  <c r="G348" i="14"/>
  <c r="G349" i="14"/>
  <c r="G350" i="14"/>
  <c r="G351" i="14"/>
  <c r="G352" i="14"/>
  <c r="G353" i="14"/>
  <c r="G354" i="14"/>
  <c r="G355" i="14"/>
  <c r="G356" i="14"/>
  <c r="G357" i="14"/>
  <c r="G358" i="14"/>
  <c r="G359" i="14"/>
  <c r="G360" i="14"/>
  <c r="G361" i="14"/>
  <c r="G362" i="14"/>
  <c r="G363" i="14"/>
  <c r="G364" i="14"/>
  <c r="G365" i="14"/>
  <c r="G366" i="14"/>
  <c r="G367" i="14"/>
  <c r="G368" i="14"/>
  <c r="G369" i="14"/>
  <c r="O23" i="14"/>
  <c r="O22" i="14"/>
  <c r="O21" i="14"/>
  <c r="O20" i="14"/>
  <c r="O19" i="14"/>
  <c r="O18" i="14"/>
  <c r="O17" i="14"/>
  <c r="O16" i="14"/>
  <c r="O15" i="14"/>
  <c r="O14" i="14"/>
  <c r="O13" i="14"/>
  <c r="O12" i="14"/>
  <c r="O11" i="14"/>
  <c r="O10" i="14"/>
  <c r="O9" i="14"/>
  <c r="O8" i="14"/>
  <c r="O7" i="14"/>
  <c r="O6" i="14"/>
  <c r="O5" i="14"/>
  <c r="O4" i="14"/>
  <c r="N5" i="14"/>
  <c r="N6" i="14"/>
  <c r="N7" i="14"/>
  <c r="N8" i="14"/>
  <c r="N9" i="14"/>
  <c r="N10" i="14"/>
  <c r="N11" i="14"/>
  <c r="N12" i="14"/>
  <c r="N13" i="14"/>
  <c r="N14" i="14"/>
  <c r="N15" i="14"/>
  <c r="N16" i="14"/>
  <c r="N17" i="14"/>
  <c r="N18" i="14"/>
  <c r="N19" i="14"/>
  <c r="N20" i="14"/>
  <c r="N21" i="14"/>
  <c r="N22" i="14"/>
  <c r="N23" i="14"/>
  <c r="N4" i="14"/>
  <c r="M23" i="14"/>
  <c r="M22" i="14"/>
  <c r="M21" i="14"/>
  <c r="M20" i="14"/>
  <c r="M19" i="14"/>
  <c r="M18" i="14"/>
  <c r="M17" i="14"/>
  <c r="M16" i="14"/>
  <c r="M15" i="14"/>
  <c r="M14" i="14"/>
  <c r="M13" i="14"/>
  <c r="M12" i="14"/>
  <c r="M11" i="14"/>
  <c r="M10" i="14"/>
  <c r="M9" i="14"/>
  <c r="M8" i="14"/>
  <c r="M7" i="14"/>
  <c r="M6" i="14"/>
  <c r="M5" i="14"/>
  <c r="M4" i="14"/>
  <c r="L23" i="14"/>
  <c r="L22" i="14"/>
  <c r="L21" i="14"/>
  <c r="L20" i="14"/>
  <c r="L19" i="14"/>
  <c r="L18" i="14"/>
  <c r="L17" i="14"/>
  <c r="L16" i="14"/>
  <c r="L15" i="14"/>
  <c r="L14" i="14"/>
  <c r="L13" i="14"/>
  <c r="L12" i="14"/>
  <c r="L11" i="14"/>
  <c r="L10" i="14"/>
  <c r="L9" i="14"/>
  <c r="L8" i="14"/>
  <c r="L7" i="14"/>
  <c r="L6" i="14"/>
  <c r="L5" i="14"/>
  <c r="L4" i="14"/>
  <c r="K5" i="14"/>
  <c r="K7" i="14"/>
  <c r="K8" i="14"/>
  <c r="K9" i="14"/>
  <c r="K10" i="14"/>
  <c r="K11" i="14"/>
  <c r="K12" i="14"/>
  <c r="K13" i="14"/>
  <c r="K14" i="14"/>
  <c r="K15" i="14"/>
  <c r="K16" i="14"/>
  <c r="K17" i="14"/>
  <c r="K18" i="14"/>
  <c r="K19" i="14"/>
  <c r="K20" i="14"/>
  <c r="K21" i="14"/>
  <c r="K22" i="14"/>
  <c r="K23" i="14"/>
  <c r="G2" i="14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69" i="2"/>
  <c r="J80" i="3"/>
  <c r="K80" i="3"/>
  <c r="L80" i="3"/>
  <c r="M80" i="3"/>
  <c r="N80" i="3"/>
  <c r="O80" i="3"/>
  <c r="J81" i="3"/>
  <c r="K81" i="3"/>
  <c r="L81" i="3"/>
  <c r="M81" i="3"/>
  <c r="N81" i="3"/>
  <c r="O81" i="3"/>
  <c r="J82" i="3"/>
  <c r="K82" i="3"/>
  <c r="L82" i="3"/>
  <c r="M82" i="3"/>
  <c r="N82" i="3"/>
  <c r="O82" i="3"/>
  <c r="O79" i="3"/>
  <c r="N79" i="3"/>
  <c r="M79" i="3"/>
  <c r="L79" i="3"/>
  <c r="K79" i="3"/>
  <c r="J79" i="3"/>
  <c r="O78" i="3"/>
  <c r="N78" i="3"/>
  <c r="M78" i="3"/>
  <c r="L78" i="3"/>
  <c r="K78" i="3"/>
  <c r="J78" i="3"/>
  <c r="P78" i="3" s="1"/>
  <c r="O77" i="3"/>
  <c r="N77" i="3"/>
  <c r="M77" i="3"/>
  <c r="L77" i="3"/>
  <c r="K77" i="3"/>
  <c r="J77" i="3"/>
  <c r="P77" i="3" s="1"/>
  <c r="O76" i="3"/>
  <c r="N76" i="3"/>
  <c r="M76" i="3"/>
  <c r="L76" i="3"/>
  <c r="K76" i="3"/>
  <c r="J76" i="3"/>
  <c r="P76" i="3" s="1"/>
  <c r="O75" i="3"/>
  <c r="N75" i="3"/>
  <c r="M75" i="3"/>
  <c r="L75" i="3"/>
  <c r="K75" i="3"/>
  <c r="J75" i="3"/>
  <c r="P75" i="3" s="1"/>
  <c r="O74" i="3"/>
  <c r="N74" i="3"/>
  <c r="M74" i="3"/>
  <c r="L74" i="3"/>
  <c r="K74" i="3"/>
  <c r="J74" i="3"/>
  <c r="O73" i="3"/>
  <c r="N73" i="3"/>
  <c r="M73" i="3"/>
  <c r="L73" i="3"/>
  <c r="K73" i="3"/>
  <c r="J73" i="3"/>
  <c r="P73" i="3" s="1"/>
  <c r="O72" i="3"/>
  <c r="N72" i="3"/>
  <c r="M72" i="3"/>
  <c r="L72" i="3"/>
  <c r="K72" i="3"/>
  <c r="J72" i="3"/>
  <c r="P72" i="3" s="1"/>
  <c r="O71" i="3"/>
  <c r="N71" i="3"/>
  <c r="M71" i="3"/>
  <c r="L71" i="3"/>
  <c r="K71" i="3"/>
  <c r="J71" i="3"/>
  <c r="P71" i="3" s="1"/>
  <c r="O70" i="3"/>
  <c r="N70" i="3"/>
  <c r="M70" i="3"/>
  <c r="L70" i="3"/>
  <c r="K70" i="3"/>
  <c r="J70" i="3"/>
  <c r="P70" i="3" s="1"/>
  <c r="O69" i="3"/>
  <c r="N69" i="3"/>
  <c r="M69" i="3"/>
  <c r="L69" i="3"/>
  <c r="K69" i="3"/>
  <c r="J69" i="3"/>
  <c r="O68" i="3"/>
  <c r="N68" i="3"/>
  <c r="M68" i="3"/>
  <c r="L68" i="3"/>
  <c r="K68" i="3"/>
  <c r="J68" i="3"/>
  <c r="P68" i="3" s="1"/>
  <c r="O67" i="3"/>
  <c r="N67" i="3"/>
  <c r="M67" i="3"/>
  <c r="L67" i="3"/>
  <c r="K67" i="3"/>
  <c r="J67" i="3"/>
  <c r="O66" i="3"/>
  <c r="N66" i="3"/>
  <c r="M66" i="3"/>
  <c r="L66" i="3"/>
  <c r="K66" i="3"/>
  <c r="J66" i="3"/>
  <c r="M57" i="3"/>
  <c r="L57" i="3"/>
  <c r="K57" i="3"/>
  <c r="J57" i="3"/>
  <c r="O57" i="3" s="1"/>
  <c r="M56" i="3"/>
  <c r="L56" i="3"/>
  <c r="K56" i="3"/>
  <c r="J56" i="3"/>
  <c r="M55" i="3"/>
  <c r="L55" i="3"/>
  <c r="K55" i="3"/>
  <c r="J55" i="3"/>
  <c r="M54" i="3"/>
  <c r="L54" i="3"/>
  <c r="K54" i="3"/>
  <c r="J54" i="3"/>
  <c r="M53" i="3"/>
  <c r="L53" i="3"/>
  <c r="K53" i="3"/>
  <c r="J53" i="3"/>
  <c r="M52" i="3"/>
  <c r="L52" i="3"/>
  <c r="K52" i="3"/>
  <c r="J52" i="3"/>
  <c r="M51" i="3"/>
  <c r="L51" i="3"/>
  <c r="K51" i="3"/>
  <c r="J51" i="3"/>
  <c r="O46" i="2"/>
  <c r="N58" i="3"/>
  <c r="N59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J58" i="3"/>
  <c r="K58" i="3"/>
  <c r="L58" i="3"/>
  <c r="M58" i="3"/>
  <c r="J59" i="3"/>
  <c r="K59" i="3"/>
  <c r="L59" i="3"/>
  <c r="M59" i="3"/>
  <c r="D29" i="3"/>
  <c r="C29" i="3"/>
  <c r="B29" i="3"/>
  <c r="O36" i="3"/>
  <c r="N36" i="3"/>
  <c r="M36" i="3"/>
  <c r="L36" i="3"/>
  <c r="K36" i="3"/>
  <c r="J36" i="3"/>
  <c r="O35" i="3"/>
  <c r="N35" i="3"/>
  <c r="M35" i="3"/>
  <c r="L35" i="3"/>
  <c r="K35" i="3"/>
  <c r="J35" i="3"/>
  <c r="O34" i="3"/>
  <c r="N34" i="3"/>
  <c r="M34" i="3"/>
  <c r="L34" i="3"/>
  <c r="K34" i="3"/>
  <c r="J34" i="3"/>
  <c r="O33" i="3"/>
  <c r="N33" i="3"/>
  <c r="M33" i="3"/>
  <c r="L33" i="3"/>
  <c r="K33" i="3"/>
  <c r="J33" i="3"/>
  <c r="O32" i="3"/>
  <c r="N32" i="3"/>
  <c r="M32" i="3"/>
  <c r="L32" i="3"/>
  <c r="K32" i="3"/>
  <c r="J32" i="3"/>
  <c r="O31" i="3"/>
  <c r="N31" i="3"/>
  <c r="M31" i="3"/>
  <c r="L31" i="3"/>
  <c r="K31" i="3"/>
  <c r="J31" i="3"/>
  <c r="O30" i="3"/>
  <c r="N30" i="3"/>
  <c r="M30" i="3"/>
  <c r="L30" i="3"/>
  <c r="K30" i="3"/>
  <c r="J30" i="3"/>
  <c r="O29" i="3"/>
  <c r="N29" i="3"/>
  <c r="M29" i="3"/>
  <c r="L29" i="3"/>
  <c r="K29" i="3"/>
  <c r="J29" i="3"/>
  <c r="O28" i="3"/>
  <c r="N28" i="3"/>
  <c r="M28" i="3"/>
  <c r="L28" i="3"/>
  <c r="K28" i="3"/>
  <c r="J28" i="3"/>
  <c r="O27" i="3"/>
  <c r="N27" i="3"/>
  <c r="M27" i="3"/>
  <c r="L27" i="3"/>
  <c r="K27" i="3"/>
  <c r="J27" i="3"/>
  <c r="O26" i="3"/>
  <c r="N26" i="3"/>
  <c r="M26" i="3"/>
  <c r="L26" i="3"/>
  <c r="K26" i="3"/>
  <c r="J26" i="3"/>
  <c r="O25" i="3"/>
  <c r="N25" i="3"/>
  <c r="M25" i="3"/>
  <c r="L25" i="3"/>
  <c r="K25" i="3"/>
  <c r="J25" i="3"/>
  <c r="O37" i="3"/>
  <c r="O38" i="3"/>
  <c r="O39" i="3"/>
  <c r="N37" i="3"/>
  <c r="N38" i="3"/>
  <c r="N39" i="3"/>
  <c r="M37" i="3"/>
  <c r="M38" i="3"/>
  <c r="M39" i="3"/>
  <c r="L37" i="3"/>
  <c r="L38" i="3"/>
  <c r="L39" i="3"/>
  <c r="K37" i="3"/>
  <c r="K38" i="3"/>
  <c r="K39" i="3"/>
  <c r="F19" i="3"/>
  <c r="P8" i="3"/>
  <c r="P9" i="3"/>
  <c r="P10" i="3"/>
  <c r="P11" i="3"/>
  <c r="P12" i="3"/>
  <c r="J37" i="3"/>
  <c r="P37" i="3" s="1"/>
  <c r="J38" i="3"/>
  <c r="J39" i="3"/>
  <c r="O16" i="3"/>
  <c r="N16" i="3"/>
  <c r="M16" i="3"/>
  <c r="L16" i="3"/>
  <c r="K16" i="3"/>
  <c r="J16" i="3"/>
  <c r="O15" i="3"/>
  <c r="N15" i="3"/>
  <c r="M15" i="3"/>
  <c r="L15" i="3"/>
  <c r="K15" i="3"/>
  <c r="J15" i="3"/>
  <c r="O14" i="3"/>
  <c r="N14" i="3"/>
  <c r="M14" i="3"/>
  <c r="L14" i="3"/>
  <c r="K14" i="3"/>
  <c r="J14" i="3"/>
  <c r="O13" i="3"/>
  <c r="N13" i="3"/>
  <c r="M13" i="3"/>
  <c r="L13" i="3"/>
  <c r="K13" i="3"/>
  <c r="J13" i="3"/>
  <c r="J17" i="3"/>
  <c r="K17" i="3"/>
  <c r="L17" i="3"/>
  <c r="M17" i="3"/>
  <c r="N17" i="3"/>
  <c r="O17" i="3"/>
  <c r="J18" i="3"/>
  <c r="K18" i="3"/>
  <c r="L18" i="3"/>
  <c r="M18" i="3"/>
  <c r="N18" i="3"/>
  <c r="O18" i="3"/>
  <c r="J19" i="3"/>
  <c r="K19" i="3"/>
  <c r="L19" i="3"/>
  <c r="M19" i="3"/>
  <c r="N19" i="3"/>
  <c r="O19" i="3"/>
  <c r="P17" i="2"/>
  <c r="P18" i="2"/>
  <c r="P19" i="2"/>
  <c r="U320" i="13"/>
  <c r="P320" i="13"/>
  <c r="K320" i="13"/>
  <c r="U220" i="13"/>
  <c r="P220" i="13"/>
  <c r="K220" i="13"/>
  <c r="U209" i="13"/>
  <c r="P209" i="13"/>
  <c r="K209" i="13"/>
  <c r="U208" i="13"/>
  <c r="P208" i="13"/>
  <c r="K208" i="13"/>
  <c r="U207" i="13"/>
  <c r="P207" i="13"/>
  <c r="K207" i="13"/>
  <c r="U206" i="13"/>
  <c r="P206" i="13"/>
  <c r="K206" i="13"/>
  <c r="U205" i="13"/>
  <c r="P205" i="13"/>
  <c r="K205" i="13"/>
  <c r="U204" i="13"/>
  <c r="P204" i="13"/>
  <c r="K204" i="13"/>
  <c r="U203" i="13"/>
  <c r="P203" i="13"/>
  <c r="K203" i="13"/>
  <c r="U202" i="13"/>
  <c r="P202" i="13"/>
  <c r="K202" i="13"/>
  <c r="U201" i="13"/>
  <c r="P201" i="13"/>
  <c r="K201" i="13"/>
  <c r="U200" i="13"/>
  <c r="P200" i="13"/>
  <c r="K200" i="13"/>
  <c r="U120" i="13"/>
  <c r="P120" i="13"/>
  <c r="K120" i="13"/>
  <c r="U20" i="13"/>
  <c r="P20" i="13"/>
  <c r="K20" i="13"/>
  <c r="AA3" i="13" a="1"/>
  <c r="U369" i="13"/>
  <c r="K369" i="13"/>
  <c r="P369" i="13" s="1"/>
  <c r="U368" i="13"/>
  <c r="K368" i="13"/>
  <c r="P368" i="13" s="1"/>
  <c r="U367" i="13"/>
  <c r="K367" i="13"/>
  <c r="P367" i="13" s="1"/>
  <c r="U366" i="13"/>
  <c r="K366" i="13"/>
  <c r="P366" i="13" s="1"/>
  <c r="U365" i="13"/>
  <c r="K365" i="13"/>
  <c r="P365" i="13" s="1"/>
  <c r="U364" i="13"/>
  <c r="K364" i="13"/>
  <c r="P364" i="13" s="1"/>
  <c r="U363" i="13"/>
  <c r="K363" i="13"/>
  <c r="P363" i="13" s="1"/>
  <c r="U362" i="13"/>
  <c r="K362" i="13"/>
  <c r="P362" i="13" s="1"/>
  <c r="U361" i="13"/>
  <c r="K361" i="13"/>
  <c r="P361" i="13" s="1"/>
  <c r="U360" i="13"/>
  <c r="K360" i="13"/>
  <c r="P360" i="13" s="1"/>
  <c r="U359" i="13"/>
  <c r="K359" i="13"/>
  <c r="P359" i="13" s="1"/>
  <c r="U358" i="13"/>
  <c r="K358" i="13"/>
  <c r="P358" i="13" s="1"/>
  <c r="U357" i="13"/>
  <c r="K357" i="13"/>
  <c r="P357" i="13" s="1"/>
  <c r="U356" i="13"/>
  <c r="K356" i="13"/>
  <c r="P356" i="13" s="1"/>
  <c r="U355" i="13"/>
  <c r="K355" i="13"/>
  <c r="P355" i="13" s="1"/>
  <c r="U354" i="13"/>
  <c r="K354" i="13"/>
  <c r="P354" i="13" s="1"/>
  <c r="U353" i="13"/>
  <c r="K353" i="13"/>
  <c r="P353" i="13" s="1"/>
  <c r="U352" i="13"/>
  <c r="K352" i="13"/>
  <c r="P352" i="13" s="1"/>
  <c r="U351" i="13"/>
  <c r="K351" i="13"/>
  <c r="P351" i="13" s="1"/>
  <c r="U350" i="13"/>
  <c r="K350" i="13"/>
  <c r="P350" i="13" s="1"/>
  <c r="U349" i="13"/>
  <c r="K349" i="13"/>
  <c r="P349" i="13" s="1"/>
  <c r="U348" i="13"/>
  <c r="K348" i="13"/>
  <c r="P348" i="13" s="1"/>
  <c r="U347" i="13"/>
  <c r="K347" i="13"/>
  <c r="P347" i="13" s="1"/>
  <c r="U346" i="13"/>
  <c r="K346" i="13"/>
  <c r="P346" i="13" s="1"/>
  <c r="U345" i="13"/>
  <c r="K345" i="13"/>
  <c r="P345" i="13" s="1"/>
  <c r="U344" i="13"/>
  <c r="K344" i="13"/>
  <c r="P344" i="13" s="1"/>
  <c r="U343" i="13"/>
  <c r="K343" i="13"/>
  <c r="P343" i="13" s="1"/>
  <c r="U342" i="13"/>
  <c r="K342" i="13"/>
  <c r="P342" i="13" s="1"/>
  <c r="U341" i="13"/>
  <c r="K341" i="13"/>
  <c r="P341" i="13" s="1"/>
  <c r="U340" i="13"/>
  <c r="K340" i="13"/>
  <c r="P340" i="13" s="1"/>
  <c r="U339" i="13"/>
  <c r="K339" i="13"/>
  <c r="P339" i="13" s="1"/>
  <c r="U338" i="13"/>
  <c r="K338" i="13"/>
  <c r="P338" i="13" s="1"/>
  <c r="U337" i="13"/>
  <c r="K337" i="13"/>
  <c r="P337" i="13" s="1"/>
  <c r="U336" i="13"/>
  <c r="K336" i="13"/>
  <c r="P336" i="13" s="1"/>
  <c r="U335" i="13"/>
  <c r="K335" i="13"/>
  <c r="P335" i="13" s="1"/>
  <c r="U334" i="13"/>
  <c r="K334" i="13"/>
  <c r="P334" i="13" s="1"/>
  <c r="U333" i="13"/>
  <c r="K333" i="13"/>
  <c r="P333" i="13" s="1"/>
  <c r="U332" i="13"/>
  <c r="K332" i="13"/>
  <c r="P332" i="13" s="1"/>
  <c r="U331" i="13"/>
  <c r="K331" i="13"/>
  <c r="P331" i="13" s="1"/>
  <c r="U330" i="13"/>
  <c r="K330" i="13"/>
  <c r="P330" i="13" s="1"/>
  <c r="U329" i="13"/>
  <c r="K329" i="13"/>
  <c r="P329" i="13" s="1"/>
  <c r="U328" i="13"/>
  <c r="K328" i="13"/>
  <c r="P328" i="13" s="1"/>
  <c r="U327" i="13"/>
  <c r="K327" i="13"/>
  <c r="P327" i="13" s="1"/>
  <c r="U326" i="13"/>
  <c r="K326" i="13"/>
  <c r="P326" i="13" s="1"/>
  <c r="U325" i="13"/>
  <c r="K325" i="13"/>
  <c r="P325" i="13" s="1"/>
  <c r="U324" i="13"/>
  <c r="K324" i="13"/>
  <c r="P324" i="13" s="1"/>
  <c r="U323" i="13"/>
  <c r="K323" i="13"/>
  <c r="P323" i="13" s="1"/>
  <c r="U322" i="13"/>
  <c r="K322" i="13"/>
  <c r="P322" i="13" s="1"/>
  <c r="U321" i="13"/>
  <c r="K321" i="13"/>
  <c r="P321" i="13" s="1"/>
  <c r="U319" i="13"/>
  <c r="K319" i="13"/>
  <c r="P319" i="13" s="1"/>
  <c r="U318" i="13"/>
  <c r="K318" i="13"/>
  <c r="P318" i="13" s="1"/>
  <c r="U317" i="13"/>
  <c r="K317" i="13"/>
  <c r="P317" i="13" s="1"/>
  <c r="U316" i="13"/>
  <c r="K316" i="13"/>
  <c r="P316" i="13" s="1"/>
  <c r="U315" i="13"/>
  <c r="K315" i="13"/>
  <c r="P315" i="13" s="1"/>
  <c r="U314" i="13"/>
  <c r="K314" i="13"/>
  <c r="P314" i="13" s="1"/>
  <c r="U313" i="13"/>
  <c r="K313" i="13"/>
  <c r="P313" i="13" s="1"/>
  <c r="U312" i="13"/>
  <c r="K312" i="13"/>
  <c r="P312" i="13" s="1"/>
  <c r="U311" i="13"/>
  <c r="K311" i="13"/>
  <c r="P311" i="13" s="1"/>
  <c r="U310" i="13"/>
  <c r="K310" i="13"/>
  <c r="P310" i="13" s="1"/>
  <c r="U309" i="13"/>
  <c r="K309" i="13"/>
  <c r="P309" i="13" s="1"/>
  <c r="U308" i="13"/>
  <c r="K308" i="13"/>
  <c r="P308" i="13" s="1"/>
  <c r="U307" i="13"/>
  <c r="K307" i="13"/>
  <c r="P307" i="13" s="1"/>
  <c r="U306" i="13"/>
  <c r="K306" i="13"/>
  <c r="P306" i="13" s="1"/>
  <c r="U305" i="13"/>
  <c r="K305" i="13"/>
  <c r="P305" i="13" s="1"/>
  <c r="U304" i="13"/>
  <c r="K304" i="13"/>
  <c r="P304" i="13" s="1"/>
  <c r="U303" i="13"/>
  <c r="K303" i="13"/>
  <c r="P303" i="13" s="1"/>
  <c r="U302" i="13"/>
  <c r="K302" i="13"/>
  <c r="P302" i="13" s="1"/>
  <c r="U301" i="13"/>
  <c r="K301" i="13"/>
  <c r="P301" i="13" s="1"/>
  <c r="U300" i="13"/>
  <c r="K300" i="13"/>
  <c r="P300" i="13" s="1"/>
  <c r="U299" i="13"/>
  <c r="K299" i="13"/>
  <c r="P299" i="13" s="1"/>
  <c r="U298" i="13"/>
  <c r="K298" i="13"/>
  <c r="P298" i="13" s="1"/>
  <c r="U297" i="13"/>
  <c r="K297" i="13"/>
  <c r="P297" i="13" s="1"/>
  <c r="U296" i="13"/>
  <c r="K296" i="13"/>
  <c r="P296" i="13" s="1"/>
  <c r="U295" i="13"/>
  <c r="K295" i="13"/>
  <c r="P295" i="13" s="1"/>
  <c r="U294" i="13"/>
  <c r="K294" i="13"/>
  <c r="P294" i="13" s="1"/>
  <c r="U293" i="13"/>
  <c r="K293" i="13"/>
  <c r="P293" i="13" s="1"/>
  <c r="U292" i="13"/>
  <c r="K292" i="13"/>
  <c r="P292" i="13" s="1"/>
  <c r="U291" i="13"/>
  <c r="K291" i="13"/>
  <c r="P291" i="13" s="1"/>
  <c r="U290" i="13"/>
  <c r="K290" i="13"/>
  <c r="P290" i="13" s="1"/>
  <c r="U289" i="13"/>
  <c r="K289" i="13"/>
  <c r="P289" i="13" s="1"/>
  <c r="U288" i="13"/>
  <c r="K288" i="13"/>
  <c r="P288" i="13" s="1"/>
  <c r="U287" i="13"/>
  <c r="K287" i="13"/>
  <c r="P287" i="13" s="1"/>
  <c r="U286" i="13"/>
  <c r="K286" i="13"/>
  <c r="P286" i="13" s="1"/>
  <c r="U285" i="13"/>
  <c r="K285" i="13"/>
  <c r="P285" i="13" s="1"/>
  <c r="U284" i="13"/>
  <c r="K284" i="13"/>
  <c r="P284" i="13" s="1"/>
  <c r="U283" i="13"/>
  <c r="K283" i="13"/>
  <c r="P283" i="13" s="1"/>
  <c r="U282" i="13"/>
  <c r="K282" i="13"/>
  <c r="P282" i="13" s="1"/>
  <c r="U281" i="13"/>
  <c r="K281" i="13"/>
  <c r="P281" i="13" s="1"/>
  <c r="U280" i="13"/>
  <c r="K280" i="13"/>
  <c r="P280" i="13" s="1"/>
  <c r="U279" i="13"/>
  <c r="P279" i="13"/>
  <c r="K279" i="13"/>
  <c r="U278" i="13"/>
  <c r="K278" i="13"/>
  <c r="P278" i="13" s="1"/>
  <c r="U277" i="13"/>
  <c r="K277" i="13"/>
  <c r="P277" i="13" s="1"/>
  <c r="U276" i="13"/>
  <c r="K276" i="13"/>
  <c r="P276" i="13" s="1"/>
  <c r="U275" i="13"/>
  <c r="K275" i="13"/>
  <c r="P275" i="13" s="1"/>
  <c r="U274" i="13"/>
  <c r="K274" i="13"/>
  <c r="P274" i="13" s="1"/>
  <c r="U273" i="13"/>
  <c r="K273" i="13"/>
  <c r="P273" i="13" s="1"/>
  <c r="U272" i="13"/>
  <c r="K272" i="13"/>
  <c r="P272" i="13" s="1"/>
  <c r="U271" i="13"/>
  <c r="K271" i="13"/>
  <c r="P271" i="13" s="1"/>
  <c r="U270" i="13"/>
  <c r="K270" i="13"/>
  <c r="P270" i="13" s="1"/>
  <c r="U269" i="13"/>
  <c r="K269" i="13"/>
  <c r="P269" i="13" s="1"/>
  <c r="U268" i="13"/>
  <c r="K268" i="13"/>
  <c r="P268" i="13" s="1"/>
  <c r="U267" i="13"/>
  <c r="K267" i="13"/>
  <c r="P267" i="13" s="1"/>
  <c r="U266" i="13"/>
  <c r="K266" i="13"/>
  <c r="P266" i="13" s="1"/>
  <c r="U265" i="13"/>
  <c r="K265" i="13"/>
  <c r="P265" i="13" s="1"/>
  <c r="U264" i="13"/>
  <c r="K264" i="13"/>
  <c r="P264" i="13" s="1"/>
  <c r="U263" i="13"/>
  <c r="K263" i="13"/>
  <c r="P263" i="13" s="1"/>
  <c r="U262" i="13"/>
  <c r="K262" i="13"/>
  <c r="P262" i="13" s="1"/>
  <c r="U261" i="13"/>
  <c r="K261" i="13"/>
  <c r="P261" i="13" s="1"/>
  <c r="U260" i="13"/>
  <c r="K260" i="13"/>
  <c r="P260" i="13" s="1"/>
  <c r="U259" i="13"/>
  <c r="K259" i="13"/>
  <c r="P259" i="13" s="1"/>
  <c r="U258" i="13"/>
  <c r="K258" i="13"/>
  <c r="P258" i="13" s="1"/>
  <c r="U257" i="13"/>
  <c r="P257" i="13"/>
  <c r="K257" i="13"/>
  <c r="U256" i="13"/>
  <c r="K256" i="13"/>
  <c r="P256" i="13" s="1"/>
  <c r="U255" i="13"/>
  <c r="K255" i="13"/>
  <c r="P255" i="13" s="1"/>
  <c r="U254" i="13"/>
  <c r="K254" i="13"/>
  <c r="P254" i="13" s="1"/>
  <c r="U253" i="13"/>
  <c r="K253" i="13"/>
  <c r="P253" i="13" s="1"/>
  <c r="U252" i="13"/>
  <c r="K252" i="13"/>
  <c r="P252" i="13" s="1"/>
  <c r="U251" i="13"/>
  <c r="K251" i="13"/>
  <c r="P251" i="13" s="1"/>
  <c r="U250" i="13"/>
  <c r="K250" i="13"/>
  <c r="P250" i="13" s="1"/>
  <c r="U249" i="13"/>
  <c r="K249" i="13"/>
  <c r="P249" i="13" s="1"/>
  <c r="U248" i="13"/>
  <c r="K248" i="13"/>
  <c r="P248" i="13" s="1"/>
  <c r="U247" i="13"/>
  <c r="K247" i="13"/>
  <c r="P247" i="13" s="1"/>
  <c r="U246" i="13"/>
  <c r="K246" i="13"/>
  <c r="P246" i="13" s="1"/>
  <c r="U245" i="13"/>
  <c r="K245" i="13"/>
  <c r="P245" i="13" s="1"/>
  <c r="U244" i="13"/>
  <c r="K244" i="13"/>
  <c r="P244" i="13" s="1"/>
  <c r="U243" i="13"/>
  <c r="K243" i="13"/>
  <c r="P243" i="13" s="1"/>
  <c r="U242" i="13"/>
  <c r="K242" i="13"/>
  <c r="P242" i="13" s="1"/>
  <c r="U241" i="13"/>
  <c r="K241" i="13"/>
  <c r="P241" i="13" s="1"/>
  <c r="U240" i="13"/>
  <c r="K240" i="13"/>
  <c r="P240" i="13" s="1"/>
  <c r="U239" i="13"/>
  <c r="K239" i="13"/>
  <c r="P239" i="13" s="1"/>
  <c r="U238" i="13"/>
  <c r="K238" i="13"/>
  <c r="P238" i="13" s="1"/>
  <c r="U237" i="13"/>
  <c r="K237" i="13"/>
  <c r="P237" i="13" s="1"/>
  <c r="U236" i="13"/>
  <c r="K236" i="13"/>
  <c r="P236" i="13" s="1"/>
  <c r="U235" i="13"/>
  <c r="K235" i="13"/>
  <c r="P235" i="13" s="1"/>
  <c r="U234" i="13"/>
  <c r="K234" i="13"/>
  <c r="P234" i="13" s="1"/>
  <c r="U233" i="13"/>
  <c r="K233" i="13"/>
  <c r="P233" i="13" s="1"/>
  <c r="U232" i="13"/>
  <c r="K232" i="13"/>
  <c r="P232" i="13" s="1"/>
  <c r="U231" i="13"/>
  <c r="K231" i="13"/>
  <c r="P231" i="13" s="1"/>
  <c r="U230" i="13"/>
  <c r="K230" i="13"/>
  <c r="P230" i="13" s="1"/>
  <c r="U229" i="13"/>
  <c r="K229" i="13"/>
  <c r="P229" i="13" s="1"/>
  <c r="U228" i="13"/>
  <c r="K228" i="13"/>
  <c r="P228" i="13" s="1"/>
  <c r="U227" i="13"/>
  <c r="K227" i="13"/>
  <c r="P227" i="13" s="1"/>
  <c r="U226" i="13"/>
  <c r="K226" i="13"/>
  <c r="P226" i="13" s="1"/>
  <c r="U225" i="13"/>
  <c r="K225" i="13"/>
  <c r="P225" i="13" s="1"/>
  <c r="U224" i="13"/>
  <c r="K224" i="13"/>
  <c r="P224" i="13" s="1"/>
  <c r="U223" i="13"/>
  <c r="K223" i="13"/>
  <c r="P223" i="13" s="1"/>
  <c r="U222" i="13"/>
  <c r="K222" i="13"/>
  <c r="P222" i="13" s="1"/>
  <c r="U221" i="13"/>
  <c r="K221" i="13"/>
  <c r="P221" i="13" s="1"/>
  <c r="U219" i="13"/>
  <c r="K219" i="13"/>
  <c r="P219" i="13" s="1"/>
  <c r="U218" i="13"/>
  <c r="K218" i="13"/>
  <c r="P218" i="13" s="1"/>
  <c r="U217" i="13"/>
  <c r="K217" i="13"/>
  <c r="P217" i="13" s="1"/>
  <c r="U216" i="13"/>
  <c r="K216" i="13"/>
  <c r="P216" i="13" s="1"/>
  <c r="U215" i="13"/>
  <c r="K215" i="13"/>
  <c r="P215" i="13" s="1"/>
  <c r="U214" i="13"/>
  <c r="K214" i="13"/>
  <c r="P214" i="13" s="1"/>
  <c r="U213" i="13"/>
  <c r="K213" i="13"/>
  <c r="P213" i="13" s="1"/>
  <c r="U212" i="13"/>
  <c r="K212" i="13"/>
  <c r="P212" i="13" s="1"/>
  <c r="U211" i="13"/>
  <c r="K211" i="13"/>
  <c r="P211" i="13" s="1"/>
  <c r="U210" i="13"/>
  <c r="K210" i="13"/>
  <c r="P210" i="13" s="1"/>
  <c r="U199" i="13"/>
  <c r="K199" i="13"/>
  <c r="P199" i="13" s="1"/>
  <c r="U198" i="13"/>
  <c r="K198" i="13"/>
  <c r="P198" i="13" s="1"/>
  <c r="U197" i="13"/>
  <c r="K197" i="13"/>
  <c r="P197" i="13" s="1"/>
  <c r="U196" i="13"/>
  <c r="K196" i="13"/>
  <c r="P196" i="13" s="1"/>
  <c r="U195" i="13"/>
  <c r="K195" i="13"/>
  <c r="P195" i="13" s="1"/>
  <c r="U194" i="13"/>
  <c r="K194" i="13"/>
  <c r="P194" i="13" s="1"/>
  <c r="U193" i="13"/>
  <c r="K193" i="13"/>
  <c r="P193" i="13" s="1"/>
  <c r="U192" i="13"/>
  <c r="K192" i="13"/>
  <c r="P192" i="13" s="1"/>
  <c r="U191" i="13"/>
  <c r="K191" i="13"/>
  <c r="P191" i="13" s="1"/>
  <c r="U190" i="13"/>
  <c r="K190" i="13"/>
  <c r="P190" i="13" s="1"/>
  <c r="U189" i="13"/>
  <c r="K189" i="13"/>
  <c r="P189" i="13" s="1"/>
  <c r="U188" i="13"/>
  <c r="K188" i="13"/>
  <c r="P188" i="13" s="1"/>
  <c r="U187" i="13"/>
  <c r="K187" i="13"/>
  <c r="P187" i="13" s="1"/>
  <c r="U186" i="13"/>
  <c r="K186" i="13"/>
  <c r="P186" i="13" s="1"/>
  <c r="U185" i="13"/>
  <c r="K185" i="13"/>
  <c r="P185" i="13" s="1"/>
  <c r="U184" i="13"/>
  <c r="K184" i="13"/>
  <c r="P184" i="13" s="1"/>
  <c r="U183" i="13"/>
  <c r="K183" i="13"/>
  <c r="P183" i="13" s="1"/>
  <c r="U182" i="13"/>
  <c r="K182" i="13"/>
  <c r="P182" i="13" s="1"/>
  <c r="U181" i="13"/>
  <c r="K181" i="13"/>
  <c r="P181" i="13" s="1"/>
  <c r="U180" i="13"/>
  <c r="K180" i="13"/>
  <c r="P180" i="13" s="1"/>
  <c r="U179" i="13"/>
  <c r="K179" i="13"/>
  <c r="P179" i="13" s="1"/>
  <c r="U178" i="13"/>
  <c r="K178" i="13"/>
  <c r="P178" i="13" s="1"/>
  <c r="U177" i="13"/>
  <c r="K177" i="13"/>
  <c r="P177" i="13" s="1"/>
  <c r="U176" i="13"/>
  <c r="K176" i="13"/>
  <c r="P176" i="13" s="1"/>
  <c r="U175" i="13"/>
  <c r="K175" i="13"/>
  <c r="P175" i="13" s="1"/>
  <c r="U174" i="13"/>
  <c r="K174" i="13"/>
  <c r="P174" i="13" s="1"/>
  <c r="U173" i="13"/>
  <c r="K173" i="13"/>
  <c r="P173" i="13" s="1"/>
  <c r="U172" i="13"/>
  <c r="K172" i="13"/>
  <c r="P172" i="13" s="1"/>
  <c r="U171" i="13"/>
  <c r="K171" i="13"/>
  <c r="P171" i="13" s="1"/>
  <c r="U170" i="13"/>
  <c r="K170" i="13"/>
  <c r="P170" i="13" s="1"/>
  <c r="U169" i="13"/>
  <c r="K169" i="13"/>
  <c r="P169" i="13" s="1"/>
  <c r="U168" i="13"/>
  <c r="K168" i="13"/>
  <c r="P168" i="13" s="1"/>
  <c r="U167" i="13"/>
  <c r="K167" i="13"/>
  <c r="P167" i="13" s="1"/>
  <c r="U166" i="13"/>
  <c r="K166" i="13"/>
  <c r="P166" i="13" s="1"/>
  <c r="U165" i="13"/>
  <c r="K165" i="13"/>
  <c r="P165" i="13" s="1"/>
  <c r="U164" i="13"/>
  <c r="K164" i="13"/>
  <c r="P164" i="13" s="1"/>
  <c r="U163" i="13"/>
  <c r="K163" i="13"/>
  <c r="P163" i="13" s="1"/>
  <c r="U162" i="13"/>
  <c r="K162" i="13"/>
  <c r="P162" i="13" s="1"/>
  <c r="U161" i="13"/>
  <c r="K161" i="13"/>
  <c r="P161" i="13" s="1"/>
  <c r="U160" i="13"/>
  <c r="K160" i="13"/>
  <c r="P160" i="13" s="1"/>
  <c r="U159" i="13"/>
  <c r="K159" i="13"/>
  <c r="P159" i="13" s="1"/>
  <c r="U158" i="13"/>
  <c r="K158" i="13"/>
  <c r="P158" i="13" s="1"/>
  <c r="U157" i="13"/>
  <c r="K157" i="13"/>
  <c r="P157" i="13" s="1"/>
  <c r="U156" i="13"/>
  <c r="K156" i="13"/>
  <c r="P156" i="13" s="1"/>
  <c r="U155" i="13"/>
  <c r="K155" i="13"/>
  <c r="P155" i="13" s="1"/>
  <c r="U154" i="13"/>
  <c r="K154" i="13"/>
  <c r="P154" i="13" s="1"/>
  <c r="U153" i="13"/>
  <c r="K153" i="13"/>
  <c r="P153" i="13" s="1"/>
  <c r="U152" i="13"/>
  <c r="K152" i="13"/>
  <c r="P152" i="13" s="1"/>
  <c r="U151" i="13"/>
  <c r="K151" i="13"/>
  <c r="P151" i="13" s="1"/>
  <c r="U150" i="13"/>
  <c r="K150" i="13"/>
  <c r="P150" i="13" s="1"/>
  <c r="U149" i="13"/>
  <c r="K149" i="13"/>
  <c r="P149" i="13" s="1"/>
  <c r="U148" i="13"/>
  <c r="K148" i="13"/>
  <c r="P148" i="13" s="1"/>
  <c r="U147" i="13"/>
  <c r="K147" i="13"/>
  <c r="P147" i="13" s="1"/>
  <c r="U146" i="13"/>
  <c r="K146" i="13"/>
  <c r="P146" i="13" s="1"/>
  <c r="U145" i="13"/>
  <c r="K145" i="13"/>
  <c r="P145" i="13" s="1"/>
  <c r="U144" i="13"/>
  <c r="K144" i="13"/>
  <c r="P144" i="13" s="1"/>
  <c r="U143" i="13"/>
  <c r="K143" i="13"/>
  <c r="P143" i="13" s="1"/>
  <c r="U142" i="13"/>
  <c r="K142" i="13"/>
  <c r="P142" i="13" s="1"/>
  <c r="U141" i="13"/>
  <c r="K141" i="13"/>
  <c r="P141" i="13" s="1"/>
  <c r="U140" i="13"/>
  <c r="K140" i="13"/>
  <c r="P140" i="13" s="1"/>
  <c r="U139" i="13"/>
  <c r="K139" i="13"/>
  <c r="P139" i="13" s="1"/>
  <c r="U138" i="13"/>
  <c r="K138" i="13"/>
  <c r="P138" i="13" s="1"/>
  <c r="U137" i="13"/>
  <c r="K137" i="13"/>
  <c r="P137" i="13" s="1"/>
  <c r="U136" i="13"/>
  <c r="K136" i="13"/>
  <c r="P136" i="13" s="1"/>
  <c r="U135" i="13"/>
  <c r="K135" i="13"/>
  <c r="P135" i="13" s="1"/>
  <c r="U134" i="13"/>
  <c r="K134" i="13"/>
  <c r="P134" i="13" s="1"/>
  <c r="U133" i="13"/>
  <c r="K133" i="13"/>
  <c r="P133" i="13" s="1"/>
  <c r="U132" i="13"/>
  <c r="K132" i="13"/>
  <c r="P132" i="13" s="1"/>
  <c r="U131" i="13"/>
  <c r="K131" i="13"/>
  <c r="P131" i="13" s="1"/>
  <c r="U130" i="13"/>
  <c r="K130" i="13"/>
  <c r="P130" i="13" s="1"/>
  <c r="U129" i="13"/>
  <c r="K129" i="13"/>
  <c r="P129" i="13" s="1"/>
  <c r="U128" i="13"/>
  <c r="K128" i="13"/>
  <c r="P128" i="13" s="1"/>
  <c r="U127" i="13"/>
  <c r="K127" i="13"/>
  <c r="P127" i="13" s="1"/>
  <c r="U126" i="13"/>
  <c r="K126" i="13"/>
  <c r="P126" i="13" s="1"/>
  <c r="U125" i="13"/>
  <c r="K125" i="13"/>
  <c r="P125" i="13" s="1"/>
  <c r="U124" i="13"/>
  <c r="K124" i="13"/>
  <c r="P124" i="13" s="1"/>
  <c r="U123" i="13"/>
  <c r="K123" i="13"/>
  <c r="P123" i="13" s="1"/>
  <c r="U122" i="13"/>
  <c r="K122" i="13"/>
  <c r="P122" i="13" s="1"/>
  <c r="U121" i="13"/>
  <c r="K121" i="13"/>
  <c r="P121" i="13" s="1"/>
  <c r="U119" i="13"/>
  <c r="K119" i="13"/>
  <c r="P119" i="13" s="1"/>
  <c r="U118" i="13"/>
  <c r="K118" i="13"/>
  <c r="P118" i="13" s="1"/>
  <c r="U117" i="13"/>
  <c r="K117" i="13"/>
  <c r="P117" i="13" s="1"/>
  <c r="U116" i="13"/>
  <c r="K116" i="13"/>
  <c r="P116" i="13" s="1"/>
  <c r="U115" i="13"/>
  <c r="K115" i="13"/>
  <c r="P115" i="13" s="1"/>
  <c r="U114" i="13"/>
  <c r="K114" i="13"/>
  <c r="P114" i="13" s="1"/>
  <c r="U113" i="13"/>
  <c r="K113" i="13"/>
  <c r="P113" i="13" s="1"/>
  <c r="U112" i="13"/>
  <c r="K112" i="13"/>
  <c r="P112" i="13" s="1"/>
  <c r="U111" i="13"/>
  <c r="K111" i="13"/>
  <c r="P111" i="13" s="1"/>
  <c r="U110" i="13"/>
  <c r="K110" i="13"/>
  <c r="P110" i="13" s="1"/>
  <c r="U109" i="13"/>
  <c r="K109" i="13"/>
  <c r="P109" i="13" s="1"/>
  <c r="U108" i="13"/>
  <c r="K108" i="13"/>
  <c r="P108" i="13" s="1"/>
  <c r="U107" i="13"/>
  <c r="K107" i="13"/>
  <c r="P107" i="13" s="1"/>
  <c r="U106" i="13"/>
  <c r="K106" i="13"/>
  <c r="P106" i="13" s="1"/>
  <c r="U105" i="13"/>
  <c r="K105" i="13"/>
  <c r="P105" i="13" s="1"/>
  <c r="U104" i="13"/>
  <c r="K104" i="13"/>
  <c r="P104" i="13" s="1"/>
  <c r="U103" i="13"/>
  <c r="K103" i="13"/>
  <c r="P103" i="13" s="1"/>
  <c r="U102" i="13"/>
  <c r="K102" i="13"/>
  <c r="P102" i="13" s="1"/>
  <c r="U101" i="13"/>
  <c r="K101" i="13"/>
  <c r="P101" i="13" s="1"/>
  <c r="U100" i="13"/>
  <c r="K100" i="13"/>
  <c r="P100" i="13" s="1"/>
  <c r="U99" i="13"/>
  <c r="K99" i="13"/>
  <c r="P99" i="13" s="1"/>
  <c r="U98" i="13"/>
  <c r="K98" i="13"/>
  <c r="P98" i="13" s="1"/>
  <c r="U97" i="13"/>
  <c r="K97" i="13"/>
  <c r="P97" i="13" s="1"/>
  <c r="U96" i="13"/>
  <c r="K96" i="13"/>
  <c r="P96" i="13" s="1"/>
  <c r="U95" i="13"/>
  <c r="K95" i="13"/>
  <c r="P95" i="13" s="1"/>
  <c r="U94" i="13"/>
  <c r="K94" i="13"/>
  <c r="P94" i="13" s="1"/>
  <c r="U93" i="13"/>
  <c r="K93" i="13"/>
  <c r="P93" i="13" s="1"/>
  <c r="U92" i="13"/>
  <c r="K92" i="13"/>
  <c r="P92" i="13" s="1"/>
  <c r="U91" i="13"/>
  <c r="K91" i="13"/>
  <c r="P91" i="13" s="1"/>
  <c r="U90" i="13"/>
  <c r="K90" i="13"/>
  <c r="P90" i="13" s="1"/>
  <c r="U89" i="13"/>
  <c r="K89" i="13"/>
  <c r="P89" i="13" s="1"/>
  <c r="U88" i="13"/>
  <c r="K88" i="13"/>
  <c r="P88" i="13" s="1"/>
  <c r="U87" i="13"/>
  <c r="K87" i="13"/>
  <c r="P87" i="13" s="1"/>
  <c r="U86" i="13"/>
  <c r="K86" i="13"/>
  <c r="P86" i="13" s="1"/>
  <c r="U85" i="13"/>
  <c r="K85" i="13"/>
  <c r="P85" i="13" s="1"/>
  <c r="U84" i="13"/>
  <c r="K84" i="13"/>
  <c r="P84" i="13" s="1"/>
  <c r="U83" i="13"/>
  <c r="K83" i="13"/>
  <c r="P83" i="13" s="1"/>
  <c r="U82" i="13"/>
  <c r="K82" i="13"/>
  <c r="P82" i="13" s="1"/>
  <c r="U81" i="13"/>
  <c r="K81" i="13"/>
  <c r="P81" i="13" s="1"/>
  <c r="U80" i="13"/>
  <c r="K80" i="13"/>
  <c r="P80" i="13" s="1"/>
  <c r="U79" i="13"/>
  <c r="K79" i="13"/>
  <c r="P79" i="13" s="1"/>
  <c r="U78" i="13"/>
  <c r="K78" i="13"/>
  <c r="P78" i="13" s="1"/>
  <c r="U77" i="13"/>
  <c r="K77" i="13"/>
  <c r="P77" i="13" s="1"/>
  <c r="U76" i="13"/>
  <c r="K76" i="13"/>
  <c r="P76" i="13" s="1"/>
  <c r="U75" i="13"/>
  <c r="K75" i="13"/>
  <c r="P75" i="13" s="1"/>
  <c r="U74" i="13"/>
  <c r="K74" i="13"/>
  <c r="P74" i="13" s="1"/>
  <c r="U73" i="13"/>
  <c r="K73" i="13"/>
  <c r="P73" i="13" s="1"/>
  <c r="U72" i="13"/>
  <c r="K72" i="13"/>
  <c r="P72" i="13" s="1"/>
  <c r="U71" i="13"/>
  <c r="K71" i="13"/>
  <c r="P71" i="13" s="1"/>
  <c r="U70" i="13"/>
  <c r="K70" i="13"/>
  <c r="P70" i="13" s="1"/>
  <c r="U69" i="13"/>
  <c r="K69" i="13"/>
  <c r="P69" i="13" s="1"/>
  <c r="U68" i="13"/>
  <c r="K68" i="13"/>
  <c r="P68" i="13" s="1"/>
  <c r="U67" i="13"/>
  <c r="K67" i="13"/>
  <c r="P67" i="13" s="1"/>
  <c r="U66" i="13"/>
  <c r="K66" i="13"/>
  <c r="P66" i="13" s="1"/>
  <c r="U65" i="13"/>
  <c r="K65" i="13"/>
  <c r="P65" i="13" s="1"/>
  <c r="U64" i="13"/>
  <c r="K64" i="13"/>
  <c r="P64" i="13" s="1"/>
  <c r="U63" i="13"/>
  <c r="K63" i="13"/>
  <c r="P63" i="13" s="1"/>
  <c r="U62" i="13"/>
  <c r="K62" i="13"/>
  <c r="P62" i="13" s="1"/>
  <c r="U61" i="13"/>
  <c r="K61" i="13"/>
  <c r="P61" i="13" s="1"/>
  <c r="U60" i="13"/>
  <c r="K60" i="13"/>
  <c r="P60" i="13" s="1"/>
  <c r="U59" i="13"/>
  <c r="K59" i="13"/>
  <c r="P59" i="13" s="1"/>
  <c r="U58" i="13"/>
  <c r="K58" i="13"/>
  <c r="P58" i="13" s="1"/>
  <c r="U57" i="13"/>
  <c r="K57" i="13"/>
  <c r="P57" i="13" s="1"/>
  <c r="U56" i="13"/>
  <c r="K56" i="13"/>
  <c r="P56" i="13" s="1"/>
  <c r="U55" i="13"/>
  <c r="K55" i="13"/>
  <c r="P55" i="13" s="1"/>
  <c r="U54" i="13"/>
  <c r="K54" i="13"/>
  <c r="P54" i="13" s="1"/>
  <c r="U53" i="13"/>
  <c r="K53" i="13"/>
  <c r="P53" i="13" s="1"/>
  <c r="U52" i="13"/>
  <c r="K52" i="13"/>
  <c r="P52" i="13" s="1"/>
  <c r="U51" i="13"/>
  <c r="K51" i="13"/>
  <c r="P51" i="13" s="1"/>
  <c r="U50" i="13"/>
  <c r="K50" i="13"/>
  <c r="P50" i="13" s="1"/>
  <c r="U49" i="13"/>
  <c r="K49" i="13"/>
  <c r="P49" i="13" s="1"/>
  <c r="U48" i="13"/>
  <c r="K48" i="13"/>
  <c r="P48" i="13" s="1"/>
  <c r="U47" i="13"/>
  <c r="K47" i="13"/>
  <c r="P47" i="13" s="1"/>
  <c r="U46" i="13"/>
  <c r="P46" i="13"/>
  <c r="K46" i="13"/>
  <c r="U45" i="13"/>
  <c r="K45" i="13"/>
  <c r="P45" i="13" s="1"/>
  <c r="U44" i="13"/>
  <c r="K44" i="13"/>
  <c r="P44" i="13" s="1"/>
  <c r="U43" i="13"/>
  <c r="K43" i="13"/>
  <c r="P43" i="13" s="1"/>
  <c r="U42" i="13"/>
  <c r="K42" i="13"/>
  <c r="P42" i="13" s="1"/>
  <c r="U41" i="13"/>
  <c r="K41" i="13"/>
  <c r="P41" i="13" s="1"/>
  <c r="U40" i="13"/>
  <c r="K40" i="13"/>
  <c r="P40" i="13" s="1"/>
  <c r="U39" i="13"/>
  <c r="K39" i="13"/>
  <c r="P39" i="13" s="1"/>
  <c r="U38" i="13"/>
  <c r="K38" i="13"/>
  <c r="P38" i="13" s="1"/>
  <c r="U37" i="13"/>
  <c r="K37" i="13"/>
  <c r="P37" i="13" s="1"/>
  <c r="U36" i="13"/>
  <c r="K36" i="13"/>
  <c r="P36" i="13" s="1"/>
  <c r="U35" i="13"/>
  <c r="K35" i="13"/>
  <c r="P35" i="13" s="1"/>
  <c r="U34" i="13"/>
  <c r="K34" i="13"/>
  <c r="P34" i="13" s="1"/>
  <c r="U33" i="13"/>
  <c r="K33" i="13"/>
  <c r="P33" i="13" s="1"/>
  <c r="U32" i="13"/>
  <c r="K32" i="13"/>
  <c r="P32" i="13" s="1"/>
  <c r="U31" i="13"/>
  <c r="K31" i="13"/>
  <c r="P31" i="13" s="1"/>
  <c r="U30" i="13"/>
  <c r="K30" i="13"/>
  <c r="P30" i="13" s="1"/>
  <c r="U29" i="13"/>
  <c r="P29" i="13"/>
  <c r="K29" i="13"/>
  <c r="U28" i="13"/>
  <c r="K28" i="13"/>
  <c r="P28" i="13" s="1"/>
  <c r="U27" i="13"/>
  <c r="K27" i="13"/>
  <c r="P27" i="13" s="1"/>
  <c r="U26" i="13"/>
  <c r="K26" i="13"/>
  <c r="P26" i="13" s="1"/>
  <c r="U25" i="13"/>
  <c r="K25" i="13"/>
  <c r="P25" i="13" s="1"/>
  <c r="U24" i="13"/>
  <c r="K24" i="13"/>
  <c r="P24" i="13" s="1"/>
  <c r="U23" i="13"/>
  <c r="K23" i="13"/>
  <c r="P23" i="13" s="1"/>
  <c r="U22" i="13"/>
  <c r="K22" i="13"/>
  <c r="P22" i="13" s="1"/>
  <c r="U21" i="13"/>
  <c r="K21" i="13"/>
  <c r="P21" i="13" s="1"/>
  <c r="U19" i="13"/>
  <c r="K19" i="13"/>
  <c r="P19" i="13" s="1"/>
  <c r="U18" i="13"/>
  <c r="K18" i="13"/>
  <c r="P18" i="13" s="1"/>
  <c r="U17" i="13"/>
  <c r="K17" i="13"/>
  <c r="P17" i="13" s="1"/>
  <c r="U16" i="13"/>
  <c r="K16" i="13"/>
  <c r="P16" i="13" s="1"/>
  <c r="U15" i="13"/>
  <c r="K15" i="13"/>
  <c r="P15" i="13" s="1"/>
  <c r="U14" i="13"/>
  <c r="K14" i="13"/>
  <c r="P14" i="13" s="1"/>
  <c r="U13" i="13"/>
  <c r="K13" i="13"/>
  <c r="P13" i="13" s="1"/>
  <c r="U12" i="13"/>
  <c r="K12" i="13"/>
  <c r="P12" i="13" s="1"/>
  <c r="U11" i="13"/>
  <c r="K11" i="13"/>
  <c r="P11" i="13" s="1"/>
  <c r="U10" i="13"/>
  <c r="K10" i="13"/>
  <c r="P10" i="13" s="1"/>
  <c r="U9" i="13"/>
  <c r="K9" i="13"/>
  <c r="P9" i="13" s="1"/>
  <c r="U8" i="13"/>
  <c r="K8" i="13"/>
  <c r="P8" i="13" s="1"/>
  <c r="U7" i="13"/>
  <c r="K7" i="13"/>
  <c r="P7" i="13" s="1"/>
  <c r="U6" i="13"/>
  <c r="K6" i="13"/>
  <c r="P6" i="13" s="1"/>
  <c r="U5" i="13"/>
  <c r="K5" i="13"/>
  <c r="P5" i="13" s="1"/>
  <c r="U4" i="13"/>
  <c r="K4" i="13"/>
  <c r="P4" i="13" s="1"/>
  <c r="U3" i="13"/>
  <c r="K3" i="13"/>
  <c r="P3" i="13" s="1"/>
  <c r="U2" i="13"/>
  <c r="K2" i="13"/>
  <c r="P2" i="13" s="1"/>
  <c r="M369" i="9"/>
  <c r="M368" i="9"/>
  <c r="M367" i="9"/>
  <c r="M366" i="9"/>
  <c r="M365" i="9"/>
  <c r="M364" i="9"/>
  <c r="M363" i="9"/>
  <c r="M362" i="9"/>
  <c r="M361" i="9"/>
  <c r="M360" i="9"/>
  <c r="M359" i="9"/>
  <c r="M358" i="9"/>
  <c r="M357" i="9"/>
  <c r="M356" i="9"/>
  <c r="M355" i="9"/>
  <c r="M354" i="9"/>
  <c r="M353" i="9"/>
  <c r="M352" i="9"/>
  <c r="M351" i="9"/>
  <c r="M350" i="9"/>
  <c r="M349" i="9"/>
  <c r="M348" i="9"/>
  <c r="M347" i="9"/>
  <c r="M346" i="9"/>
  <c r="M345" i="9"/>
  <c r="M344" i="9"/>
  <c r="M343" i="9"/>
  <c r="M342" i="9"/>
  <c r="M341" i="9"/>
  <c r="M340" i="9"/>
  <c r="M339" i="9"/>
  <c r="M338" i="9"/>
  <c r="M337" i="9"/>
  <c r="M336" i="9"/>
  <c r="M335" i="9"/>
  <c r="M334" i="9"/>
  <c r="M333" i="9"/>
  <c r="M332" i="9"/>
  <c r="M331" i="9"/>
  <c r="M330" i="9"/>
  <c r="M329" i="9"/>
  <c r="M328" i="9"/>
  <c r="M327" i="9"/>
  <c r="M326" i="9"/>
  <c r="M325" i="9"/>
  <c r="M324" i="9"/>
  <c r="M323" i="9"/>
  <c r="M322" i="9"/>
  <c r="M321" i="9"/>
  <c r="M320" i="9"/>
  <c r="M319" i="9"/>
  <c r="M318" i="9"/>
  <c r="M317" i="9"/>
  <c r="M316" i="9"/>
  <c r="M315" i="9"/>
  <c r="M314" i="9"/>
  <c r="M313" i="9"/>
  <c r="M312" i="9"/>
  <c r="M311" i="9"/>
  <c r="M310" i="9"/>
  <c r="M309" i="9"/>
  <c r="M308" i="9"/>
  <c r="M307" i="9"/>
  <c r="M306" i="9"/>
  <c r="M305" i="9"/>
  <c r="M304" i="9"/>
  <c r="M303" i="9"/>
  <c r="M302" i="9"/>
  <c r="M301" i="9"/>
  <c r="M300" i="9"/>
  <c r="M299" i="9"/>
  <c r="M298" i="9"/>
  <c r="M297" i="9"/>
  <c r="M296" i="9"/>
  <c r="M295" i="9"/>
  <c r="M294" i="9"/>
  <c r="M293" i="9"/>
  <c r="M292" i="9"/>
  <c r="M291" i="9"/>
  <c r="M290" i="9"/>
  <c r="M289" i="9"/>
  <c r="M288" i="9"/>
  <c r="M287" i="9"/>
  <c r="M286" i="9"/>
  <c r="M285" i="9"/>
  <c r="M284" i="9"/>
  <c r="M283" i="9"/>
  <c r="M282" i="9"/>
  <c r="M281" i="9"/>
  <c r="M280" i="9"/>
  <c r="M279" i="9"/>
  <c r="M278" i="9"/>
  <c r="M277" i="9"/>
  <c r="M276" i="9"/>
  <c r="M275" i="9"/>
  <c r="M274" i="9"/>
  <c r="M273" i="9"/>
  <c r="M272" i="9"/>
  <c r="M271" i="9"/>
  <c r="M270" i="9"/>
  <c r="M269" i="9"/>
  <c r="M268" i="9"/>
  <c r="M267" i="9"/>
  <c r="M266" i="9"/>
  <c r="M265" i="9"/>
  <c r="M264" i="9"/>
  <c r="M263" i="9"/>
  <c r="M262" i="9"/>
  <c r="M261" i="9"/>
  <c r="M260" i="9"/>
  <c r="M259" i="9"/>
  <c r="M258" i="9"/>
  <c r="M257" i="9"/>
  <c r="M256" i="9"/>
  <c r="M255" i="9"/>
  <c r="M254" i="9"/>
  <c r="M253" i="9"/>
  <c r="M252" i="9"/>
  <c r="M251" i="9"/>
  <c r="M250" i="9"/>
  <c r="M249" i="9"/>
  <c r="M248" i="9"/>
  <c r="M247" i="9"/>
  <c r="M246" i="9"/>
  <c r="M245" i="9"/>
  <c r="M244" i="9"/>
  <c r="M243" i="9"/>
  <c r="M242" i="9"/>
  <c r="M241" i="9"/>
  <c r="M240" i="9"/>
  <c r="M239" i="9"/>
  <c r="M238" i="9"/>
  <c r="M237" i="9"/>
  <c r="M236" i="9"/>
  <c r="M235" i="9"/>
  <c r="M234" i="9"/>
  <c r="M233" i="9"/>
  <c r="M232" i="9"/>
  <c r="M231" i="9"/>
  <c r="M230" i="9"/>
  <c r="M229" i="9"/>
  <c r="M228" i="9"/>
  <c r="M227" i="9"/>
  <c r="M226" i="9"/>
  <c r="M225" i="9"/>
  <c r="M224" i="9"/>
  <c r="M223" i="9"/>
  <c r="M222" i="9"/>
  <c r="M221" i="9"/>
  <c r="M220" i="9"/>
  <c r="M219" i="9"/>
  <c r="M218" i="9"/>
  <c r="M217" i="9"/>
  <c r="M216" i="9"/>
  <c r="M215" i="9"/>
  <c r="M214" i="9"/>
  <c r="M213" i="9"/>
  <c r="M212" i="9"/>
  <c r="M211" i="9"/>
  <c r="M210" i="9"/>
  <c r="M209" i="9"/>
  <c r="M208" i="9"/>
  <c r="M207" i="9"/>
  <c r="M206" i="9"/>
  <c r="M205" i="9"/>
  <c r="M204" i="9"/>
  <c r="M203" i="9"/>
  <c r="M202" i="9"/>
  <c r="M201" i="9"/>
  <c r="M200" i="9"/>
  <c r="M199" i="9"/>
  <c r="M198" i="9"/>
  <c r="M197" i="9"/>
  <c r="M196" i="9"/>
  <c r="M195" i="9"/>
  <c r="M194" i="9"/>
  <c r="M193" i="9"/>
  <c r="M192" i="9"/>
  <c r="M191" i="9"/>
  <c r="M190" i="9"/>
  <c r="M189" i="9"/>
  <c r="M188" i="9"/>
  <c r="M187" i="9"/>
  <c r="M186" i="9"/>
  <c r="M185" i="9"/>
  <c r="M184" i="9"/>
  <c r="M183" i="9"/>
  <c r="M182" i="9"/>
  <c r="M181" i="9"/>
  <c r="M180" i="9"/>
  <c r="M179" i="9"/>
  <c r="M178" i="9"/>
  <c r="M177" i="9"/>
  <c r="M176" i="9"/>
  <c r="M175" i="9"/>
  <c r="M174" i="9"/>
  <c r="M173" i="9"/>
  <c r="M172" i="9"/>
  <c r="M171" i="9"/>
  <c r="M170" i="9"/>
  <c r="M169" i="9"/>
  <c r="M168" i="9"/>
  <c r="M167" i="9"/>
  <c r="M166" i="9"/>
  <c r="M165" i="9"/>
  <c r="M164" i="9"/>
  <c r="M163" i="9"/>
  <c r="M162" i="9"/>
  <c r="M161" i="9"/>
  <c r="M160" i="9"/>
  <c r="M159" i="9"/>
  <c r="M158" i="9"/>
  <c r="M157" i="9"/>
  <c r="M156" i="9"/>
  <c r="M155" i="9"/>
  <c r="M154" i="9"/>
  <c r="M153" i="9"/>
  <c r="M152" i="9"/>
  <c r="M151" i="9"/>
  <c r="M150" i="9"/>
  <c r="M149" i="9"/>
  <c r="M148" i="9"/>
  <c r="M147" i="9"/>
  <c r="M146" i="9"/>
  <c r="M145" i="9"/>
  <c r="M144" i="9"/>
  <c r="M143" i="9"/>
  <c r="M142" i="9"/>
  <c r="M141" i="9"/>
  <c r="M140" i="9"/>
  <c r="M139" i="9"/>
  <c r="M138" i="9"/>
  <c r="M137" i="9"/>
  <c r="M136" i="9"/>
  <c r="M135" i="9"/>
  <c r="M134" i="9"/>
  <c r="M133" i="9"/>
  <c r="M132" i="9"/>
  <c r="M131" i="9"/>
  <c r="M130" i="9"/>
  <c r="M129" i="9"/>
  <c r="M128" i="9"/>
  <c r="M127" i="9"/>
  <c r="M126" i="9"/>
  <c r="M125" i="9"/>
  <c r="M124" i="9"/>
  <c r="M123" i="9"/>
  <c r="M122" i="9"/>
  <c r="M121" i="9"/>
  <c r="M120" i="9"/>
  <c r="M119" i="9"/>
  <c r="M118" i="9"/>
  <c r="M117" i="9"/>
  <c r="M116" i="9"/>
  <c r="M115" i="9"/>
  <c r="M114" i="9"/>
  <c r="M113" i="9"/>
  <c r="M112" i="9"/>
  <c r="M111" i="9"/>
  <c r="M110" i="9"/>
  <c r="M109" i="9"/>
  <c r="M108" i="9"/>
  <c r="M107" i="9"/>
  <c r="M106" i="9"/>
  <c r="M105" i="9"/>
  <c r="M104" i="9"/>
  <c r="M103" i="9"/>
  <c r="M102" i="9"/>
  <c r="M101" i="9"/>
  <c r="M100" i="9"/>
  <c r="M99" i="9"/>
  <c r="M98" i="9"/>
  <c r="M97" i="9"/>
  <c r="M96" i="9"/>
  <c r="M95" i="9"/>
  <c r="M94" i="9"/>
  <c r="M93" i="9"/>
  <c r="M92" i="9"/>
  <c r="M91" i="9"/>
  <c r="M90" i="9"/>
  <c r="M89" i="9"/>
  <c r="M88" i="9"/>
  <c r="M87" i="9"/>
  <c r="M86" i="9"/>
  <c r="M85" i="9"/>
  <c r="M84" i="9"/>
  <c r="M83" i="9"/>
  <c r="M82" i="9"/>
  <c r="M81" i="9"/>
  <c r="M80" i="9"/>
  <c r="M79" i="9"/>
  <c r="M78" i="9"/>
  <c r="M77" i="9"/>
  <c r="M76" i="9"/>
  <c r="M75" i="9"/>
  <c r="M74" i="9"/>
  <c r="M73" i="9"/>
  <c r="M72" i="9"/>
  <c r="M71" i="9"/>
  <c r="M70" i="9"/>
  <c r="M69" i="9"/>
  <c r="M68" i="9"/>
  <c r="M67" i="9"/>
  <c r="M66" i="9"/>
  <c r="M65" i="9"/>
  <c r="M64" i="9"/>
  <c r="M63" i="9"/>
  <c r="M62" i="9"/>
  <c r="M61" i="9"/>
  <c r="M60" i="9"/>
  <c r="M59" i="9"/>
  <c r="M58" i="9"/>
  <c r="M57" i="9"/>
  <c r="M56" i="9"/>
  <c r="M55" i="9"/>
  <c r="M54" i="9"/>
  <c r="M53" i="9"/>
  <c r="M52" i="9"/>
  <c r="M51" i="9"/>
  <c r="M50" i="9"/>
  <c r="M49" i="9"/>
  <c r="M48" i="9"/>
  <c r="M47" i="9"/>
  <c r="M46" i="9"/>
  <c r="M45" i="9"/>
  <c r="M44" i="9"/>
  <c r="M43" i="9"/>
  <c r="M42" i="9"/>
  <c r="M41" i="9"/>
  <c r="M40" i="9"/>
  <c r="M39" i="9"/>
  <c r="M38" i="9"/>
  <c r="M37" i="9"/>
  <c r="M36" i="9"/>
  <c r="M35" i="9"/>
  <c r="M34" i="9"/>
  <c r="M33" i="9"/>
  <c r="M32" i="9"/>
  <c r="M31" i="9"/>
  <c r="M30" i="9"/>
  <c r="M29" i="9"/>
  <c r="M28" i="9"/>
  <c r="M27" i="9"/>
  <c r="M26" i="9"/>
  <c r="M25" i="9"/>
  <c r="M24" i="9"/>
  <c r="M23" i="9"/>
  <c r="M22" i="9"/>
  <c r="M21" i="9"/>
  <c r="M20" i="9"/>
  <c r="M19" i="9"/>
  <c r="M18" i="9"/>
  <c r="M17" i="9"/>
  <c r="M16" i="9"/>
  <c r="M15" i="9"/>
  <c r="M14" i="9"/>
  <c r="M13" i="9"/>
  <c r="M12" i="9"/>
  <c r="M11" i="9"/>
  <c r="M10" i="9"/>
  <c r="M9" i="9"/>
  <c r="M8" i="9"/>
  <c r="M7" i="9"/>
  <c r="M6" i="9"/>
  <c r="M5" i="9"/>
  <c r="M4" i="9"/>
  <c r="M3" i="9"/>
  <c r="M2" i="9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D40" i="3"/>
  <c r="C40" i="3"/>
  <c r="B40" i="3"/>
  <c r="D39" i="3"/>
  <c r="C39" i="3"/>
  <c r="B39" i="3"/>
  <c r="E17" i="3"/>
  <c r="D17" i="3"/>
  <c r="C17" i="3"/>
  <c r="B17" i="3"/>
  <c r="E16" i="3"/>
  <c r="D16" i="3"/>
  <c r="C16" i="3"/>
  <c r="B16" i="3"/>
  <c r="B41" i="3"/>
  <c r="C41" i="3"/>
  <c r="D41" i="3"/>
  <c r="B42" i="3"/>
  <c r="C42" i="3"/>
  <c r="D42" i="3"/>
  <c r="F42" i="3" s="1"/>
  <c r="B43" i="3"/>
  <c r="C43" i="3"/>
  <c r="D43" i="3"/>
  <c r="B44" i="3"/>
  <c r="C44" i="3"/>
  <c r="D44" i="3"/>
  <c r="B45" i="3"/>
  <c r="C45" i="3"/>
  <c r="D45" i="3"/>
  <c r="B18" i="3"/>
  <c r="C18" i="3"/>
  <c r="D18" i="3"/>
  <c r="E18" i="3"/>
  <c r="B19" i="3"/>
  <c r="C19" i="3"/>
  <c r="D19" i="3"/>
  <c r="E19" i="3"/>
  <c r="F17" i="3"/>
  <c r="B27" i="3"/>
  <c r="D38" i="3"/>
  <c r="C38" i="3"/>
  <c r="B38" i="3"/>
  <c r="D37" i="3"/>
  <c r="C37" i="3"/>
  <c r="B37" i="3"/>
  <c r="D36" i="3"/>
  <c r="C36" i="3"/>
  <c r="B36" i="3"/>
  <c r="D35" i="3"/>
  <c r="C35" i="3"/>
  <c r="B35" i="3"/>
  <c r="D34" i="3"/>
  <c r="C34" i="3"/>
  <c r="B34" i="3"/>
  <c r="P86" i="2"/>
  <c r="P36" i="2"/>
  <c r="P37" i="2"/>
  <c r="P38" i="2"/>
  <c r="P39" i="2"/>
  <c r="P40" i="2"/>
  <c r="P41" i="2"/>
  <c r="F40" i="2"/>
  <c r="F41" i="2"/>
  <c r="F42" i="2"/>
  <c r="F43" i="2"/>
  <c r="F44" i="2"/>
  <c r="F39" i="2"/>
  <c r="O58" i="2"/>
  <c r="O59" i="2"/>
  <c r="O60" i="2"/>
  <c r="O61" i="2"/>
  <c r="O57" i="2"/>
  <c r="P15" i="2"/>
  <c r="P16" i="2"/>
  <c r="P14" i="2"/>
  <c r="F19" i="2"/>
  <c r="F17" i="2"/>
  <c r="F18" i="2"/>
  <c r="M50" i="3"/>
  <c r="L50" i="3"/>
  <c r="K50" i="3"/>
  <c r="J50" i="3"/>
  <c r="M49" i="3"/>
  <c r="L49" i="3"/>
  <c r="K49" i="3"/>
  <c r="J49" i="3"/>
  <c r="M48" i="3"/>
  <c r="L48" i="3"/>
  <c r="K48" i="3"/>
  <c r="J48" i="3"/>
  <c r="M47" i="3"/>
  <c r="L47" i="3"/>
  <c r="K47" i="3"/>
  <c r="J47" i="3"/>
  <c r="M46" i="3"/>
  <c r="L46" i="3"/>
  <c r="K46" i="3"/>
  <c r="J46" i="3"/>
  <c r="M45" i="3"/>
  <c r="L45" i="3"/>
  <c r="K45" i="3"/>
  <c r="J45" i="3"/>
  <c r="N44" i="3"/>
  <c r="M44" i="3"/>
  <c r="L44" i="3"/>
  <c r="K44" i="3"/>
  <c r="J44" i="3"/>
  <c r="D33" i="3"/>
  <c r="C33" i="3"/>
  <c r="B33" i="3"/>
  <c r="D32" i="3"/>
  <c r="C32" i="3"/>
  <c r="B32" i="3"/>
  <c r="D31" i="3"/>
  <c r="C31" i="3"/>
  <c r="B31" i="3"/>
  <c r="D30" i="3"/>
  <c r="C30" i="3"/>
  <c r="B30" i="3"/>
  <c r="D28" i="3"/>
  <c r="C28" i="3"/>
  <c r="B28" i="3"/>
  <c r="D27" i="3"/>
  <c r="C27" i="3"/>
  <c r="E15" i="3"/>
  <c r="D14" i="3"/>
  <c r="B14" i="3"/>
  <c r="O12" i="3"/>
  <c r="N12" i="3"/>
  <c r="M12" i="3"/>
  <c r="L12" i="3"/>
  <c r="K12" i="3"/>
  <c r="J12" i="3"/>
  <c r="B12" i="3"/>
  <c r="O11" i="3"/>
  <c r="N11" i="3"/>
  <c r="M11" i="3"/>
  <c r="L11" i="3"/>
  <c r="K11" i="3"/>
  <c r="J11" i="3"/>
  <c r="E11" i="3"/>
  <c r="O10" i="3"/>
  <c r="N10" i="3"/>
  <c r="M10" i="3"/>
  <c r="L10" i="3"/>
  <c r="K10" i="3"/>
  <c r="J10" i="3"/>
  <c r="D10" i="3"/>
  <c r="B10" i="3"/>
  <c r="O9" i="3"/>
  <c r="N9" i="3"/>
  <c r="M9" i="3"/>
  <c r="L9" i="3"/>
  <c r="K9" i="3"/>
  <c r="J9" i="3"/>
  <c r="O8" i="3"/>
  <c r="N8" i="3"/>
  <c r="M8" i="3"/>
  <c r="L8" i="3"/>
  <c r="K8" i="3"/>
  <c r="J8" i="3"/>
  <c r="B8" i="3"/>
  <c r="O7" i="3"/>
  <c r="N7" i="3"/>
  <c r="M7" i="3"/>
  <c r="L7" i="3"/>
  <c r="K7" i="3"/>
  <c r="J7" i="3"/>
  <c r="E7" i="3"/>
  <c r="C7" i="3"/>
  <c r="O6" i="3"/>
  <c r="N6" i="3"/>
  <c r="M6" i="3"/>
  <c r="L6" i="3"/>
  <c r="K6" i="3"/>
  <c r="J6" i="3"/>
  <c r="D6" i="3"/>
  <c r="B6" i="3"/>
  <c r="O5" i="3"/>
  <c r="N5" i="3"/>
  <c r="M5" i="3"/>
  <c r="L5" i="3"/>
  <c r="K5" i="3"/>
  <c r="J5" i="3"/>
  <c r="P5" i="3" s="1"/>
  <c r="O4" i="3"/>
  <c r="N4" i="3"/>
  <c r="M4" i="3"/>
  <c r="L4" i="3"/>
  <c r="K4" i="3"/>
  <c r="J4" i="3"/>
  <c r="B4" i="3"/>
  <c r="O3" i="3"/>
  <c r="N3" i="3"/>
  <c r="M3" i="3"/>
  <c r="L3" i="3"/>
  <c r="K3" i="3"/>
  <c r="J3" i="3"/>
  <c r="P3" i="3" s="1"/>
  <c r="E3" i="3"/>
  <c r="C3" i="3"/>
  <c r="O56" i="2"/>
  <c r="O55" i="2"/>
  <c r="O54" i="2"/>
  <c r="O53" i="2"/>
  <c r="O52" i="2"/>
  <c r="O51" i="2"/>
  <c r="O50" i="2"/>
  <c r="O49" i="2"/>
  <c r="O48" i="2"/>
  <c r="O47" i="2"/>
  <c r="F38" i="2"/>
  <c r="F37" i="2"/>
  <c r="P35" i="2"/>
  <c r="F36" i="2"/>
  <c r="P34" i="2"/>
  <c r="F35" i="2"/>
  <c r="P33" i="2"/>
  <c r="F34" i="2"/>
  <c r="P32" i="2"/>
  <c r="F33" i="2"/>
  <c r="P31" i="2"/>
  <c r="F32" i="2"/>
  <c r="P30" i="2"/>
  <c r="F31" i="2"/>
  <c r="P29" i="2"/>
  <c r="F30" i="2"/>
  <c r="P28" i="2"/>
  <c r="F29" i="2"/>
  <c r="P27" i="2"/>
  <c r="F28" i="2"/>
  <c r="P26" i="2"/>
  <c r="F27" i="2"/>
  <c r="P25" i="2"/>
  <c r="P42" i="2" s="1"/>
  <c r="D15" i="3"/>
  <c r="C15" i="3"/>
  <c r="B15" i="3"/>
  <c r="E14" i="3"/>
  <c r="C14" i="3"/>
  <c r="F14" i="2"/>
  <c r="P13" i="2"/>
  <c r="F13" i="2"/>
  <c r="D13" i="3"/>
  <c r="C13" i="3"/>
  <c r="B13" i="3"/>
  <c r="P12" i="2"/>
  <c r="E12" i="3"/>
  <c r="D12" i="3"/>
  <c r="C12" i="3"/>
  <c r="P11" i="2"/>
  <c r="D11" i="3"/>
  <c r="C11" i="3"/>
  <c r="B11" i="3"/>
  <c r="P10" i="2"/>
  <c r="E10" i="3"/>
  <c r="C10" i="3"/>
  <c r="F10" i="2"/>
  <c r="P9" i="2"/>
  <c r="F9" i="2"/>
  <c r="D9" i="3"/>
  <c r="C9" i="3"/>
  <c r="B9" i="3"/>
  <c r="P8" i="2"/>
  <c r="E8" i="3"/>
  <c r="D8" i="3"/>
  <c r="C8" i="3"/>
  <c r="P7" i="2"/>
  <c r="D7" i="3"/>
  <c r="B7" i="3"/>
  <c r="P6" i="2"/>
  <c r="E6" i="3"/>
  <c r="C6" i="3"/>
  <c r="F6" i="2"/>
  <c r="P5" i="2"/>
  <c r="F5" i="2"/>
  <c r="D5" i="3"/>
  <c r="C5" i="3"/>
  <c r="B5" i="3"/>
  <c r="P4" i="2"/>
  <c r="E4" i="3"/>
  <c r="D4" i="3"/>
  <c r="F4" i="2"/>
  <c r="P3" i="2"/>
  <c r="D3" i="3"/>
  <c r="B3" i="3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R2" i="1" s="1"/>
  <c r="K4" i="14" l="1"/>
  <c r="K6" i="14"/>
  <c r="P6" i="3"/>
  <c r="P30" i="3"/>
  <c r="P7" i="3"/>
  <c r="P81" i="3"/>
  <c r="P67" i="3"/>
  <c r="O55" i="3"/>
  <c r="P80" i="3"/>
  <c r="O56" i="3"/>
  <c r="O59" i="3"/>
  <c r="P4" i="3"/>
  <c r="P74" i="3"/>
  <c r="O62" i="2"/>
  <c r="P29" i="3"/>
  <c r="P33" i="3"/>
  <c r="P82" i="3"/>
  <c r="P79" i="3"/>
  <c r="P69" i="3"/>
  <c r="P66" i="3"/>
  <c r="O58" i="3"/>
  <c r="P20" i="2"/>
  <c r="P35" i="3"/>
  <c r="P28" i="3"/>
  <c r="F37" i="3"/>
  <c r="P16" i="3"/>
  <c r="F16" i="3"/>
  <c r="F45" i="3"/>
  <c r="P26" i="3"/>
  <c r="F32" i="3"/>
  <c r="P32" i="3"/>
  <c r="P14" i="3"/>
  <c r="P13" i="3"/>
  <c r="P36" i="3"/>
  <c r="P31" i="3"/>
  <c r="P27" i="3"/>
  <c r="P15" i="3"/>
  <c r="P18" i="3"/>
  <c r="F18" i="3"/>
  <c r="P19" i="3"/>
  <c r="P25" i="3"/>
  <c r="P17" i="3"/>
  <c r="P34" i="3"/>
  <c r="P38" i="3"/>
  <c r="P39" i="3"/>
  <c r="O53" i="3"/>
  <c r="F39" i="3"/>
  <c r="F41" i="3"/>
  <c r="F40" i="3"/>
  <c r="F43" i="3"/>
  <c r="F44" i="3"/>
  <c r="F45" i="2"/>
  <c r="O44" i="3"/>
  <c r="F30" i="3"/>
  <c r="O54" i="3"/>
  <c r="O51" i="3"/>
  <c r="F33" i="3"/>
  <c r="F31" i="3"/>
  <c r="O48" i="3"/>
  <c r="F34" i="3"/>
  <c r="O45" i="3"/>
  <c r="O52" i="3"/>
  <c r="F28" i="3"/>
  <c r="F35" i="3"/>
  <c r="O50" i="3"/>
  <c r="F36" i="3"/>
  <c r="O47" i="3"/>
  <c r="F29" i="3"/>
  <c r="F38" i="3"/>
  <c r="F14" i="3"/>
  <c r="F27" i="3"/>
  <c r="O46" i="3"/>
  <c r="O49" i="3"/>
  <c r="F10" i="3"/>
  <c r="F12" i="3"/>
  <c r="F3" i="3"/>
  <c r="F11" i="3"/>
  <c r="F6" i="3"/>
  <c r="F8" i="3"/>
  <c r="F7" i="3"/>
  <c r="F15" i="3"/>
  <c r="E9" i="3"/>
  <c r="F9" i="3" s="1"/>
  <c r="F3" i="2"/>
  <c r="F7" i="2"/>
  <c r="F11" i="2"/>
  <c r="F15" i="2"/>
  <c r="F12" i="2"/>
  <c r="F16" i="2"/>
  <c r="E13" i="3"/>
  <c r="F13" i="3" s="1"/>
  <c r="F8" i="2"/>
  <c r="E5" i="3"/>
  <c r="F5" i="3" s="1"/>
  <c r="C4" i="3"/>
  <c r="F4" i="3" s="1"/>
  <c r="P83" i="3" l="1"/>
  <c r="P20" i="3"/>
  <c r="F20" i="2"/>
  <c r="F46" i="3"/>
  <c r="P40" i="3"/>
  <c r="O60" i="3"/>
  <c r="F20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<sst xmlns="http://schemas.openxmlformats.org/spreadsheetml/2006/main" count="444" uniqueCount="88">
  <si>
    <t>TANGGAL</t>
  </si>
  <si>
    <t>TEAM CUTTING</t>
  </si>
  <si>
    <t>MODEL</t>
  </si>
  <si>
    <t>VARIAN WARNA</t>
  </si>
  <si>
    <t>ROLL</t>
  </si>
  <si>
    <t>Lebih size S</t>
  </si>
  <si>
    <t>4/S</t>
  </si>
  <si>
    <t>6/M</t>
  </si>
  <si>
    <t>8/L</t>
  </si>
  <si>
    <t>10/XL</t>
  </si>
  <si>
    <t>JUMLAH</t>
  </si>
  <si>
    <t>PENJAHIT</t>
  </si>
  <si>
    <t>JANGGAN PANJANG</t>
  </si>
  <si>
    <t>DUSTY</t>
  </si>
  <si>
    <t>NAVY</t>
  </si>
  <si>
    <t>EMERALD GREEN</t>
  </si>
  <si>
    <t>KUTUBARU</t>
  </si>
  <si>
    <t>DENIM</t>
  </si>
  <si>
    <t>MAHOGANY</t>
  </si>
  <si>
    <t>SAGE</t>
  </si>
  <si>
    <t>BURGUNDY</t>
  </si>
  <si>
    <t>ROSEGOLD</t>
  </si>
  <si>
    <t>BABYBLUE</t>
  </si>
  <si>
    <t>COKSU</t>
  </si>
  <si>
    <t>GOTIK</t>
  </si>
  <si>
    <t>MAROON</t>
  </si>
  <si>
    <t>HITAM</t>
  </si>
  <si>
    <t>TOTAL</t>
  </si>
  <si>
    <t>WARNA</t>
  </si>
  <si>
    <t>S</t>
  </si>
  <si>
    <t>M</t>
  </si>
  <si>
    <t>L</t>
  </si>
  <si>
    <t>XL</t>
  </si>
  <si>
    <t>BERGUNDI</t>
  </si>
  <si>
    <t>MARON</t>
  </si>
  <si>
    <t>GOLD</t>
  </si>
  <si>
    <t>FUCIA</t>
  </si>
  <si>
    <t>SILVER</t>
  </si>
  <si>
    <t>SLAYER</t>
  </si>
  <si>
    <t>JANGGAN PENDEK</t>
  </si>
  <si>
    <t>EMERALD BLUE</t>
  </si>
  <si>
    <t>VARIAN</t>
  </si>
  <si>
    <t>UKURAN</t>
  </si>
  <si>
    <t>JUMLAH KELUAR</t>
  </si>
  <si>
    <t>JUMLAH MASUK</t>
  </si>
  <si>
    <t>No Surat Jalan</t>
  </si>
  <si>
    <t>-/+</t>
  </si>
  <si>
    <t>BROKEN WHITE</t>
  </si>
  <si>
    <t>MILO</t>
  </si>
  <si>
    <t>BUTTER YELLOW</t>
  </si>
  <si>
    <t>ROK DUYUNG</t>
  </si>
  <si>
    <t>KANCING</t>
  </si>
  <si>
    <t>TGL SETOR</t>
  </si>
  <si>
    <t>PENYELESAIAN</t>
  </si>
  <si>
    <t>ACIL</t>
  </si>
  <si>
    <t>KANE</t>
  </si>
  <si>
    <t>MIMIH</t>
  </si>
  <si>
    <t>THE YANI</t>
  </si>
  <si>
    <t>BU NANANG</t>
  </si>
  <si>
    <t>MAMAH</t>
  </si>
  <si>
    <t>BI NUR</t>
  </si>
  <si>
    <t>SEARCH</t>
  </si>
  <si>
    <t/>
  </si>
  <si>
    <t>ROK PLISKET</t>
  </si>
  <si>
    <t>JIMAT/FERRY</t>
  </si>
  <si>
    <t>JIMAT/EKI</t>
  </si>
  <si>
    <t>JIMAT/RANGGA</t>
  </si>
  <si>
    <t>FERRY/RANGGA</t>
  </si>
  <si>
    <t>JIMAT/GILANG</t>
  </si>
  <si>
    <t>RANGGA/GILANG</t>
  </si>
  <si>
    <t>SITI</t>
  </si>
  <si>
    <t>MAMAH FAHMI</t>
  </si>
  <si>
    <t>BU KARLAN</t>
  </si>
  <si>
    <t>BU ENUNG</t>
  </si>
  <si>
    <t>KARLINA</t>
  </si>
  <si>
    <t>KIKI</t>
  </si>
  <si>
    <t>BAHAN</t>
  </si>
  <si>
    <t>BROKAT</t>
  </si>
  <si>
    <t>TILLE</t>
  </si>
  <si>
    <t>FUKORO</t>
  </si>
  <si>
    <t>PURING</t>
  </si>
  <si>
    <t>ROK BATIK</t>
  </si>
  <si>
    <t>STOCK</t>
  </si>
  <si>
    <t>INCOMING</t>
  </si>
  <si>
    <t>NO</t>
  </si>
  <si>
    <t>STOCK OPNAME</t>
  </si>
  <si>
    <t>DUSTY HITAM</t>
  </si>
  <si>
    <t>BELUM SELESAI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</si>
</sst>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7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name val="Calibri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u/>
      <sz val="18"/>
      <color theme="1"/>
      <name val="Arial"/>
      <family val="2"/>
    </font>
    <font>
      <b/>
      <u/>
      <sz val="20"/>
      <color theme="1"/>
      <name val="Arial"/>
      <family val="2"/>
    </font>
    <font>
      <sz val="10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2" tint="-4.9989318521683403E-2"/>
        <bgColor rgb="FFFF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6">
    <xf numFmtId="0" fontId="0" fillId="0" borderId="0" xfId="0"/>
    <xf numFmtId="0" fontId="7" fillId="0" borderId="0" xfId="0" applyFont="1"/>
    <xf numFmtId="0" fontId="8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8" fillId="0" borderId="7" xfId="0" applyFont="1" applyBorder="1"/>
    <xf numFmtId="0" fontId="7" fillId="0" borderId="7" xfId="0" applyFont="1" applyBorder="1"/>
    <xf numFmtId="0" fontId="4" fillId="0" borderId="7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0" fillId="0" borderId="7" xfId="0" applyBorder="1"/>
    <xf numFmtId="0" fontId="10" fillId="4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1" fillId="4" borderId="0" xfId="0" applyFont="1" applyFill="1" applyAlignment="1">
      <alignment vertical="center"/>
    </xf>
    <xf numFmtId="0" fontId="12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13" fillId="0" borderId="0" xfId="0" applyFont="1"/>
    <xf numFmtId="0" fontId="12" fillId="0" borderId="0" xfId="0" applyFont="1"/>
    <xf numFmtId="0" fontId="12" fillId="2" borderId="0" xfId="0" applyFont="1" applyFill="1"/>
    <xf numFmtId="0" fontId="10" fillId="4" borderId="9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7" xfId="0" quotePrefix="1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vertical="center"/>
    </xf>
    <xf numFmtId="0" fontId="13" fillId="0" borderId="9" xfId="0" applyFont="1" applyBorder="1"/>
    <xf numFmtId="0" fontId="13" fillId="0" borderId="7" xfId="0" applyFont="1" applyBorder="1"/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0" fontId="8" fillId="0" borderId="1" xfId="0" applyFont="1" applyBorder="1" applyAlignment="1">
      <alignment vertical="center"/>
    </xf>
    <xf numFmtId="0" fontId="8" fillId="0" borderId="2" xfId="0" applyFont="1" applyBorder="1"/>
    <xf numFmtId="0" fontId="7" fillId="0" borderId="2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9" fillId="0" borderId="1" xfId="0" applyFont="1" applyBorder="1"/>
    <xf numFmtId="0" fontId="3" fillId="0" borderId="0" xfId="0" applyFont="1"/>
    <xf numFmtId="0" fontId="3" fillId="0" borderId="0" xfId="0" applyFont="1" applyAlignment="1">
      <alignment vertical="center"/>
    </xf>
    <xf numFmtId="0" fontId="7" fillId="0" borderId="10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8" fillId="0" borderId="3" xfId="0" applyFont="1" applyBorder="1"/>
    <xf numFmtId="0" fontId="9" fillId="0" borderId="10" xfId="0" applyFont="1" applyBorder="1"/>
    <xf numFmtId="0" fontId="9" fillId="0" borderId="7" xfId="0" applyFont="1" applyBorder="1"/>
    <xf numFmtId="0" fontId="7" fillId="0" borderId="8" xfId="0" applyFont="1" applyBorder="1"/>
    <xf numFmtId="164" fontId="8" fillId="0" borderId="7" xfId="0" applyNumberFormat="1" applyFont="1" applyBorder="1" applyAlignment="1">
      <alignment vertical="center"/>
    </xf>
    <xf numFmtId="14" fontId="8" fillId="0" borderId="7" xfId="0" applyNumberFormat="1" applyFont="1" applyBorder="1" applyAlignment="1">
      <alignment vertical="center" wrapText="1"/>
    </xf>
    <xf numFmtId="164" fontId="7" fillId="0" borderId="7" xfId="0" applyNumberFormat="1" applyFont="1" applyBorder="1" applyAlignment="1">
      <alignment vertical="center"/>
    </xf>
    <xf numFmtId="0" fontId="13" fillId="0" borderId="9" xfId="0" applyFont="1" applyBorder="1" applyAlignment="1">
      <alignment horizontal="center"/>
    </xf>
    <xf numFmtId="14" fontId="12" fillId="0" borderId="1" xfId="0" applyNumberFormat="1" applyFont="1" applyBorder="1" applyAlignment="1">
      <alignment horizontal="center"/>
    </xf>
    <xf numFmtId="14" fontId="13" fillId="0" borderId="1" xfId="0" applyNumberFormat="1" applyFont="1" applyBorder="1" applyAlignment="1">
      <alignment horizontal="center"/>
    </xf>
    <xf numFmtId="14" fontId="13" fillId="0" borderId="9" xfId="0" applyNumberFormat="1" applyFont="1" applyBorder="1" applyAlignment="1">
      <alignment horizontal="center"/>
    </xf>
    <xf numFmtId="0" fontId="10" fillId="4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9" borderId="0" xfId="0" applyFont="1" applyFill="1" applyAlignment="1">
      <alignment vertical="center"/>
    </xf>
    <xf numFmtId="0" fontId="10" fillId="5" borderId="7" xfId="0" applyFont="1" applyFill="1" applyBorder="1" applyAlignment="1">
      <alignment horizontal="center" vertical="center"/>
    </xf>
    <xf numFmtId="0" fontId="7" fillId="0" borderId="2" xfId="0" applyFont="1" applyBorder="1"/>
    <xf numFmtId="0" fontId="7" fillId="0" borderId="3" xfId="0" applyFont="1" applyBorder="1"/>
    <xf numFmtId="0" fontId="7" fillId="0" borderId="3" xfId="0" applyFont="1" applyBorder="1" applyAlignment="1">
      <alignment horizontal="center"/>
    </xf>
    <xf numFmtId="0" fontId="2" fillId="0" borderId="0" xfId="0" applyFont="1"/>
    <xf numFmtId="0" fontId="7" fillId="0" borderId="8" xfId="0" applyFont="1" applyBorder="1" applyAlignment="1">
      <alignment horizontal="center"/>
    </xf>
    <xf numFmtId="0" fontId="9" fillId="0" borderId="2" xfId="0" applyFont="1" applyBorder="1"/>
    <xf numFmtId="0" fontId="8" fillId="10" borderId="1" xfId="0" applyFont="1" applyFill="1" applyBorder="1" applyAlignment="1">
      <alignment horizontal="center"/>
    </xf>
    <xf numFmtId="0" fontId="8" fillId="10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/>
    </xf>
    <xf numFmtId="0" fontId="8" fillId="9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/>
    </xf>
    <xf numFmtId="0" fontId="8" fillId="11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3" fillId="0" borderId="7" xfId="0" applyFont="1" applyBorder="1"/>
    <xf numFmtId="0" fontId="3" fillId="0" borderId="7" xfId="0" applyFont="1" applyBorder="1" applyAlignment="1">
      <alignment vertical="center"/>
    </xf>
    <xf numFmtId="0" fontId="2" fillId="0" borderId="7" xfId="0" applyFont="1" applyBorder="1"/>
    <xf numFmtId="0" fontId="10" fillId="12" borderId="7" xfId="0" applyFont="1" applyFill="1" applyBorder="1" applyAlignment="1">
      <alignment horizontal="center"/>
    </xf>
    <xf numFmtId="0" fontId="12" fillId="13" borderId="7" xfId="0" applyFont="1" applyFill="1" applyBorder="1" applyAlignment="1">
      <alignment horizontal="center"/>
    </xf>
    <xf numFmtId="0" fontId="15" fillId="4" borderId="0" xfId="0" applyFont="1" applyFill="1" applyAlignment="1">
      <alignment vertical="center"/>
    </xf>
    <xf numFmtId="0" fontId="16" fillId="0" borderId="7" xfId="0" applyFont="1" applyBorder="1"/>
    <xf numFmtId="0" fontId="1" fillId="0" borderId="0" xfId="0" applyFont="1"/>
    <xf numFmtId="0" fontId="15" fillId="4" borderId="0" xfId="0" applyFont="1" applyFill="1" applyAlignment="1">
      <alignment horizontal="center" vertical="center"/>
    </xf>
    <xf numFmtId="0" fontId="15" fillId="4" borderId="0" xfId="0" applyFont="1" applyFill="1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8" fillId="10" borderId="4" xfId="0" applyFont="1" applyFill="1" applyBorder="1" applyAlignment="1">
      <alignment horizontal="center"/>
    </xf>
    <xf numFmtId="0" fontId="6" fillId="10" borderId="5" xfId="0" applyFont="1" applyFill="1" applyBorder="1"/>
    <xf numFmtId="0" fontId="6" fillId="10" borderId="6" xfId="0" applyFont="1" applyFill="1" applyBorder="1"/>
    <xf numFmtId="0" fontId="8" fillId="10" borderId="2" xfId="0" applyFont="1" applyFill="1" applyBorder="1" applyAlignment="1">
      <alignment horizontal="center" vertical="center"/>
    </xf>
    <xf numFmtId="0" fontId="6" fillId="10" borderId="3" xfId="0" applyFont="1" applyFill="1" applyBorder="1"/>
    <xf numFmtId="0" fontId="8" fillId="9" borderId="4" xfId="0" applyFont="1" applyFill="1" applyBorder="1" applyAlignment="1">
      <alignment horizontal="center"/>
    </xf>
    <xf numFmtId="0" fontId="6" fillId="9" borderId="5" xfId="0" applyFont="1" applyFill="1" applyBorder="1"/>
    <xf numFmtId="0" fontId="6" fillId="9" borderId="6" xfId="0" applyFont="1" applyFill="1" applyBorder="1"/>
    <xf numFmtId="0" fontId="8" fillId="9" borderId="2" xfId="0" applyFont="1" applyFill="1" applyBorder="1" applyAlignment="1">
      <alignment horizontal="center" vertical="center"/>
    </xf>
    <xf numFmtId="0" fontId="6" fillId="9" borderId="3" xfId="0" applyFont="1" applyFill="1" applyBorder="1"/>
    <xf numFmtId="0" fontId="8" fillId="6" borderId="4" xfId="0" applyFont="1" applyFill="1" applyBorder="1" applyAlignment="1">
      <alignment horizontal="center"/>
    </xf>
    <xf numFmtId="0" fontId="6" fillId="6" borderId="5" xfId="0" applyFont="1" applyFill="1" applyBorder="1"/>
    <xf numFmtId="0" fontId="6" fillId="6" borderId="6" xfId="0" applyFont="1" applyFill="1" applyBorder="1"/>
    <xf numFmtId="0" fontId="8" fillId="6" borderId="2" xfId="0" applyFont="1" applyFill="1" applyBorder="1" applyAlignment="1">
      <alignment horizontal="center" vertical="center"/>
    </xf>
    <xf numFmtId="0" fontId="6" fillId="6" borderId="3" xfId="0" applyFont="1" applyFill="1" applyBorder="1"/>
    <xf numFmtId="0" fontId="8" fillId="7" borderId="4" xfId="0" applyFont="1" applyFill="1" applyBorder="1" applyAlignment="1">
      <alignment horizontal="center"/>
    </xf>
    <xf numFmtId="0" fontId="6" fillId="7" borderId="5" xfId="0" applyFont="1" applyFill="1" applyBorder="1"/>
    <xf numFmtId="0" fontId="6" fillId="7" borderId="6" xfId="0" applyFont="1" applyFill="1" applyBorder="1"/>
    <xf numFmtId="0" fontId="8" fillId="7" borderId="2" xfId="0" applyFont="1" applyFill="1" applyBorder="1" applyAlignment="1">
      <alignment horizontal="center" vertical="center"/>
    </xf>
    <xf numFmtId="0" fontId="6" fillId="7" borderId="3" xfId="0" applyFont="1" applyFill="1" applyBorder="1"/>
    <xf numFmtId="0" fontId="8" fillId="11" borderId="2" xfId="0" applyFont="1" applyFill="1" applyBorder="1" applyAlignment="1">
      <alignment horizontal="center" vertical="center"/>
    </xf>
    <xf numFmtId="0" fontId="6" fillId="11" borderId="3" xfId="0" applyFont="1" applyFill="1" applyBorder="1"/>
    <xf numFmtId="0" fontId="8" fillId="8" borderId="4" xfId="0" applyFont="1" applyFill="1" applyBorder="1" applyAlignment="1">
      <alignment horizontal="center"/>
    </xf>
    <xf numFmtId="0" fontId="6" fillId="8" borderId="5" xfId="0" applyFont="1" applyFill="1" applyBorder="1"/>
    <xf numFmtId="0" fontId="6" fillId="8" borderId="6" xfId="0" applyFont="1" applyFill="1" applyBorder="1"/>
    <xf numFmtId="0" fontId="8" fillId="8" borderId="2" xfId="0" applyFont="1" applyFill="1" applyBorder="1" applyAlignment="1">
      <alignment horizontal="center" vertical="center"/>
    </xf>
    <xf numFmtId="0" fontId="6" fillId="8" borderId="3" xfId="0" applyFont="1" applyFill="1" applyBorder="1"/>
    <xf numFmtId="0" fontId="8" fillId="11" borderId="4" xfId="0" applyFont="1" applyFill="1" applyBorder="1" applyAlignment="1">
      <alignment horizontal="center"/>
    </xf>
    <xf numFmtId="0" fontId="6" fillId="11" borderId="5" xfId="0" applyFont="1" applyFill="1" applyBorder="1"/>
    <xf numFmtId="0" fontId="6" fillId="11" borderId="6" xfId="0" applyFont="1" applyFill="1" applyBorder="1"/>
    <xf numFmtId="164" fontId="7" fillId="0" borderId="0" xfId="0" applyNumberFormat="1" applyFont="1" applyAlignment="1">
      <alignment vertical="center"/>
    </xf>
    <xf numFmtId="0" fontId="0" fillId="0" borderId="0" xfId="0"/>
  </cellXfs>
  <cellStyles count="1">
    <cellStyle name="Normal" xfId="0" builtinId="0"/>
  </cellStyles>
  <dxfs count="9">
    <dxf>
      <font>
        <color theme="1"/>
      </font>
      <fill>
        <patternFill patternType="solid">
          <fgColor rgb="FFF50707"/>
          <bgColor rgb="FFF50707"/>
        </patternFill>
      </fill>
    </dxf>
    <dxf>
      <font>
        <color theme="1"/>
      </font>
      <fill>
        <patternFill patternType="solid">
          <fgColor rgb="FFF50707"/>
          <bgColor rgb="FFF5070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63500</xdr:colOff>
          <xdr:row>0</xdr:row>
          <xdr:rowOff>76200</xdr:rowOff>
        </xdr:from>
        <xdr:to>
          <xdr:col>27</xdr:col>
          <xdr:colOff>2419350</xdr:colOff>
          <xdr:row>0</xdr:row>
          <xdr:rowOff>381000</xdr:rowOff>
        </xdr:to>
        <xdr:sp macro="" textlink="">
          <xdr:nvSpPr>
            <xdr:cNvPr id="17409" name="TextBox1" hidden="1">
              <a:extLst>
                <a:ext uri="{63B3BB69-23CF-44E3-9099-C40C66FF867C}">
                  <a14:compatExt spid="_x0000_s17409"/>
                </a:ext>
                <a:ext uri="{FF2B5EF4-FFF2-40B4-BE49-F238E27FC236}">
                  <a16:creationId xmlns:a16="http://schemas.microsoft.com/office/drawing/2014/main" id="{00000000-0008-0000-0300-000001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B33F2-8EF9-4A08-9E44-1A83A7C0AB57}">
  <sheetPr codeName="Sheet7"/>
  <dimension ref="A1:F20"/>
  <sheetViews>
    <sheetView topLeftCell="A10" workbookViewId="0">
      <selection activeCell="A21" sqref="A21"/>
    </sheetView>
  </sheetViews>
  <sheetFormatPr defaultRowHeight="14.5"/>
  <cols>
    <col min="1" max="1" width="19" style="38" customWidth="1"/>
    <col min="2" max="2" width="17.36328125" bestFit="1" customWidth="1"/>
    <col min="3" max="3" width="14.26953125" bestFit="1" customWidth="1"/>
    <col min="4" max="4" width="14.08984375" bestFit="1" customWidth="1"/>
  </cols>
  <sheetData>
    <row r="1" spans="1:6">
      <c r="A1" s="38" t="s">
        <v>18</v>
      </c>
      <c r="B1" t="s">
        <v>24</v>
      </c>
      <c r="C1" t="s">
        <v>64</v>
      </c>
      <c r="D1" t="s">
        <v>54</v>
      </c>
      <c r="E1" t="s">
        <v>56</v>
      </c>
      <c r="F1" t="s">
        <v>77</v>
      </c>
    </row>
    <row r="2" spans="1:6">
      <c r="A2" s="38" t="s">
        <v>20</v>
      </c>
      <c r="B2" t="s">
        <v>38</v>
      </c>
      <c r="C2" t="s">
        <v>65</v>
      </c>
      <c r="D2" t="s">
        <v>55</v>
      </c>
      <c r="E2" t="s">
        <v>60</v>
      </c>
      <c r="F2" t="s">
        <v>78</v>
      </c>
    </row>
    <row r="3" spans="1:6">
      <c r="A3" s="38" t="s">
        <v>17</v>
      </c>
      <c r="B3" t="s">
        <v>16</v>
      </c>
      <c r="C3" t="s">
        <v>66</v>
      </c>
      <c r="D3" t="s">
        <v>57</v>
      </c>
      <c r="F3" t="s">
        <v>79</v>
      </c>
    </row>
    <row r="4" spans="1:6">
      <c r="A4" s="38" t="s">
        <v>23</v>
      </c>
      <c r="B4" t="s">
        <v>39</v>
      </c>
      <c r="C4" t="s">
        <v>67</v>
      </c>
      <c r="D4" t="s">
        <v>71</v>
      </c>
      <c r="F4" t="s">
        <v>80</v>
      </c>
    </row>
    <row r="5" spans="1:6">
      <c r="A5" s="38" t="s">
        <v>14</v>
      </c>
      <c r="B5" t="s">
        <v>12</v>
      </c>
      <c r="C5" t="s">
        <v>68</v>
      </c>
      <c r="D5" t="s">
        <v>58</v>
      </c>
      <c r="F5" t="s">
        <v>81</v>
      </c>
    </row>
    <row r="6" spans="1:6">
      <c r="A6" s="38" t="s">
        <v>26</v>
      </c>
      <c r="B6" t="s">
        <v>50</v>
      </c>
      <c r="C6" t="s">
        <v>69</v>
      </c>
      <c r="D6" t="s">
        <v>72</v>
      </c>
    </row>
    <row r="7" spans="1:6">
      <c r="A7" s="38" t="s">
        <v>13</v>
      </c>
      <c r="B7" t="s">
        <v>63</v>
      </c>
      <c r="D7" t="s">
        <v>73</v>
      </c>
    </row>
    <row r="8" spans="1:6">
      <c r="A8" s="38" t="s">
        <v>22</v>
      </c>
      <c r="D8" t="s">
        <v>59</v>
      </c>
    </row>
    <row r="9" spans="1:6">
      <c r="A9" s="38" t="s">
        <v>25</v>
      </c>
      <c r="D9" t="s">
        <v>74</v>
      </c>
    </row>
    <row r="10" spans="1:6">
      <c r="A10" s="39" t="s">
        <v>35</v>
      </c>
      <c r="D10" t="s">
        <v>75</v>
      </c>
    </row>
    <row r="11" spans="1:6">
      <c r="A11" s="38" t="s">
        <v>19</v>
      </c>
      <c r="D11" t="s">
        <v>70</v>
      </c>
    </row>
    <row r="12" spans="1:6">
      <c r="A12" s="38" t="s">
        <v>15</v>
      </c>
    </row>
    <row r="13" spans="1:6">
      <c r="A13" s="38" t="s">
        <v>36</v>
      </c>
    </row>
    <row r="14" spans="1:6">
      <c r="A14" s="38" t="s">
        <v>37</v>
      </c>
    </row>
    <row r="15" spans="1:6">
      <c r="A15" s="38" t="s">
        <v>40</v>
      </c>
    </row>
    <row r="16" spans="1:6">
      <c r="A16" s="38" t="s">
        <v>47</v>
      </c>
    </row>
    <row r="17" spans="1:1">
      <c r="A17" s="38" t="s">
        <v>48</v>
      </c>
    </row>
    <row r="18" spans="1:1">
      <c r="A18" s="38" t="s">
        <v>49</v>
      </c>
    </row>
    <row r="19" spans="1:1">
      <c r="A19" s="60" t="s">
        <v>21</v>
      </c>
    </row>
    <row r="20" spans="1:1">
      <c r="A20" s="80" t="s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A26AE-5B3C-43BB-AE13-06AB8DF6C80F}">
  <dimension ref="A1:W969"/>
  <sheetViews>
    <sheetView zoomScale="72" zoomScaleNormal="72" workbookViewId="0">
      <pane ySplit="1" topLeftCell="A2" activePane="bottomLeft" state="frozen"/>
      <selection pane="bottomLeft" activeCell="C9" sqref="C9"/>
    </sheetView>
  </sheetViews>
  <sheetFormatPr defaultColWidth="14.453125" defaultRowHeight="15" customHeight="1"/>
  <cols>
    <col min="1" max="1" width="20.08984375" style="16" customWidth="1"/>
    <col min="2" max="3" width="17.453125" style="16" customWidth="1"/>
    <col min="4" max="4" width="18.54296875" style="16" customWidth="1"/>
    <col min="5" max="5" width="7.7265625" style="16" customWidth="1"/>
    <col min="6" max="6" width="7.1796875" style="16" customWidth="1"/>
    <col min="7" max="7" width="9.81640625" style="16" customWidth="1"/>
    <col min="10" max="10" width="15.26953125" style="16" bestFit="1" customWidth="1"/>
    <col min="11" max="11" width="14.453125" style="16" customWidth="1"/>
    <col min="12" max="18" width="14.453125" style="16"/>
    <col min="19" max="19" width="4.08984375" style="16" bestFit="1" customWidth="1"/>
    <col min="20" max="16384" width="14.453125" style="16"/>
  </cols>
  <sheetData>
    <row r="1" spans="1:23" s="12" customFormat="1" ht="33.5" customHeight="1">
      <c r="A1" s="10" t="s">
        <v>0</v>
      </c>
      <c r="B1" s="11" t="s">
        <v>1</v>
      </c>
      <c r="C1" s="11" t="s">
        <v>76</v>
      </c>
      <c r="D1" s="10" t="s">
        <v>3</v>
      </c>
      <c r="E1" s="10" t="s">
        <v>4</v>
      </c>
      <c r="F1" s="10" t="s">
        <v>4</v>
      </c>
      <c r="G1" s="11" t="s">
        <v>10</v>
      </c>
      <c r="J1" s="81" t="s">
        <v>82</v>
      </c>
      <c r="K1" s="81"/>
      <c r="L1" s="81"/>
      <c r="Q1" s="82" t="s">
        <v>83</v>
      </c>
      <c r="R1" s="82"/>
      <c r="S1" s="82"/>
      <c r="T1" s="78"/>
      <c r="U1" s="78"/>
      <c r="V1" s="78"/>
    </row>
    <row r="2" spans="1:23" ht="14.25" customHeight="1">
      <c r="A2" s="51"/>
      <c r="B2" s="14" t="s">
        <v>64</v>
      </c>
      <c r="C2" s="14" t="s">
        <v>77</v>
      </c>
      <c r="D2" s="14" t="s">
        <v>17</v>
      </c>
      <c r="E2" s="14">
        <v>4</v>
      </c>
      <c r="F2" s="14"/>
      <c r="G2" s="15">
        <f>E2+F2</f>
        <v>4</v>
      </c>
    </row>
    <row r="3" spans="1:23" ht="14.25" customHeight="1">
      <c r="A3" s="13"/>
      <c r="B3" s="14"/>
      <c r="C3" s="14" t="s">
        <v>77</v>
      </c>
      <c r="D3" s="14" t="s">
        <v>20</v>
      </c>
      <c r="E3" s="14">
        <v>2</v>
      </c>
      <c r="F3" s="14"/>
      <c r="G3" s="15">
        <f t="shared" ref="G3:G66" si="0">E3+F3</f>
        <v>2</v>
      </c>
      <c r="J3" s="76" t="s">
        <v>28</v>
      </c>
      <c r="K3" s="76" t="s">
        <v>77</v>
      </c>
      <c r="L3" s="76" t="s">
        <v>78</v>
      </c>
      <c r="M3" s="76" t="s">
        <v>79</v>
      </c>
      <c r="N3" s="76" t="s">
        <v>80</v>
      </c>
      <c r="O3" s="76" t="s">
        <v>81</v>
      </c>
      <c r="S3" s="77" t="s">
        <v>84</v>
      </c>
      <c r="T3" s="77" t="s">
        <v>0</v>
      </c>
      <c r="U3" s="77" t="s">
        <v>76</v>
      </c>
      <c r="V3" s="77" t="s">
        <v>28</v>
      </c>
      <c r="W3" s="77" t="s">
        <v>4</v>
      </c>
    </row>
    <row r="4" spans="1:23" ht="14.25" customHeight="1">
      <c r="A4" s="13"/>
      <c r="B4" s="14"/>
      <c r="C4" s="14"/>
      <c r="D4" s="14"/>
      <c r="E4" s="14"/>
      <c r="F4" s="14"/>
      <c r="G4" s="15">
        <f t="shared" si="0"/>
        <v>0</v>
      </c>
      <c r="J4" s="73" t="s">
        <v>18</v>
      </c>
      <c r="K4" s="24">
        <f>-SUMIFS($G:$G,$C:$C,"BROKAT",$D:$D,"MAHOGANY")+SUMIFS($W:$W,$U:$U,"BROKAT",$V:$V,"MAHOGANY")+K35</f>
        <v>3</v>
      </c>
      <c r="L4" s="24">
        <f>-SUMIFS($G:$G,$C:$C,"TILLE",$D:$D,"MAHOGANY")+SUMIFS($W:$W,$U:$U,"TILLE",$V:$V,"MAHOGANY")+L35</f>
        <v>3</v>
      </c>
      <c r="M4" s="24">
        <f>-SUMIFS($G:$G,$C:$C,"FUKORO",$D:$D,"MAHOGANY")+SUMIFS($W:$W,$U:$U,"FUKORO",$V:$V,"MAHOGANY")+M35</f>
        <v>3</v>
      </c>
      <c r="N4" s="24">
        <f>-SUMIFS($G:$G,$C:$C,"PURING",$D:$D,"MAHOGANY")+SUMIFS($W:$W,$U:$U,"PURING",$V:$V,"MAHOGANY")+N35</f>
        <v>3</v>
      </c>
      <c r="O4" s="24">
        <f>-SUMIFS($G:$G,$C:$C,"ROK BATIK",$D:$D,"MAHOGANY")+SUMIFS($W:$W,$U:$U,"ROK BATIK",$V:$V,"MAHOGANY")+O35</f>
        <v>3</v>
      </c>
      <c r="S4" s="24"/>
      <c r="T4" s="24"/>
      <c r="U4" s="24" t="s">
        <v>77</v>
      </c>
      <c r="V4" s="24" t="s">
        <v>17</v>
      </c>
      <c r="W4" s="24">
        <v>5</v>
      </c>
    </row>
    <row r="5" spans="1:23" ht="14.25" customHeight="1">
      <c r="A5" s="13"/>
      <c r="B5" s="14"/>
      <c r="C5" s="14"/>
      <c r="D5" s="14"/>
      <c r="E5" s="14"/>
      <c r="F5" s="14"/>
      <c r="G5" s="15">
        <f t="shared" si="0"/>
        <v>0</v>
      </c>
      <c r="J5" s="73" t="s">
        <v>20</v>
      </c>
      <c r="K5" s="24">
        <f>-SUMIFS($G:$G,$C:$C,"BROKAT",$D:$D,"BURGUNDY")+SUMIFS($W:$W,$U:$U,"BROKAT",$V:$V,"BURGUNDY")+K36</f>
        <v>1</v>
      </c>
      <c r="L5" s="24">
        <f>-SUMIFS($G:$G,$C:$C,"TILLE",$D:$D,"BURGUNDY")+SUMIFS($W:$W,$U:$U,"TILLE",$V:$V,"BURGUNDY")+L36</f>
        <v>3</v>
      </c>
      <c r="M5" s="24">
        <f>-SUMIFS($G:$G,$C:$C,"FUKORO",$D:$D,"BURGUNDY")+SUMIFS($W:$W,$U:$U,"FUKORO",$V:$V,"BURGUNDY")+M36</f>
        <v>3</v>
      </c>
      <c r="N5" s="24">
        <f>-SUMIFS($G:$G,$C:$C,"PURING",$D:$D,"BURGUNDY")+SUMIFS($W:$W,$U:$U,"PURING",$V:$V,"BURGUNDY")+N36</f>
        <v>3</v>
      </c>
      <c r="O5" s="24">
        <f>-SUMIFS($G:$G,$C:$C,"ROK BATIK",$D:$D,"BURGUNDY")+SUMIFS($W:$W,$U:$U,"ROK BATIK",$V:$V,"BURGUNDY")+O36</f>
        <v>3</v>
      </c>
      <c r="S5" s="24"/>
      <c r="T5" s="24"/>
      <c r="U5" s="24"/>
      <c r="V5" s="24"/>
      <c r="W5" s="24"/>
    </row>
    <row r="6" spans="1:23" ht="14.25" customHeight="1">
      <c r="A6" s="13"/>
      <c r="B6" s="14"/>
      <c r="C6" s="14"/>
      <c r="D6" s="14"/>
      <c r="E6" s="14"/>
      <c r="F6" s="14"/>
      <c r="G6" s="15">
        <f t="shared" si="0"/>
        <v>0</v>
      </c>
      <c r="J6" s="73" t="s">
        <v>17</v>
      </c>
      <c r="K6" s="24">
        <f>-SUMIFS($G:$G,$C:$C,"BROKAT",$D:$D,"DENIM")+SUMIFS($W:$W,$U:$U,"BROKAT",$V:$V,"DENIM")+K37</f>
        <v>4</v>
      </c>
      <c r="L6" s="24">
        <f>-SUMIFS($G:$G,$C:$C,"TILLE",$D:$D,"DENIM")+SUMIFS($W:$W,$U:$U,"TILLE",$V:$V,"DENIM")+L37</f>
        <v>3</v>
      </c>
      <c r="M6" s="24">
        <f>-SUMIFS($G:$G,$C:$C,"FUKORO",$D:$D,"DENIM")+SUMIFS($W:$W,$U:$U,"FUKORO",$V:$V,"DENIM")+M37</f>
        <v>3</v>
      </c>
      <c r="N6" s="24">
        <f>-SUMIFS($G:$G,$C:$C,"PURING",$D:$D,"DENIM")+SUMIFS($W:$W,$U:$U,"PURING",$V:$V,"DENIM")+N37</f>
        <v>3</v>
      </c>
      <c r="O6" s="24">
        <f>-SUMIFS($G:$G,$C:$C,"ROK BATIK",$D:$D,"DENIM")+SUMIFS($W:$W,$U:$U,"ROK BATIK",$V:$V,"DENIM")+O37</f>
        <v>3</v>
      </c>
      <c r="S6" s="24"/>
      <c r="T6" s="24"/>
      <c r="U6" s="24"/>
      <c r="V6" s="24"/>
      <c r="W6" s="24"/>
    </row>
    <row r="7" spans="1:23" ht="14.25" customHeight="1">
      <c r="A7" s="13"/>
      <c r="B7" s="14"/>
      <c r="C7" s="14"/>
      <c r="D7" s="14"/>
      <c r="E7" s="14"/>
      <c r="F7" s="14"/>
      <c r="G7" s="15">
        <f t="shared" si="0"/>
        <v>0</v>
      </c>
      <c r="J7" s="73" t="s">
        <v>23</v>
      </c>
      <c r="K7" s="24">
        <f>-SUMIFS($G:$G,$C:$C,"BROKAT",$D:$D,"COKSU")+SUMIFS($W:$W,$U:$U,"BROKAT",$V:$V,"COKSU")+K38</f>
        <v>3</v>
      </c>
      <c r="L7" s="24">
        <f>-SUMIFS($G:$G,$C:$C,"TILLE",$D:$D,"COKSU")+SUMIFS($W:$W,$U:$U,"TILLE",$V:$V,"COKSU")+L38</f>
        <v>3</v>
      </c>
      <c r="M7" s="24">
        <f>-SUMIFS($G:$G,$C:$C,"FUKORO",$D:$D,"COKSU")+SUMIFS($W:$W,$U:$U,"FUKORO",$V:$V,"COKSU")+M38</f>
        <v>3</v>
      </c>
      <c r="N7" s="24">
        <f>-SUMIFS($G:$G,$C:$C,"PURING",$D:$D,"COKSU")+SUMIFS($W:$W,$U:$U,"PURING",$V:$V,"COKSU")+N38</f>
        <v>3</v>
      </c>
      <c r="O7" s="24">
        <f>-SUMIFS($G:$G,$C:$C,"ROK BATIK",$D:$D,"COKSU")+SUMIFS($W:$W,$U:$U,"ROK BATIK",$V:$V,"COKSU")+O38</f>
        <v>3</v>
      </c>
      <c r="S7" s="24"/>
      <c r="T7" s="24"/>
      <c r="U7" s="24"/>
      <c r="V7" s="24"/>
      <c r="W7" s="24"/>
    </row>
    <row r="8" spans="1:23" ht="14.25" customHeight="1">
      <c r="A8" s="13"/>
      <c r="B8" s="14"/>
      <c r="C8" s="14"/>
      <c r="D8" s="14"/>
      <c r="E8" s="14"/>
      <c r="F8" s="14"/>
      <c r="G8" s="15">
        <f t="shared" si="0"/>
        <v>0</v>
      </c>
      <c r="J8" s="73" t="s">
        <v>14</v>
      </c>
      <c r="K8" s="24">
        <f>-SUMIFS($G:$G,$C:$C,"BROKAT",$D:$D,"NAVY")+SUMIFS($W:$W,$U:$U,"BROKAT",$V:$V,"NAVY")+K39</f>
        <v>3</v>
      </c>
      <c r="L8" s="24">
        <f>-SUMIFS($G:$G,$C:$C,"TILLE",$D:$D,"NAVY")+SUMIFS($W:$W,$U:$U,"TILLE",$V:$V,"NAVY")+L39</f>
        <v>3</v>
      </c>
      <c r="M8" s="24">
        <f>-SUMIFS($G:$G,$C:$C,"FUKORO",$D:$D,"NAVY")+SUMIFS($W:$W,$U:$U,"FUKORO",$V:$V,"NAVY")+M39</f>
        <v>3</v>
      </c>
      <c r="N8" s="24">
        <f>-SUMIFS($G:$G,$C:$C,"PURING",$D:$D,"NAVY")+SUMIFS($W:$W,$U:$U,"PURING",$V:$V,"NAVY")+N39</f>
        <v>3</v>
      </c>
      <c r="O8" s="24">
        <f>-SUMIFS($G:$G,$C:$C,"ROK BATIK",$D:$D,"NAVY")+SUMIFS($W:$W,$U:$U,"ROK BATIK",$V:$V,"NAVY")+O39</f>
        <v>3</v>
      </c>
      <c r="S8" s="24"/>
      <c r="T8" s="24"/>
      <c r="U8" s="24"/>
      <c r="V8" s="24"/>
      <c r="W8" s="24"/>
    </row>
    <row r="9" spans="1:23" ht="14.25" customHeight="1">
      <c r="A9" s="13"/>
      <c r="B9" s="14"/>
      <c r="C9" s="14"/>
      <c r="D9" s="14"/>
      <c r="E9" s="14"/>
      <c r="F9" s="14"/>
      <c r="G9" s="15">
        <f t="shared" si="0"/>
        <v>0</v>
      </c>
      <c r="J9" s="73" t="s">
        <v>26</v>
      </c>
      <c r="K9" s="24">
        <f>-SUMIFS($G:$G,$C:$C,"BROKAT",$D:$D,"HITAM")+SUMIFS($W:$W,$U:$U,"BROKAT",$V:$V,"HITAM")+K40</f>
        <v>3</v>
      </c>
      <c r="L9" s="24">
        <f>-SUMIFS($G:$G,$C:$C,"TILLE",$D:$D,"HITAM")+SUMIFS($W:$W,$U:$U,"TILLE",$V:$V,"HITAM")+L40</f>
        <v>3</v>
      </c>
      <c r="M9" s="24">
        <f>-SUMIFS($G:$G,$C:$C,"FUKORO",$D:$D,"HITAM")+SUMIFS($W:$W,$U:$U,"FUKORO",$V:$V,"HITAM")+M40</f>
        <v>3</v>
      </c>
      <c r="N9" s="24">
        <f>-SUMIFS($G:$G,$C:$C,"PURING",$D:$D,"HITAM")+SUMIFS($W:$W,$U:$U,"PURING",$V:$V,"HITAM")+N40</f>
        <v>3</v>
      </c>
      <c r="O9" s="24">
        <f>-SUMIFS($G:$G,$C:$C,"ROK BATIK",$D:$D,"HITAM")+SUMIFS($W:$W,$U:$U,"ROK BATIK",$V:$V,"HITAM")+O40</f>
        <v>3</v>
      </c>
      <c r="S9" s="24"/>
      <c r="T9" s="24"/>
      <c r="U9" s="24"/>
      <c r="V9" s="24"/>
      <c r="W9" s="24"/>
    </row>
    <row r="10" spans="1:23" ht="14.25" customHeight="1">
      <c r="A10" s="13"/>
      <c r="B10" s="14"/>
      <c r="C10" s="14"/>
      <c r="D10" s="14"/>
      <c r="E10" s="14"/>
      <c r="F10" s="14"/>
      <c r="G10" s="15">
        <f t="shared" si="0"/>
        <v>0</v>
      </c>
      <c r="J10" s="73" t="s">
        <v>13</v>
      </c>
      <c r="K10" s="24">
        <f>-SUMIFS($G:$G,$C:$C,"BROKAT",$D:$D,"DUSTY")+SUMIFS($W:$W,$U:$U,"BROKAT",$V:$V,"DUSTY")+K41</f>
        <v>3</v>
      </c>
      <c r="L10" s="24">
        <f>-SUMIFS($G:$G,$C:$C,"TILLE",$D:$D,"DUSTY")+SUMIFS($W:$W,$U:$U,"TILLE",$V:$V,"DUSTY")+L41</f>
        <v>3</v>
      </c>
      <c r="M10" s="24">
        <f>-SUMIFS($G:$G,$C:$C,"FUKORO",$D:$D,"DUSTY")+SUMIFS($W:$W,$U:$U,"FUKORO",$V:$V,"DUSTY")+M41</f>
        <v>3</v>
      </c>
      <c r="N10" s="24">
        <f>-SUMIFS($G:$G,$C:$C,"PURING",$D:$D,"DUSTY")+SUMIFS($W:$W,$U:$U,"PURING",$V:$V,"DUSTY")+N41</f>
        <v>3</v>
      </c>
      <c r="O10" s="24">
        <f>-SUMIFS($G:$G,$C:$C,"ROK BATIK",$D:$D,"DUSTY")+SUMIFS($W:$W,$U:$U,"ROK BATIK",$V:$V,"DUSTY")+O41</f>
        <v>3</v>
      </c>
      <c r="S10" s="24"/>
      <c r="T10" s="24"/>
      <c r="U10" s="24"/>
      <c r="V10" s="24"/>
      <c r="W10" s="24"/>
    </row>
    <row r="11" spans="1:23" ht="14.25" customHeight="1">
      <c r="A11" s="13"/>
      <c r="B11" s="14"/>
      <c r="C11" s="14"/>
      <c r="D11" s="14"/>
      <c r="E11" s="14"/>
      <c r="F11" s="14"/>
      <c r="G11" s="15">
        <f t="shared" si="0"/>
        <v>0</v>
      </c>
      <c r="J11" s="73" t="s">
        <v>22</v>
      </c>
      <c r="K11" s="24">
        <f>-SUMIFS($G:$G,$C:$C,"BROKAT",$D:$D,"BABYBLUE")+SUMIFS($W:$W,$U:$U,"BROKAT",$V:$V,"BABYBLUE")+K42</f>
        <v>3</v>
      </c>
      <c r="L11" s="24">
        <f>-SUMIFS($G:$G,$C:$C,"TILLE",$D:$D,"BABYBLUE")+SUMIFS($W:$W,$U:$U,"TILLE",$V:$V,"BABYBLUE")+L42</f>
        <v>3</v>
      </c>
      <c r="M11" s="24">
        <f>-SUMIFS($G:$G,$C:$C,"FUKORO",$D:$D,"BABYBLUE")+SUMIFS($W:$W,$U:$U,"FUKORO",$V:$V,"BABYBLUE")+M42</f>
        <v>3</v>
      </c>
      <c r="N11" s="24">
        <f>-SUMIFS($G:$G,$C:$C,"PURING",$D:$D,"BABYBLUE")+SUMIFS($W:$W,$U:$U,"PURING",$V:$V,"BABYBLUE")+N42</f>
        <v>3</v>
      </c>
      <c r="O11" s="24">
        <f>-SUMIFS($G:$G,$C:$C,"ROK BATIK",$D:$D,"BABYBLUE")+SUMIFS($W:$W,$U:$U,"ROK BATIK",$V:$V,"BABYBLUE")+O42</f>
        <v>3</v>
      </c>
      <c r="S11" s="24"/>
      <c r="T11" s="24"/>
      <c r="U11" s="24"/>
      <c r="V11" s="24"/>
      <c r="W11" s="24"/>
    </row>
    <row r="12" spans="1:23" ht="14.25" customHeight="1">
      <c r="A12" s="13"/>
      <c r="B12" s="14"/>
      <c r="C12" s="14"/>
      <c r="D12" s="14"/>
      <c r="E12" s="14"/>
      <c r="F12" s="14"/>
      <c r="G12" s="15">
        <f t="shared" si="0"/>
        <v>0</v>
      </c>
      <c r="J12" s="73" t="s">
        <v>25</v>
      </c>
      <c r="K12" s="24">
        <f>-SUMIFS($G:$G,$C:$C,"BROKAT",$D:$D,"MAROON")+SUMIFS($W:$W,$U:$U,"BROKAT",$V:$V,"MAROON")+K43</f>
        <v>3</v>
      </c>
      <c r="L12" s="24">
        <f>-SUMIFS($G:$G,$C:$C,"TILLE",$D:$D,"MAROON")+SUMIFS($W:$W,$U:$U,"TILLE",$V:$V,"MAROON")+L43</f>
        <v>3</v>
      </c>
      <c r="M12" s="24">
        <f>-SUMIFS($G:$G,$C:$C,"FUKORO",$D:$D,"MAROON")+SUMIFS($W:$W,$U:$U,"FUKORO",$V:$V,"MAROON")+M43</f>
        <v>3</v>
      </c>
      <c r="N12" s="24">
        <f>-SUMIFS($G:$G,$C:$C,"PURING",$D:$D,"MAROON")+SUMIFS($W:$W,$U:$U,"PURING",$V:$V,"MAROON")+N43</f>
        <v>3</v>
      </c>
      <c r="O12" s="24">
        <f>-SUMIFS($G:$G,$C:$C,"ROK BATIK",$D:$D,"MAROON")+SUMIFS($W:$W,$U:$U,"ROK BATIK",$V:$V,"MAROON")+O43</f>
        <v>3</v>
      </c>
      <c r="S12" s="24"/>
      <c r="T12" s="24"/>
      <c r="U12" s="24"/>
      <c r="V12" s="24"/>
      <c r="W12" s="24"/>
    </row>
    <row r="13" spans="1:23" ht="14.25" customHeight="1">
      <c r="A13" s="13"/>
      <c r="B13" s="14"/>
      <c r="C13" s="14"/>
      <c r="D13" s="14"/>
      <c r="E13" s="14"/>
      <c r="F13" s="14"/>
      <c r="G13" s="15">
        <f t="shared" si="0"/>
        <v>0</v>
      </c>
      <c r="J13" s="74" t="s">
        <v>35</v>
      </c>
      <c r="K13" s="24">
        <f>-SUMIFS($G:$G,$C:$C,"BROKAT",$D:$D,"GOLD")+SUMIFS($W:$W,$U:$U,"BROKAT",$V:$V,"GOLD")+K44</f>
        <v>3</v>
      </c>
      <c r="L13" s="24">
        <f>-SUMIFS($G:$G,$C:$C,"TILLE",$D:$D,"GOLD")+SUMIFS($W:$W,$U:$U,"TILLE",$V:$V,"GOLD")+L44</f>
        <v>3</v>
      </c>
      <c r="M13" s="24">
        <f>-SUMIFS($G:$G,$C:$C,"FUKORO",$D:$D,"GOLD")+SUMIFS($W:$W,$U:$U,"FUKORO",$V:$V,"GOLD")+M44</f>
        <v>3</v>
      </c>
      <c r="N13" s="24">
        <f>-SUMIFS($G:$G,$C:$C,"PURING",$D:$D,"GOLD")+SUMIFS($W:$W,$U:$U,"PURING",$V:$V,"GOLD")+N44</f>
        <v>3</v>
      </c>
      <c r="O13" s="24">
        <f>-SUMIFS($G:$G,$C:$C,"ROK BATIK",$D:$D,"GOLD")+SUMIFS($W:$W,$U:$U,"ROK BATIK",$V:$V,"GOLD")+O44</f>
        <v>3</v>
      </c>
      <c r="S13" s="24"/>
      <c r="T13" s="24"/>
      <c r="U13" s="24"/>
      <c r="V13" s="24"/>
      <c r="W13" s="24"/>
    </row>
    <row r="14" spans="1:23" ht="14.25" customHeight="1">
      <c r="A14" s="13"/>
      <c r="B14" s="14"/>
      <c r="C14" s="14"/>
      <c r="D14" s="14"/>
      <c r="E14" s="14"/>
      <c r="F14" s="14"/>
      <c r="G14" s="15">
        <f t="shared" si="0"/>
        <v>0</v>
      </c>
      <c r="J14" s="73" t="s">
        <v>19</v>
      </c>
      <c r="K14" s="24">
        <f>-SUMIFS($G:$G,$C:$C,"BROKAT",$D:$D,"SAGE")+SUMIFS($W:$W,$U:$U,"BROKAT",$V:$V,"SAGE")+K45</f>
        <v>3</v>
      </c>
      <c r="L14" s="24">
        <f>-SUMIFS($G:$G,$C:$C,"TILLE",$D:$D,"SAGE")+SUMIFS($W:$W,$U:$U,"TILLE",$V:$V,"SAGE")+L45</f>
        <v>3</v>
      </c>
      <c r="M14" s="24">
        <f>-SUMIFS($G:$G,$C:$C,"FUKORO",$D:$D,"SAGE")+SUMIFS($W:$W,$U:$U,"FUKORO",$V:$V,"SAGE")+M45</f>
        <v>3</v>
      </c>
      <c r="N14" s="24">
        <f>-SUMIFS($G:$G,$C:$C,"PURING",$D:$D,"SAGE")+SUMIFS($W:$W,$U:$U,"PURING",$V:$V,"SAGE")+N45</f>
        <v>3</v>
      </c>
      <c r="O14" s="24">
        <f>-SUMIFS($G:$G,$C:$C,"ROK BATIK",$D:$D,"SAGE")+SUMIFS($W:$W,$U:$U,"ROK BATIK",$V:$V,"SAGE")+O45</f>
        <v>3</v>
      </c>
      <c r="S14" s="24"/>
      <c r="T14" s="24"/>
      <c r="U14" s="24"/>
      <c r="V14" s="24"/>
      <c r="W14" s="24"/>
    </row>
    <row r="15" spans="1:23" ht="14.25" customHeight="1">
      <c r="A15" s="13"/>
      <c r="B15" s="14"/>
      <c r="C15" s="14"/>
      <c r="D15" s="14"/>
      <c r="E15" s="14"/>
      <c r="F15" s="14"/>
      <c r="G15" s="15">
        <f t="shared" si="0"/>
        <v>0</v>
      </c>
      <c r="J15" s="73" t="s">
        <v>15</v>
      </c>
      <c r="K15" s="24">
        <f>-SUMIFS($G:$G,$C:$C,"BROKAT",$D:$D,"EMERALD GREEN")+SUMIFS($W:$W,$U:$U,"BROKAT",$V:$V,"EMERALD GREEN")+K46</f>
        <v>3</v>
      </c>
      <c r="L15" s="24">
        <f>-SUMIFS($G:$G,$C:$C,"TILLE",$D:$D,"EMERALD GREEN")+SUMIFS($W:$W,$U:$U,"TILLE",$V:$V,"EMERALD GREEN")+L46</f>
        <v>3</v>
      </c>
      <c r="M15" s="24">
        <f>-SUMIFS($G:$G,$C:$C,"FUKORO",$D:$D,"EMERALD GREEN")+SUMIFS($W:$W,$U:$U,"FUKORO",$V:$V,"EMERALD GREEN")+M46</f>
        <v>3</v>
      </c>
      <c r="N15" s="24">
        <f>-SUMIFS($G:$G,$C:$C,"PURING",$D:$D,"EMERALD GREEN")+SUMIFS($W:$W,$U:$U,"PURING",$V:$V,"EMERALD GREEN")+N46</f>
        <v>3</v>
      </c>
      <c r="O15" s="24">
        <f>-SUMIFS($G:$G,$C:$C,"ROK BATIK",$D:$D,"EMERALD GREEN")+SUMIFS($W:$W,$U:$U,"ROK BATIK",$V:$V,"EMERALD GREEN")+O46</f>
        <v>3</v>
      </c>
      <c r="S15" s="24"/>
      <c r="T15" s="24"/>
      <c r="U15" s="24"/>
      <c r="V15" s="24"/>
      <c r="W15" s="24"/>
    </row>
    <row r="16" spans="1:23" ht="14.25" customHeight="1">
      <c r="A16" s="13"/>
      <c r="B16" s="14"/>
      <c r="C16" s="14"/>
      <c r="D16" s="14"/>
      <c r="E16" s="14"/>
      <c r="F16" s="14"/>
      <c r="G16" s="15">
        <f t="shared" si="0"/>
        <v>0</v>
      </c>
      <c r="J16" s="73" t="s">
        <v>36</v>
      </c>
      <c r="K16" s="24">
        <f>-SUMIFS($G:$G,$C:$C,"BROKAT",$D:$D,"FUCIA")+SUMIFS($W:$W,$U:$U,"BROKAT",$V:$V,"FUCIA")+K47</f>
        <v>3</v>
      </c>
      <c r="L16" s="24">
        <f>-SUMIFS($G:$G,$C:$C,"TILLE",$D:$D,"FUCIA")+SUMIFS($W:$W,$U:$U,"TILLE",$V:$V,"FUCIA")+L47</f>
        <v>3</v>
      </c>
      <c r="M16" s="24">
        <f>-SUMIFS($G:$G,$C:$C,"FUKORO",$D:$D,"FUCIA")+SUMIFS($W:$W,$U:$U,"FUKORO",$V:$V,"FUCIA")+M47</f>
        <v>3</v>
      </c>
      <c r="N16" s="24">
        <f>-SUMIFS($G:$G,$C:$C,"PURING",$D:$D,"FUCIA")+SUMIFS($W:$W,$U:$U,"PURING",$V:$V,"FUCIA")+N47</f>
        <v>3</v>
      </c>
      <c r="O16" s="24">
        <f>-SUMIFS($G:$G,$C:$C,"ROK BATIK",$D:$D,"FUCIA")+SUMIFS($W:$W,$U:$U,"ROK BATIK",$V:$V,"FUCIA")+O47</f>
        <v>3</v>
      </c>
      <c r="S16" s="24"/>
      <c r="T16" s="24"/>
      <c r="U16" s="24"/>
      <c r="V16" s="24"/>
      <c r="W16" s="24"/>
    </row>
    <row r="17" spans="1:23" ht="14.25" customHeight="1">
      <c r="A17" s="13"/>
      <c r="B17" s="14"/>
      <c r="C17" s="14"/>
      <c r="D17" s="14"/>
      <c r="E17" s="14"/>
      <c r="F17" s="14"/>
      <c r="G17" s="15">
        <f t="shared" si="0"/>
        <v>0</v>
      </c>
      <c r="J17" s="73" t="s">
        <v>37</v>
      </c>
      <c r="K17" s="24">
        <f>-SUMIFS($G:$G,$C:$C,"BROKAT",$D:$D,"SILVER")+SUMIFS($W:$W,$U:$U,"BROKAT",$V:$V,"SILVER")+K48</f>
        <v>3</v>
      </c>
      <c r="L17" s="24">
        <f>-SUMIFS($G:$G,$C:$C,"TILLE",$D:$D,"SILVER")+SUMIFS($W:$W,$U:$U,"TILLE",$V:$V,"SILVER")+L48</f>
        <v>3</v>
      </c>
      <c r="M17" s="24">
        <f>-SUMIFS($G:$G,$C:$C,"FUKORO",$D:$D,"SILVER")+SUMIFS($W:$W,$U:$U,"FUKORO",$V:$V,"SILVER")+M48</f>
        <v>3</v>
      </c>
      <c r="N17" s="24">
        <f>-SUMIFS($G:$G,$C:$C,"PURING",$D:$D,"SILVER")+SUMIFS($W:$W,$U:$U,"PURING",$V:$V,"SILVER")+N48</f>
        <v>3</v>
      </c>
      <c r="O17" s="24">
        <f>-SUMIFS($G:$G,$C:$C,"ROK BATIK",$D:$D,"SILVER")+SUMIFS($W:$W,$U:$U,"ROK BATIK",$V:$V,"SILVER")+O48</f>
        <v>3</v>
      </c>
      <c r="S17" s="24"/>
      <c r="T17" s="24"/>
      <c r="U17" s="24"/>
      <c r="V17" s="24"/>
      <c r="W17" s="24"/>
    </row>
    <row r="18" spans="1:23" ht="14.25" customHeight="1">
      <c r="A18" s="13"/>
      <c r="B18" s="14"/>
      <c r="C18" s="14"/>
      <c r="D18" s="14"/>
      <c r="E18" s="14"/>
      <c r="F18" s="14"/>
      <c r="G18" s="15">
        <f t="shared" si="0"/>
        <v>0</v>
      </c>
      <c r="J18" s="73" t="s">
        <v>40</v>
      </c>
      <c r="K18" s="24">
        <f>-SUMIFS($G:$G,$C:$C,"BROKAT",$D:$D,"EMERALD BLUE")+SUMIFS($W:$W,$U:$U,"BROKAT",$V:$V,"EMERALD BLUE")+K49</f>
        <v>3</v>
      </c>
      <c r="L18" s="24">
        <f>-SUMIFS($G:$G,$C:$C,"TILLE",$D:$D,"EMERALD BLUE")+SUMIFS($W:$W,$U:$U,"TILLE",$V:$V,"EMERALD BLUE")+L49</f>
        <v>3</v>
      </c>
      <c r="M18" s="24">
        <f>-SUMIFS($G:$G,$C:$C,"FUKORO",$D:$D,"EMERALD BLUE")+SUMIFS($W:$W,$U:$U,"FUKORO",$V:$V,"EMERALD BLUE")+M49</f>
        <v>3</v>
      </c>
      <c r="N18" s="24">
        <f>-SUMIFS($G:$G,$C:$C,"PURING",$D:$D,"EMERALD BLUE")+SUMIFS($W:$W,$U:$U,"PURING",$V:$V,"EMERALD BLUE")+N49</f>
        <v>3</v>
      </c>
      <c r="O18" s="24">
        <f>-SUMIFS($G:$G,$C:$C,"ROK BATIK",$D:$D,"EMERALD BLUE")+SUMIFS($W:$W,$U:$U,"ROK BATIK",$V:$V,"EMERALD BLUE")+O49</f>
        <v>3</v>
      </c>
      <c r="S18" s="24"/>
      <c r="T18" s="24"/>
      <c r="U18" s="24"/>
      <c r="V18" s="24"/>
      <c r="W18" s="24"/>
    </row>
    <row r="19" spans="1:23" ht="14.25" customHeight="1">
      <c r="A19" s="13"/>
      <c r="B19" s="14"/>
      <c r="C19" s="14"/>
      <c r="D19" s="14"/>
      <c r="E19" s="14"/>
      <c r="F19" s="14"/>
      <c r="G19" s="15">
        <f t="shared" si="0"/>
        <v>0</v>
      </c>
      <c r="J19" s="73" t="s">
        <v>47</v>
      </c>
      <c r="K19" s="24">
        <f>-SUMIFS($G:$G,$C:$C,"BROKAT",$D:$D,"BROKEN WHITE")+SUMIFS($W:$W,$U:$U,"BROKAT",$V:$V,"BROKEN WHITE")+K50</f>
        <v>3</v>
      </c>
      <c r="L19" s="24">
        <f>-SUMIFS($G:$G,$C:$C,"TILLE",$D:$D,"BROKEN WHITE")+SUMIFS($W:$W,$U:$U,"TILLE",$V:$V,"BROKEN WHITE")+L50</f>
        <v>3</v>
      </c>
      <c r="M19" s="24">
        <f>-SUMIFS($G:$G,$C:$C,"FUKORO",$D:$D,"BROKEN WHITE")+SUMIFS($W:$W,$U:$U,"FUKORO",$V:$V,"BROKEN WHITE")+M50</f>
        <v>3</v>
      </c>
      <c r="N19" s="24">
        <f>-SUMIFS($G:$G,$C:$C,"PURING",$D:$D,"BROKEN WHITE")+SUMIFS($W:$W,$U:$U,"PURING",$V:$V,"BROKEN WHITE")+N50</f>
        <v>3</v>
      </c>
      <c r="O19" s="24">
        <f>-SUMIFS($G:$G,$C:$C,"ROK BATIK",$D:$D,"BROKEN WHITE")+SUMIFS($W:$W,$U:$U,"ROK BATIK",$V:$V,"BROKEN WHITE")+O50</f>
        <v>3</v>
      </c>
      <c r="S19" s="24"/>
      <c r="T19" s="24"/>
      <c r="U19" s="24"/>
      <c r="V19" s="24"/>
      <c r="W19" s="24"/>
    </row>
    <row r="20" spans="1:23" ht="14.25" customHeight="1">
      <c r="A20" s="13"/>
      <c r="B20" s="14"/>
      <c r="C20" s="14"/>
      <c r="D20" s="14"/>
      <c r="E20" s="14"/>
      <c r="F20" s="14"/>
      <c r="G20" s="15">
        <f t="shared" si="0"/>
        <v>0</v>
      </c>
      <c r="J20" s="73" t="s">
        <v>48</v>
      </c>
      <c r="K20" s="24">
        <f>-SUMIFS($G:$G,$C:$C,"BROKAT",$D:$D,"MILO")+SUMIFS($W:$W,$U:$U,"BROKAT",$V:$V,"MILO")+K51</f>
        <v>3</v>
      </c>
      <c r="L20" s="24">
        <f>-SUMIFS($G:$G,$C:$C,"TILLE",$D:$D,"MILO")+SUMIFS($W:$W,$U:$U,"TILLE",$V:$V,"MILO")+L51</f>
        <v>3</v>
      </c>
      <c r="M20" s="24">
        <f>-SUMIFS($G:$G,$C:$C,"FUKORO",$D:$D,"MILO")+SUMIFS($W:$W,$U:$U,"FUKORO",$V:$V,"MILO")+M51</f>
        <v>3</v>
      </c>
      <c r="N20" s="24">
        <f>-SUMIFS($G:$G,$C:$C,"PURING",$D:$D,"MILO")+SUMIFS($W:$W,$U:$U,"PURING",$V:$V,"MILO")+N51</f>
        <v>3</v>
      </c>
      <c r="O20" s="24">
        <f>-SUMIFS($G:$G,$C:$C,"ROK BATIK",$D:$D,"MILO")+SUMIFS($W:$W,$U:$U,"ROK BATIK",$V:$V,"MILO")+O51</f>
        <v>3</v>
      </c>
      <c r="S20" s="24"/>
      <c r="T20" s="24"/>
      <c r="U20" s="24"/>
      <c r="V20" s="24"/>
      <c r="W20" s="24"/>
    </row>
    <row r="21" spans="1:23" ht="14.25" customHeight="1">
      <c r="A21" s="13"/>
      <c r="B21" s="14"/>
      <c r="C21" s="14"/>
      <c r="D21" s="14"/>
      <c r="E21" s="14"/>
      <c r="F21" s="14"/>
      <c r="G21" s="15">
        <f t="shared" si="0"/>
        <v>0</v>
      </c>
      <c r="J21" s="73" t="s">
        <v>49</v>
      </c>
      <c r="K21" s="24">
        <f>-SUMIFS($G:$G,$C:$C,"BROKAT",$D:$D,"BUTTER YELLOW")+SUMIFS($W:$W,$U:$U,"BROKAT",$V:$V,"BUTTER YELLOW")+K52</f>
        <v>3</v>
      </c>
      <c r="L21" s="24">
        <f>-SUMIFS($G:$G,$C:$C,"TILLE",$D:$D,"BUTTER YELLOW")+SUMIFS($W:$W,$U:$U,"TILLE",$V:$V,"BUTTER YELLOW")+L52</f>
        <v>3</v>
      </c>
      <c r="M21" s="24">
        <f>-SUMIFS($G:$G,$C:$C,"FUKORO",$D:$D,"BUTTER YELLOW")+SUMIFS($W:$W,$U:$U,"FUKORO",$V:$V,"BUTTER YELLOW")+M52</f>
        <v>3</v>
      </c>
      <c r="N21" s="24">
        <f>-SUMIFS($G:$G,$C:$C,"PURING",$D:$D,"BUTTER YELLOW")+SUMIFS($W:$W,$U:$U,"PURING",$V:$V,"BUTTER YELLOW")+N52</f>
        <v>3</v>
      </c>
      <c r="O21" s="24">
        <f>-SUMIFS($G:$G,$C:$C,"ROK BATIK",$D:$D,"BUTTER YELLOW")+SUMIFS($W:$W,$U:$U,"ROK BATIK",$V:$V,"BUTTER YELLOW")+O52</f>
        <v>3</v>
      </c>
      <c r="S21" s="24"/>
      <c r="T21" s="24"/>
      <c r="U21" s="24"/>
      <c r="V21" s="24"/>
      <c r="W21" s="24"/>
    </row>
    <row r="22" spans="1:23" ht="14.25" customHeight="1">
      <c r="A22" s="13"/>
      <c r="B22" s="14"/>
      <c r="C22" s="14"/>
      <c r="D22" s="14"/>
      <c r="E22" s="14"/>
      <c r="F22" s="14"/>
      <c r="G22" s="15">
        <f t="shared" si="0"/>
        <v>0</v>
      </c>
      <c r="J22" s="75" t="s">
        <v>21</v>
      </c>
      <c r="K22" s="24">
        <f>-SUMIFS($G:$G,$C:$C,"BROKAT",$D:$D,"ROSEGOLD")+SUMIFS($W:$W,$U:$U,"BROKAT",$V:$V,"ROSEGOLD")+K53</f>
        <v>3</v>
      </c>
      <c r="L22" s="24">
        <f>-SUMIFS($G:$G,$C:$C,"TILLE",$D:$D,"ROSEGOLD")+SUMIFS($W:$W,$U:$U,"TILLE",$V:$V,"ROSEGOLD")+L53</f>
        <v>3</v>
      </c>
      <c r="M22" s="24">
        <f>-SUMIFS($G:$G,$C:$C,"FUKORO",$D:$D,"ROSEGOLD")+SUMIFS($W:$W,$U:$U,"FUKORO",$V:$V,"ROSEGOLD")+M53</f>
        <v>3</v>
      </c>
      <c r="N22" s="24">
        <f>-SUMIFS($G:$G,$C:$C,"PURING",$D:$D,"ROSEGOLD")+SUMIFS($W:$W,$U:$U,"PURING",$V:$V,"ROSEGOLD")+N53</f>
        <v>3</v>
      </c>
      <c r="O22" s="24">
        <f>-SUMIFS($G:$G,$C:$C,"ROK BATIK",$D:$D,"ROSEGOLD")+SUMIFS($W:$W,$U:$U,"ROK BATIK",$V:$V,"ROSEGOLD")+O53</f>
        <v>3</v>
      </c>
      <c r="S22" s="24"/>
      <c r="T22" s="24"/>
      <c r="U22" s="24"/>
      <c r="V22" s="24"/>
      <c r="W22" s="24"/>
    </row>
    <row r="23" spans="1:23" ht="14.25" customHeight="1">
      <c r="A23" s="13"/>
      <c r="B23" s="14"/>
      <c r="C23" s="14"/>
      <c r="D23" s="14"/>
      <c r="E23" s="14"/>
      <c r="F23" s="14"/>
      <c r="G23" s="15">
        <f t="shared" si="0"/>
        <v>0</v>
      </c>
      <c r="J23" s="79" t="s">
        <v>86</v>
      </c>
      <c r="K23" s="24">
        <f>-SUMIFS($G:$G,$C:$C,"BROKAT",$D:$D,"DUSTY HITAM")+SUMIFS($W:$W,$U:$U,"BROKAT",$V:$V,"DUSTY HITAM")+K54</f>
        <v>3</v>
      </c>
      <c r="L23" s="24">
        <f>-SUMIFS($G:$G,$C:$C,"TILLE",$D:$D,"DUSTY HITAM")+SUMIFS($W:$W,$U:$U,"TILLE",$V:$V,"DUSTY HITAM")+L54</f>
        <v>3</v>
      </c>
      <c r="M23" s="24">
        <f>-SUMIFS($G:$G,$C:$C,"FUKORO",$D:$D,"DUSTY HITAM")+SUMIFS($W:$W,$U:$U,"FUKORO",$V:$V,"DUSTY HITAM")+M54</f>
        <v>3</v>
      </c>
      <c r="N23" s="24">
        <f>-SUMIFS($G:$G,$C:$C,"PURING",$D:$D,"DUSTY HITAM")+SUMIFS($W:$W,$U:$U,"PURING",$V:$V,"DUSTY HITAM")+N54</f>
        <v>3</v>
      </c>
      <c r="O23" s="24">
        <f>-SUMIFS($G:$G,$C:$C,"ROK BATIK",$D:$D,"DUSTY HITAM")+SUMIFS($W:$W,$U:$U,"ROK BATIK",$V:$V,"DUSTY HITAM")+O54</f>
        <v>3</v>
      </c>
      <c r="S23" s="24"/>
      <c r="T23" s="24"/>
      <c r="U23" s="24"/>
      <c r="V23" s="24"/>
      <c r="W23" s="24"/>
    </row>
    <row r="24" spans="1:23" ht="14.25" customHeight="1">
      <c r="A24" s="13"/>
      <c r="B24" s="14"/>
      <c r="C24" s="14"/>
      <c r="D24" s="14"/>
      <c r="E24" s="14"/>
      <c r="F24" s="14"/>
      <c r="G24" s="15">
        <f t="shared" si="0"/>
        <v>0</v>
      </c>
      <c r="S24" s="24"/>
      <c r="T24" s="24"/>
      <c r="U24" s="24"/>
      <c r="V24" s="24"/>
      <c r="W24" s="24"/>
    </row>
    <row r="25" spans="1:23" ht="14.25" customHeight="1">
      <c r="A25" s="13"/>
      <c r="B25" s="14"/>
      <c r="C25" s="14"/>
      <c r="D25" s="14"/>
      <c r="E25" s="14"/>
      <c r="F25" s="14"/>
      <c r="G25" s="15">
        <f t="shared" si="0"/>
        <v>0</v>
      </c>
      <c r="S25" s="24"/>
      <c r="T25" s="24"/>
      <c r="U25" s="24"/>
      <c r="V25" s="24"/>
      <c r="W25" s="24"/>
    </row>
    <row r="26" spans="1:23" ht="14.25" customHeight="1">
      <c r="A26" s="13"/>
      <c r="B26" s="14"/>
      <c r="C26" s="14"/>
      <c r="D26" s="14"/>
      <c r="E26" s="14"/>
      <c r="F26" s="14"/>
      <c r="G26" s="15">
        <f t="shared" si="0"/>
        <v>0</v>
      </c>
      <c r="S26" s="24"/>
      <c r="T26" s="24"/>
      <c r="U26" s="24"/>
      <c r="V26" s="24"/>
      <c r="W26" s="24"/>
    </row>
    <row r="27" spans="1:23" ht="14.25" customHeight="1">
      <c r="A27" s="13"/>
      <c r="B27" s="14"/>
      <c r="C27" s="14"/>
      <c r="D27" s="14"/>
      <c r="E27" s="14"/>
      <c r="F27" s="14"/>
      <c r="G27" s="15">
        <f t="shared" si="0"/>
        <v>0</v>
      </c>
      <c r="S27" s="24"/>
      <c r="T27" s="24"/>
      <c r="U27" s="24"/>
      <c r="V27" s="24"/>
      <c r="W27" s="24"/>
    </row>
    <row r="28" spans="1:23" ht="14.25" customHeight="1">
      <c r="A28" s="13"/>
      <c r="B28" s="14"/>
      <c r="C28" s="14"/>
      <c r="D28" s="14"/>
      <c r="E28" s="14"/>
      <c r="F28" s="14"/>
      <c r="G28" s="15">
        <f t="shared" si="0"/>
        <v>0</v>
      </c>
      <c r="S28" s="24"/>
      <c r="T28" s="24"/>
      <c r="U28" s="24"/>
      <c r="V28" s="24"/>
      <c r="W28" s="24"/>
    </row>
    <row r="29" spans="1:23" ht="14.25" customHeight="1">
      <c r="A29" s="13"/>
      <c r="B29" s="14"/>
      <c r="C29" s="14"/>
      <c r="D29" s="14"/>
      <c r="E29" s="14"/>
      <c r="F29" s="14"/>
      <c r="G29" s="15">
        <f t="shared" si="0"/>
        <v>0</v>
      </c>
      <c r="S29" s="24"/>
      <c r="T29" s="24"/>
      <c r="U29" s="24"/>
      <c r="V29" s="24"/>
      <c r="W29" s="24"/>
    </row>
    <row r="30" spans="1:23" ht="14.25" customHeight="1">
      <c r="A30" s="13"/>
      <c r="B30" s="14"/>
      <c r="C30" s="14"/>
      <c r="D30" s="14"/>
      <c r="E30" s="14"/>
      <c r="F30" s="14"/>
      <c r="G30" s="15">
        <f t="shared" si="0"/>
        <v>0</v>
      </c>
      <c r="S30" s="24"/>
      <c r="T30" s="24"/>
      <c r="U30" s="24"/>
      <c r="V30" s="24"/>
      <c r="W30" s="24"/>
    </row>
    <row r="31" spans="1:23" ht="14.25" customHeight="1">
      <c r="A31" s="13"/>
      <c r="B31" s="14"/>
      <c r="C31" s="14"/>
      <c r="D31" s="14"/>
      <c r="E31" s="14"/>
      <c r="F31" s="14"/>
      <c r="G31" s="15">
        <f t="shared" si="0"/>
        <v>0</v>
      </c>
      <c r="K31" s="83" t="s">
        <v>85</v>
      </c>
      <c r="L31" s="83"/>
      <c r="S31" s="24"/>
      <c r="T31" s="24"/>
      <c r="U31" s="24"/>
      <c r="V31" s="24"/>
      <c r="W31" s="24"/>
    </row>
    <row r="32" spans="1:23" ht="14.25" customHeight="1">
      <c r="A32" s="13"/>
      <c r="B32" s="14"/>
      <c r="C32" s="14"/>
      <c r="D32" s="14"/>
      <c r="E32" s="14"/>
      <c r="F32" s="14"/>
      <c r="G32" s="15">
        <f t="shared" si="0"/>
        <v>0</v>
      </c>
      <c r="K32" s="83"/>
      <c r="L32" s="83"/>
      <c r="S32" s="24"/>
      <c r="T32" s="24"/>
      <c r="U32" s="24"/>
      <c r="V32" s="24"/>
      <c r="W32" s="24"/>
    </row>
    <row r="33" spans="1:23" ht="14.25" customHeight="1">
      <c r="A33" s="13"/>
      <c r="B33" s="14"/>
      <c r="C33" s="14"/>
      <c r="D33" s="14"/>
      <c r="E33" s="14"/>
      <c r="F33" s="14"/>
      <c r="G33" s="15">
        <f t="shared" si="0"/>
        <v>0</v>
      </c>
      <c r="S33" s="24"/>
      <c r="T33" s="24"/>
      <c r="U33" s="24"/>
      <c r="V33" s="24"/>
      <c r="W33" s="24"/>
    </row>
    <row r="34" spans="1:23" ht="14.25" customHeight="1">
      <c r="A34" s="13"/>
      <c r="B34" s="14"/>
      <c r="C34" s="14"/>
      <c r="D34" s="14"/>
      <c r="E34" s="14"/>
      <c r="F34" s="14"/>
      <c r="G34" s="15">
        <f t="shared" si="0"/>
        <v>0</v>
      </c>
      <c r="J34" s="76" t="s">
        <v>28</v>
      </c>
      <c r="K34" s="76" t="s">
        <v>77</v>
      </c>
      <c r="L34" s="76" t="s">
        <v>78</v>
      </c>
      <c r="M34" s="76" t="s">
        <v>79</v>
      </c>
      <c r="N34" s="76" t="s">
        <v>80</v>
      </c>
      <c r="O34" s="76" t="s">
        <v>81</v>
      </c>
      <c r="S34" s="24"/>
      <c r="T34" s="24"/>
      <c r="U34" s="24"/>
      <c r="V34" s="24"/>
      <c r="W34" s="24"/>
    </row>
    <row r="35" spans="1:23" ht="14.25" customHeight="1">
      <c r="A35" s="13"/>
      <c r="B35" s="14"/>
      <c r="C35" s="14"/>
      <c r="D35" s="14"/>
      <c r="E35" s="14"/>
      <c r="F35" s="14"/>
      <c r="G35" s="15">
        <f t="shared" si="0"/>
        <v>0</v>
      </c>
      <c r="J35" s="73" t="s">
        <v>18</v>
      </c>
      <c r="K35" s="24">
        <v>3</v>
      </c>
      <c r="L35" s="24">
        <v>3</v>
      </c>
      <c r="M35" s="24">
        <v>3</v>
      </c>
      <c r="N35" s="24">
        <v>3</v>
      </c>
      <c r="O35" s="24">
        <v>3</v>
      </c>
      <c r="S35" s="24"/>
      <c r="T35" s="24"/>
      <c r="U35" s="24"/>
      <c r="V35" s="24"/>
      <c r="W35" s="24"/>
    </row>
    <row r="36" spans="1:23" ht="14.25" customHeight="1">
      <c r="A36" s="13"/>
      <c r="B36" s="14"/>
      <c r="C36" s="14"/>
      <c r="D36" s="14"/>
      <c r="E36" s="14"/>
      <c r="F36" s="14"/>
      <c r="G36" s="15">
        <f t="shared" si="0"/>
        <v>0</v>
      </c>
      <c r="J36" s="73" t="s">
        <v>20</v>
      </c>
      <c r="K36" s="24">
        <v>3</v>
      </c>
      <c r="L36" s="24">
        <v>3</v>
      </c>
      <c r="M36" s="24">
        <v>3</v>
      </c>
      <c r="N36" s="24">
        <v>3</v>
      </c>
      <c r="O36" s="24">
        <v>3</v>
      </c>
      <c r="S36" s="24"/>
      <c r="T36" s="24"/>
      <c r="U36" s="24"/>
      <c r="V36" s="24"/>
      <c r="W36" s="24"/>
    </row>
    <row r="37" spans="1:23" ht="14.25" customHeight="1">
      <c r="A37" s="13"/>
      <c r="B37" s="14"/>
      <c r="C37" s="14"/>
      <c r="D37" s="14"/>
      <c r="E37" s="14"/>
      <c r="F37" s="14"/>
      <c r="G37" s="15">
        <f t="shared" si="0"/>
        <v>0</v>
      </c>
      <c r="J37" s="73" t="s">
        <v>17</v>
      </c>
      <c r="K37" s="24">
        <v>3</v>
      </c>
      <c r="L37" s="24">
        <v>3</v>
      </c>
      <c r="M37" s="24">
        <v>3</v>
      </c>
      <c r="N37" s="24">
        <v>3</v>
      </c>
      <c r="O37" s="24">
        <v>3</v>
      </c>
      <c r="S37" s="24"/>
      <c r="T37" s="24"/>
      <c r="U37" s="24"/>
      <c r="V37" s="24"/>
      <c r="W37" s="24"/>
    </row>
    <row r="38" spans="1:23" ht="14.25" customHeight="1">
      <c r="A38" s="13"/>
      <c r="B38" s="14"/>
      <c r="C38" s="14"/>
      <c r="D38" s="14"/>
      <c r="E38" s="14"/>
      <c r="F38" s="14"/>
      <c r="G38" s="15">
        <f t="shared" si="0"/>
        <v>0</v>
      </c>
      <c r="J38" s="73" t="s">
        <v>23</v>
      </c>
      <c r="K38" s="24">
        <v>3</v>
      </c>
      <c r="L38" s="24">
        <v>3</v>
      </c>
      <c r="M38" s="24">
        <v>3</v>
      </c>
      <c r="N38" s="24">
        <v>3</v>
      </c>
      <c r="O38" s="24">
        <v>3</v>
      </c>
      <c r="S38" s="24"/>
      <c r="T38" s="24"/>
      <c r="U38" s="24"/>
      <c r="V38" s="24"/>
      <c r="W38" s="24"/>
    </row>
    <row r="39" spans="1:23" ht="14.25" customHeight="1">
      <c r="A39" s="13"/>
      <c r="B39" s="14"/>
      <c r="C39" s="14"/>
      <c r="D39" s="14"/>
      <c r="E39" s="14"/>
      <c r="F39" s="14"/>
      <c r="G39" s="15">
        <f t="shared" si="0"/>
        <v>0</v>
      </c>
      <c r="J39" s="73" t="s">
        <v>14</v>
      </c>
      <c r="K39" s="24">
        <v>3</v>
      </c>
      <c r="L39" s="24">
        <v>3</v>
      </c>
      <c r="M39" s="24">
        <v>3</v>
      </c>
      <c r="N39" s="24">
        <v>3</v>
      </c>
      <c r="O39" s="24">
        <v>3</v>
      </c>
      <c r="S39" s="24"/>
      <c r="T39" s="24"/>
      <c r="U39" s="24"/>
      <c r="V39" s="24"/>
      <c r="W39" s="24"/>
    </row>
    <row r="40" spans="1:23" ht="14.25" customHeight="1">
      <c r="A40" s="13"/>
      <c r="B40" s="14"/>
      <c r="C40" s="14"/>
      <c r="D40" s="14"/>
      <c r="E40" s="14"/>
      <c r="F40" s="14"/>
      <c r="G40" s="15">
        <f t="shared" si="0"/>
        <v>0</v>
      </c>
      <c r="J40" s="73" t="s">
        <v>26</v>
      </c>
      <c r="K40" s="24">
        <v>3</v>
      </c>
      <c r="L40" s="24">
        <v>3</v>
      </c>
      <c r="M40" s="24">
        <v>3</v>
      </c>
      <c r="N40" s="24">
        <v>3</v>
      </c>
      <c r="O40" s="24">
        <v>3</v>
      </c>
      <c r="S40" s="24"/>
      <c r="T40" s="24"/>
      <c r="U40" s="24"/>
      <c r="V40" s="24"/>
      <c r="W40" s="24"/>
    </row>
    <row r="41" spans="1:23" ht="14.25" customHeight="1">
      <c r="A41" s="13"/>
      <c r="B41" s="14"/>
      <c r="C41" s="14"/>
      <c r="D41" s="14"/>
      <c r="E41" s="14"/>
      <c r="F41" s="14"/>
      <c r="G41" s="15">
        <f t="shared" si="0"/>
        <v>0</v>
      </c>
      <c r="J41" s="73" t="s">
        <v>13</v>
      </c>
      <c r="K41" s="24">
        <v>3</v>
      </c>
      <c r="L41" s="24">
        <v>3</v>
      </c>
      <c r="M41" s="24">
        <v>3</v>
      </c>
      <c r="N41" s="24">
        <v>3</v>
      </c>
      <c r="O41" s="24">
        <v>3</v>
      </c>
      <c r="S41" s="24"/>
      <c r="T41" s="24"/>
      <c r="U41" s="24"/>
      <c r="V41" s="24"/>
      <c r="W41" s="24"/>
    </row>
    <row r="42" spans="1:23" ht="14.25" customHeight="1">
      <c r="A42" s="13"/>
      <c r="B42" s="14"/>
      <c r="C42" s="14"/>
      <c r="D42" s="14"/>
      <c r="E42" s="14"/>
      <c r="F42" s="14"/>
      <c r="G42" s="15">
        <f t="shared" si="0"/>
        <v>0</v>
      </c>
      <c r="J42" s="73" t="s">
        <v>22</v>
      </c>
      <c r="K42" s="24">
        <v>3</v>
      </c>
      <c r="L42" s="24">
        <v>3</v>
      </c>
      <c r="M42" s="24">
        <v>3</v>
      </c>
      <c r="N42" s="24">
        <v>3</v>
      </c>
      <c r="O42" s="24">
        <v>3</v>
      </c>
      <c r="S42" s="24"/>
      <c r="T42" s="24"/>
      <c r="U42" s="24"/>
      <c r="V42" s="24"/>
      <c r="W42" s="24"/>
    </row>
    <row r="43" spans="1:23" ht="14.25" customHeight="1">
      <c r="A43" s="13"/>
      <c r="B43" s="14"/>
      <c r="C43" s="14"/>
      <c r="D43" s="14"/>
      <c r="E43" s="14"/>
      <c r="F43" s="14"/>
      <c r="G43" s="15">
        <f t="shared" si="0"/>
        <v>0</v>
      </c>
      <c r="J43" s="73" t="s">
        <v>25</v>
      </c>
      <c r="K43" s="24">
        <v>3</v>
      </c>
      <c r="L43" s="24">
        <v>3</v>
      </c>
      <c r="M43" s="24">
        <v>3</v>
      </c>
      <c r="N43" s="24">
        <v>3</v>
      </c>
      <c r="O43" s="24">
        <v>3</v>
      </c>
      <c r="S43" s="24"/>
      <c r="T43" s="24"/>
      <c r="U43" s="24"/>
      <c r="V43" s="24"/>
      <c r="W43" s="24"/>
    </row>
    <row r="44" spans="1:23" ht="14.25" customHeight="1">
      <c r="A44" s="13"/>
      <c r="B44" s="14"/>
      <c r="C44" s="14"/>
      <c r="D44" s="14"/>
      <c r="E44" s="14"/>
      <c r="F44" s="14"/>
      <c r="G44" s="15">
        <f t="shared" si="0"/>
        <v>0</v>
      </c>
      <c r="J44" s="74" t="s">
        <v>35</v>
      </c>
      <c r="K44" s="24">
        <v>3</v>
      </c>
      <c r="L44" s="24">
        <v>3</v>
      </c>
      <c r="M44" s="24">
        <v>3</v>
      </c>
      <c r="N44" s="24">
        <v>3</v>
      </c>
      <c r="O44" s="24">
        <v>3</v>
      </c>
      <c r="S44" s="24"/>
      <c r="T44" s="24"/>
      <c r="U44" s="24"/>
      <c r="V44" s="24"/>
      <c r="W44" s="24"/>
    </row>
    <row r="45" spans="1:23" ht="14.25" customHeight="1">
      <c r="A45" s="13"/>
      <c r="B45" s="14"/>
      <c r="C45" s="14"/>
      <c r="D45" s="14"/>
      <c r="E45" s="14"/>
      <c r="F45" s="14"/>
      <c r="G45" s="15">
        <f t="shared" si="0"/>
        <v>0</v>
      </c>
      <c r="J45" s="73" t="s">
        <v>19</v>
      </c>
      <c r="K45" s="24">
        <v>3</v>
      </c>
      <c r="L45" s="24">
        <v>3</v>
      </c>
      <c r="M45" s="24">
        <v>3</v>
      </c>
      <c r="N45" s="24">
        <v>3</v>
      </c>
      <c r="O45" s="24">
        <v>3</v>
      </c>
      <c r="S45" s="24"/>
      <c r="T45" s="24"/>
      <c r="U45" s="24"/>
      <c r="V45" s="24"/>
      <c r="W45" s="24"/>
    </row>
    <row r="46" spans="1:23" ht="14.25" customHeight="1">
      <c r="A46" s="13"/>
      <c r="B46" s="14"/>
      <c r="C46" s="14"/>
      <c r="D46" s="14"/>
      <c r="E46" s="14"/>
      <c r="F46" s="14"/>
      <c r="G46" s="15">
        <f t="shared" si="0"/>
        <v>0</v>
      </c>
      <c r="J46" s="73" t="s">
        <v>15</v>
      </c>
      <c r="K46" s="24">
        <v>3</v>
      </c>
      <c r="L46" s="24">
        <v>3</v>
      </c>
      <c r="M46" s="24">
        <v>3</v>
      </c>
      <c r="N46" s="24">
        <v>3</v>
      </c>
      <c r="O46" s="24">
        <v>3</v>
      </c>
      <c r="S46" s="24"/>
      <c r="T46" s="24"/>
      <c r="U46" s="24"/>
      <c r="V46" s="24"/>
      <c r="W46" s="24"/>
    </row>
    <row r="47" spans="1:23" ht="14.25" customHeight="1">
      <c r="A47" s="13"/>
      <c r="B47" s="14"/>
      <c r="C47" s="14"/>
      <c r="D47" s="14"/>
      <c r="E47" s="14"/>
      <c r="F47" s="14"/>
      <c r="G47" s="15">
        <f t="shared" si="0"/>
        <v>0</v>
      </c>
      <c r="J47" s="73" t="s">
        <v>36</v>
      </c>
      <c r="K47" s="24">
        <v>3</v>
      </c>
      <c r="L47" s="24">
        <v>3</v>
      </c>
      <c r="M47" s="24">
        <v>3</v>
      </c>
      <c r="N47" s="24">
        <v>3</v>
      </c>
      <c r="O47" s="24">
        <v>3</v>
      </c>
      <c r="S47" s="24"/>
      <c r="T47" s="24"/>
      <c r="U47" s="24"/>
      <c r="V47" s="24"/>
      <c r="W47" s="24"/>
    </row>
    <row r="48" spans="1:23" ht="14.25" customHeight="1">
      <c r="A48" s="13"/>
      <c r="B48" s="14"/>
      <c r="C48" s="14"/>
      <c r="D48" s="14"/>
      <c r="E48" s="14"/>
      <c r="F48" s="14"/>
      <c r="G48" s="15">
        <f t="shared" si="0"/>
        <v>0</v>
      </c>
      <c r="J48" s="73" t="s">
        <v>37</v>
      </c>
      <c r="K48" s="24">
        <v>3</v>
      </c>
      <c r="L48" s="24">
        <v>3</v>
      </c>
      <c r="M48" s="24">
        <v>3</v>
      </c>
      <c r="N48" s="24">
        <v>3</v>
      </c>
      <c r="O48" s="24">
        <v>3</v>
      </c>
      <c r="S48" s="24"/>
      <c r="T48" s="24"/>
      <c r="U48" s="24"/>
      <c r="V48" s="24"/>
      <c r="W48" s="24"/>
    </row>
    <row r="49" spans="1:23" ht="14.25" customHeight="1">
      <c r="A49" s="13"/>
      <c r="B49" s="14"/>
      <c r="C49" s="14"/>
      <c r="D49" s="14"/>
      <c r="E49" s="14"/>
      <c r="F49" s="14"/>
      <c r="G49" s="15">
        <f t="shared" si="0"/>
        <v>0</v>
      </c>
      <c r="J49" s="73" t="s">
        <v>40</v>
      </c>
      <c r="K49" s="24">
        <v>3</v>
      </c>
      <c r="L49" s="24">
        <v>3</v>
      </c>
      <c r="M49" s="24">
        <v>3</v>
      </c>
      <c r="N49" s="24">
        <v>3</v>
      </c>
      <c r="O49" s="24">
        <v>3</v>
      </c>
      <c r="S49" s="24"/>
      <c r="T49" s="24"/>
      <c r="U49" s="24"/>
      <c r="V49" s="24"/>
      <c r="W49" s="24"/>
    </row>
    <row r="50" spans="1:23" ht="14.25" customHeight="1">
      <c r="A50" s="13"/>
      <c r="B50" s="14"/>
      <c r="C50" s="14"/>
      <c r="D50" s="14"/>
      <c r="E50" s="14"/>
      <c r="F50" s="14"/>
      <c r="G50" s="15">
        <f t="shared" si="0"/>
        <v>0</v>
      </c>
      <c r="J50" s="73" t="s">
        <v>47</v>
      </c>
      <c r="K50" s="24">
        <v>3</v>
      </c>
      <c r="L50" s="24">
        <v>3</v>
      </c>
      <c r="M50" s="24">
        <v>3</v>
      </c>
      <c r="N50" s="24">
        <v>3</v>
      </c>
      <c r="O50" s="24">
        <v>3</v>
      </c>
      <c r="S50" s="24"/>
      <c r="T50" s="24"/>
      <c r="U50" s="24"/>
      <c r="V50" s="24"/>
      <c r="W50" s="24"/>
    </row>
    <row r="51" spans="1:23" ht="14.25" customHeight="1">
      <c r="A51" s="13"/>
      <c r="B51" s="14"/>
      <c r="C51" s="14"/>
      <c r="D51" s="14"/>
      <c r="E51" s="14"/>
      <c r="F51" s="14"/>
      <c r="G51" s="15">
        <f t="shared" si="0"/>
        <v>0</v>
      </c>
      <c r="J51" s="73" t="s">
        <v>48</v>
      </c>
      <c r="K51" s="24">
        <v>3</v>
      </c>
      <c r="L51" s="24">
        <v>3</v>
      </c>
      <c r="M51" s="24">
        <v>3</v>
      </c>
      <c r="N51" s="24">
        <v>3</v>
      </c>
      <c r="O51" s="24">
        <v>3</v>
      </c>
      <c r="S51" s="24"/>
      <c r="T51" s="24"/>
      <c r="U51" s="24"/>
      <c r="V51" s="24"/>
      <c r="W51" s="24"/>
    </row>
    <row r="52" spans="1:23" ht="14.25" customHeight="1">
      <c r="A52" s="13"/>
      <c r="B52" s="14"/>
      <c r="C52" s="14"/>
      <c r="D52" s="14"/>
      <c r="E52" s="14"/>
      <c r="F52" s="14"/>
      <c r="G52" s="15">
        <f t="shared" si="0"/>
        <v>0</v>
      </c>
      <c r="J52" s="73" t="s">
        <v>49</v>
      </c>
      <c r="K52" s="24">
        <v>3</v>
      </c>
      <c r="L52" s="24">
        <v>3</v>
      </c>
      <c r="M52" s="24">
        <v>3</v>
      </c>
      <c r="N52" s="24">
        <v>3</v>
      </c>
      <c r="O52" s="24">
        <v>3</v>
      </c>
      <c r="S52" s="24"/>
      <c r="T52" s="24"/>
      <c r="U52" s="24"/>
      <c r="V52" s="24"/>
      <c r="W52" s="24"/>
    </row>
    <row r="53" spans="1:23" ht="14.25" customHeight="1">
      <c r="A53" s="13"/>
      <c r="B53" s="14"/>
      <c r="C53" s="14"/>
      <c r="D53" s="14"/>
      <c r="E53" s="14"/>
      <c r="F53" s="14"/>
      <c r="G53" s="15">
        <f t="shared" si="0"/>
        <v>0</v>
      </c>
      <c r="J53" s="75" t="s">
        <v>21</v>
      </c>
      <c r="K53" s="24">
        <v>3</v>
      </c>
      <c r="L53" s="24">
        <v>3</v>
      </c>
      <c r="M53" s="24">
        <v>3</v>
      </c>
      <c r="N53" s="24">
        <v>3</v>
      </c>
      <c r="O53" s="24">
        <v>3</v>
      </c>
      <c r="S53" s="24"/>
      <c r="T53" s="24"/>
      <c r="U53" s="24"/>
      <c r="V53" s="24"/>
      <c r="W53" s="24"/>
    </row>
    <row r="54" spans="1:23" ht="14.25" customHeight="1">
      <c r="A54" s="13"/>
      <c r="B54" s="14"/>
      <c r="C54" s="14"/>
      <c r="D54" s="14"/>
      <c r="E54" s="14"/>
      <c r="F54" s="14"/>
      <c r="G54" s="15">
        <f t="shared" si="0"/>
        <v>0</v>
      </c>
      <c r="J54" s="79" t="s">
        <v>86</v>
      </c>
      <c r="K54" s="24">
        <v>3</v>
      </c>
      <c r="L54" s="24">
        <v>3</v>
      </c>
      <c r="M54" s="24">
        <v>3</v>
      </c>
      <c r="N54" s="24">
        <v>3</v>
      </c>
      <c r="O54" s="24">
        <v>3</v>
      </c>
      <c r="S54" s="24"/>
      <c r="T54" s="24"/>
      <c r="U54" s="24"/>
      <c r="V54" s="24"/>
      <c r="W54" s="24"/>
    </row>
    <row r="55" spans="1:23" ht="14.25" customHeight="1">
      <c r="A55" s="13"/>
      <c r="B55" s="14"/>
      <c r="C55" s="14"/>
      <c r="D55" s="14"/>
      <c r="E55" s="14"/>
      <c r="F55" s="14"/>
      <c r="G55" s="15">
        <f t="shared" si="0"/>
        <v>0</v>
      </c>
      <c r="S55" s="24"/>
      <c r="T55" s="24"/>
      <c r="U55" s="24"/>
      <c r="V55" s="24"/>
      <c r="W55" s="24"/>
    </row>
    <row r="56" spans="1:23" ht="14.25" customHeight="1">
      <c r="A56" s="13"/>
      <c r="B56" s="14"/>
      <c r="C56" s="14"/>
      <c r="D56" s="14"/>
      <c r="E56" s="14"/>
      <c r="F56" s="14"/>
      <c r="G56" s="15">
        <f t="shared" si="0"/>
        <v>0</v>
      </c>
      <c r="S56" s="24"/>
      <c r="T56" s="24"/>
      <c r="U56" s="24"/>
      <c r="V56" s="24"/>
      <c r="W56" s="24"/>
    </row>
    <row r="57" spans="1:23" ht="14.25" customHeight="1">
      <c r="A57" s="13"/>
      <c r="B57" s="14"/>
      <c r="C57" s="14"/>
      <c r="D57" s="14"/>
      <c r="E57" s="14"/>
      <c r="F57" s="14"/>
      <c r="G57" s="15">
        <f t="shared" si="0"/>
        <v>0</v>
      </c>
      <c r="S57" s="24"/>
      <c r="T57" s="24"/>
      <c r="U57" s="24"/>
      <c r="V57" s="24"/>
      <c r="W57" s="24"/>
    </row>
    <row r="58" spans="1:23" ht="14.25" customHeight="1">
      <c r="A58" s="13"/>
      <c r="B58" s="14"/>
      <c r="C58" s="14"/>
      <c r="D58" s="14"/>
      <c r="E58" s="14"/>
      <c r="F58" s="14"/>
      <c r="G58" s="15">
        <f t="shared" si="0"/>
        <v>0</v>
      </c>
      <c r="S58" s="24"/>
      <c r="T58" s="24"/>
      <c r="U58" s="24"/>
      <c r="V58" s="24"/>
      <c r="W58" s="24"/>
    </row>
    <row r="59" spans="1:23" ht="14.25" customHeight="1">
      <c r="A59" s="13"/>
      <c r="B59" s="14"/>
      <c r="C59" s="14"/>
      <c r="D59" s="14"/>
      <c r="E59" s="14"/>
      <c r="F59" s="14"/>
      <c r="G59" s="15">
        <f t="shared" si="0"/>
        <v>0</v>
      </c>
      <c r="S59" s="24"/>
      <c r="T59" s="24"/>
      <c r="U59" s="24"/>
      <c r="V59" s="24"/>
      <c r="W59" s="24"/>
    </row>
    <row r="60" spans="1:23" ht="14.25" customHeight="1">
      <c r="A60" s="13"/>
      <c r="B60" s="14"/>
      <c r="C60" s="14"/>
      <c r="D60" s="14"/>
      <c r="E60" s="14"/>
      <c r="F60" s="14"/>
      <c r="G60" s="15">
        <f t="shared" si="0"/>
        <v>0</v>
      </c>
      <c r="S60" s="24"/>
      <c r="T60" s="24"/>
      <c r="U60" s="24"/>
      <c r="V60" s="24"/>
      <c r="W60" s="24"/>
    </row>
    <row r="61" spans="1:23" ht="14.25" customHeight="1">
      <c r="A61" s="13"/>
      <c r="B61" s="14"/>
      <c r="C61" s="14"/>
      <c r="D61" s="14"/>
      <c r="E61" s="14"/>
      <c r="F61" s="14"/>
      <c r="G61" s="15">
        <f t="shared" si="0"/>
        <v>0</v>
      </c>
    </row>
    <row r="62" spans="1:23" ht="14.25" customHeight="1">
      <c r="A62" s="13"/>
      <c r="B62" s="14"/>
      <c r="C62" s="14"/>
      <c r="D62" s="14"/>
      <c r="E62" s="14"/>
      <c r="F62" s="14"/>
      <c r="G62" s="15">
        <f t="shared" si="0"/>
        <v>0</v>
      </c>
    </row>
    <row r="63" spans="1:23" ht="14.25" customHeight="1">
      <c r="A63" s="13"/>
      <c r="B63" s="14"/>
      <c r="C63" s="14"/>
      <c r="D63" s="14"/>
      <c r="E63" s="14"/>
      <c r="F63" s="14"/>
      <c r="G63" s="15">
        <f t="shared" si="0"/>
        <v>0</v>
      </c>
    </row>
    <row r="64" spans="1:23" ht="14.25" customHeight="1">
      <c r="A64" s="13"/>
      <c r="B64" s="14"/>
      <c r="C64" s="14"/>
      <c r="D64" s="14"/>
      <c r="E64" s="14"/>
      <c r="F64" s="14"/>
      <c r="G64" s="15">
        <f t="shared" si="0"/>
        <v>0</v>
      </c>
    </row>
    <row r="65" spans="1:7" ht="14.25" customHeight="1">
      <c r="A65" s="13"/>
      <c r="B65" s="14"/>
      <c r="C65" s="14"/>
      <c r="D65" s="14"/>
      <c r="E65" s="14"/>
      <c r="F65" s="14"/>
      <c r="G65" s="15">
        <f t="shared" si="0"/>
        <v>0</v>
      </c>
    </row>
    <row r="66" spans="1:7" ht="14.25" customHeight="1">
      <c r="A66" s="13"/>
      <c r="B66" s="14"/>
      <c r="C66" s="14"/>
      <c r="D66" s="14"/>
      <c r="E66" s="14"/>
      <c r="F66" s="14"/>
      <c r="G66" s="15">
        <f t="shared" si="0"/>
        <v>0</v>
      </c>
    </row>
    <row r="67" spans="1:7" ht="14.25" customHeight="1">
      <c r="A67" s="13"/>
      <c r="B67" s="14"/>
      <c r="C67" s="14"/>
      <c r="D67" s="14"/>
      <c r="E67" s="14"/>
      <c r="F67" s="14"/>
      <c r="G67" s="15">
        <f t="shared" ref="G67:G130" si="1">E67+F67</f>
        <v>0</v>
      </c>
    </row>
    <row r="68" spans="1:7" ht="14.25" customHeight="1">
      <c r="A68" s="13"/>
      <c r="B68" s="14"/>
      <c r="C68" s="14"/>
      <c r="D68" s="14"/>
      <c r="E68" s="14"/>
      <c r="F68" s="14"/>
      <c r="G68" s="15">
        <f t="shared" si="1"/>
        <v>0</v>
      </c>
    </row>
    <row r="69" spans="1:7" ht="14.25" customHeight="1">
      <c r="A69" s="13"/>
      <c r="B69" s="14"/>
      <c r="C69" s="14"/>
      <c r="D69" s="14"/>
      <c r="E69" s="14"/>
      <c r="F69" s="14"/>
      <c r="G69" s="15">
        <f t="shared" si="1"/>
        <v>0</v>
      </c>
    </row>
    <row r="70" spans="1:7" ht="14.25" customHeight="1">
      <c r="A70" s="13"/>
      <c r="B70" s="14"/>
      <c r="C70" s="14"/>
      <c r="D70" s="14"/>
      <c r="E70" s="14"/>
      <c r="F70" s="14"/>
      <c r="G70" s="15">
        <f t="shared" si="1"/>
        <v>0</v>
      </c>
    </row>
    <row r="71" spans="1:7" ht="14.25" customHeight="1">
      <c r="A71" s="13"/>
      <c r="B71" s="14"/>
      <c r="C71" s="14"/>
      <c r="D71" s="14"/>
      <c r="E71" s="14"/>
      <c r="F71" s="14"/>
      <c r="G71" s="15">
        <f t="shared" si="1"/>
        <v>0</v>
      </c>
    </row>
    <row r="72" spans="1:7" ht="14.25" customHeight="1">
      <c r="A72" s="13"/>
      <c r="B72" s="14"/>
      <c r="C72" s="14"/>
      <c r="D72" s="14"/>
      <c r="E72" s="14"/>
      <c r="F72" s="14"/>
      <c r="G72" s="15">
        <f t="shared" si="1"/>
        <v>0</v>
      </c>
    </row>
    <row r="73" spans="1:7" ht="14.25" customHeight="1">
      <c r="A73" s="13"/>
      <c r="B73" s="14"/>
      <c r="C73" s="14"/>
      <c r="D73" s="14"/>
      <c r="E73" s="14"/>
      <c r="F73" s="14"/>
      <c r="G73" s="15">
        <f t="shared" si="1"/>
        <v>0</v>
      </c>
    </row>
    <row r="74" spans="1:7" ht="14.25" customHeight="1">
      <c r="A74" s="13"/>
      <c r="B74" s="14"/>
      <c r="C74" s="14"/>
      <c r="D74" s="14"/>
      <c r="E74" s="14"/>
      <c r="F74" s="14"/>
      <c r="G74" s="15">
        <f t="shared" si="1"/>
        <v>0</v>
      </c>
    </row>
    <row r="75" spans="1:7" ht="14.25" customHeight="1">
      <c r="A75" s="13"/>
      <c r="B75" s="14"/>
      <c r="C75" s="14"/>
      <c r="D75" s="14"/>
      <c r="E75" s="14"/>
      <c r="F75" s="14"/>
      <c r="G75" s="15">
        <f t="shared" si="1"/>
        <v>0</v>
      </c>
    </row>
    <row r="76" spans="1:7" ht="14.25" customHeight="1">
      <c r="A76" s="13"/>
      <c r="B76" s="14"/>
      <c r="C76" s="14"/>
      <c r="D76" s="14"/>
      <c r="E76" s="14"/>
      <c r="F76" s="14"/>
      <c r="G76" s="15">
        <f t="shared" si="1"/>
        <v>0</v>
      </c>
    </row>
    <row r="77" spans="1:7" ht="14.25" customHeight="1">
      <c r="A77" s="13"/>
      <c r="B77" s="14"/>
      <c r="C77" s="14"/>
      <c r="D77" s="14"/>
      <c r="E77" s="14"/>
      <c r="F77" s="14"/>
      <c r="G77" s="15">
        <f t="shared" si="1"/>
        <v>0</v>
      </c>
    </row>
    <row r="78" spans="1:7" ht="14.25" customHeight="1">
      <c r="A78" s="13"/>
      <c r="B78" s="14"/>
      <c r="C78" s="14"/>
      <c r="D78" s="14"/>
      <c r="E78" s="14"/>
      <c r="F78" s="14"/>
      <c r="G78" s="15">
        <f t="shared" si="1"/>
        <v>0</v>
      </c>
    </row>
    <row r="79" spans="1:7" ht="14.25" customHeight="1">
      <c r="A79" s="13"/>
      <c r="B79" s="14"/>
      <c r="C79" s="14"/>
      <c r="D79" s="14"/>
      <c r="E79" s="14"/>
      <c r="F79" s="14"/>
      <c r="G79" s="15">
        <f t="shared" si="1"/>
        <v>0</v>
      </c>
    </row>
    <row r="80" spans="1:7" ht="14.25" customHeight="1">
      <c r="A80" s="13"/>
      <c r="B80" s="14"/>
      <c r="C80" s="14"/>
      <c r="D80" s="14"/>
      <c r="E80" s="14"/>
      <c r="F80" s="14"/>
      <c r="G80" s="15">
        <f t="shared" si="1"/>
        <v>0</v>
      </c>
    </row>
    <row r="81" spans="1:7" ht="14.25" customHeight="1">
      <c r="A81" s="13"/>
      <c r="B81" s="14"/>
      <c r="C81" s="14"/>
      <c r="D81" s="14"/>
      <c r="E81" s="14"/>
      <c r="F81" s="14"/>
      <c r="G81" s="15">
        <f t="shared" si="1"/>
        <v>0</v>
      </c>
    </row>
    <row r="82" spans="1:7" ht="14.25" customHeight="1">
      <c r="A82" s="13"/>
      <c r="B82" s="14"/>
      <c r="C82" s="14"/>
      <c r="D82" s="14"/>
      <c r="E82" s="14"/>
      <c r="F82" s="14"/>
      <c r="G82" s="15">
        <f t="shared" si="1"/>
        <v>0</v>
      </c>
    </row>
    <row r="83" spans="1:7" ht="14.25" customHeight="1">
      <c r="A83" s="13"/>
      <c r="B83" s="14"/>
      <c r="C83" s="14"/>
      <c r="D83" s="14"/>
      <c r="E83" s="14"/>
      <c r="F83" s="14"/>
      <c r="G83" s="15">
        <f t="shared" si="1"/>
        <v>0</v>
      </c>
    </row>
    <row r="84" spans="1:7" ht="14.25" customHeight="1">
      <c r="A84" s="13"/>
      <c r="B84" s="14"/>
      <c r="C84" s="14"/>
      <c r="D84" s="14"/>
      <c r="E84" s="14"/>
      <c r="F84" s="14"/>
      <c r="G84" s="15">
        <f t="shared" si="1"/>
        <v>0</v>
      </c>
    </row>
    <row r="85" spans="1:7" ht="14.25" customHeight="1">
      <c r="A85" s="13"/>
      <c r="B85" s="14"/>
      <c r="C85" s="14"/>
      <c r="D85" s="14"/>
      <c r="E85" s="14"/>
      <c r="F85" s="14"/>
      <c r="G85" s="15">
        <f t="shared" si="1"/>
        <v>0</v>
      </c>
    </row>
    <row r="86" spans="1:7" ht="14.25" customHeight="1">
      <c r="A86" s="13"/>
      <c r="B86" s="14"/>
      <c r="C86" s="14"/>
      <c r="D86" s="14"/>
      <c r="E86" s="14"/>
      <c r="F86" s="14"/>
      <c r="G86" s="15">
        <f t="shared" si="1"/>
        <v>0</v>
      </c>
    </row>
    <row r="87" spans="1:7" ht="14.25" customHeight="1">
      <c r="A87" s="13"/>
      <c r="B87" s="14"/>
      <c r="C87" s="14"/>
      <c r="D87" s="14"/>
      <c r="E87" s="14"/>
      <c r="F87" s="14"/>
      <c r="G87" s="15">
        <f t="shared" si="1"/>
        <v>0</v>
      </c>
    </row>
    <row r="88" spans="1:7" ht="14.25" customHeight="1">
      <c r="A88" s="13"/>
      <c r="B88" s="14"/>
      <c r="C88" s="14"/>
      <c r="D88" s="14"/>
      <c r="E88" s="14"/>
      <c r="F88" s="14"/>
      <c r="G88" s="15">
        <f t="shared" si="1"/>
        <v>0</v>
      </c>
    </row>
    <row r="89" spans="1:7" ht="14.25" customHeight="1">
      <c r="A89" s="13"/>
      <c r="B89" s="14"/>
      <c r="C89" s="14"/>
      <c r="D89" s="14"/>
      <c r="E89" s="14"/>
      <c r="F89" s="14"/>
      <c r="G89" s="15">
        <f t="shared" si="1"/>
        <v>0</v>
      </c>
    </row>
    <row r="90" spans="1:7" ht="14.25" customHeight="1">
      <c r="A90" s="13"/>
      <c r="B90" s="14"/>
      <c r="C90" s="14"/>
      <c r="D90" s="14"/>
      <c r="E90" s="14"/>
      <c r="F90" s="14"/>
      <c r="G90" s="15">
        <f t="shared" si="1"/>
        <v>0</v>
      </c>
    </row>
    <row r="91" spans="1:7" ht="14.25" customHeight="1">
      <c r="A91" s="13"/>
      <c r="B91" s="14"/>
      <c r="C91" s="14"/>
      <c r="D91" s="14"/>
      <c r="E91" s="14"/>
      <c r="F91" s="14"/>
      <c r="G91" s="15">
        <f t="shared" si="1"/>
        <v>0</v>
      </c>
    </row>
    <row r="92" spans="1:7" ht="14.25" customHeight="1">
      <c r="A92" s="13"/>
      <c r="B92" s="14"/>
      <c r="C92" s="14"/>
      <c r="D92" s="14"/>
      <c r="E92" s="14"/>
      <c r="F92" s="14"/>
      <c r="G92" s="15">
        <f t="shared" si="1"/>
        <v>0</v>
      </c>
    </row>
    <row r="93" spans="1:7" ht="14.25" customHeight="1">
      <c r="A93" s="13"/>
      <c r="B93" s="14"/>
      <c r="C93" s="14"/>
      <c r="D93" s="14"/>
      <c r="E93" s="14"/>
      <c r="F93" s="14"/>
      <c r="G93" s="15">
        <f t="shared" si="1"/>
        <v>0</v>
      </c>
    </row>
    <row r="94" spans="1:7" ht="14.25" customHeight="1">
      <c r="A94" s="13"/>
      <c r="B94" s="14"/>
      <c r="C94" s="14"/>
      <c r="D94" s="14"/>
      <c r="E94" s="14"/>
      <c r="F94" s="14"/>
      <c r="G94" s="15">
        <f t="shared" si="1"/>
        <v>0</v>
      </c>
    </row>
    <row r="95" spans="1:7" ht="14.25" customHeight="1">
      <c r="A95" s="13"/>
      <c r="B95" s="14"/>
      <c r="C95" s="14"/>
      <c r="D95" s="14"/>
      <c r="E95" s="14"/>
      <c r="F95" s="14"/>
      <c r="G95" s="15">
        <f t="shared" si="1"/>
        <v>0</v>
      </c>
    </row>
    <row r="96" spans="1:7" ht="14.25" customHeight="1">
      <c r="A96" s="13"/>
      <c r="B96" s="14"/>
      <c r="C96" s="14"/>
      <c r="D96" s="14"/>
      <c r="E96" s="14"/>
      <c r="F96" s="14"/>
      <c r="G96" s="15">
        <f t="shared" si="1"/>
        <v>0</v>
      </c>
    </row>
    <row r="97" spans="1:7" ht="14.25" customHeight="1">
      <c r="A97" s="13"/>
      <c r="B97" s="14"/>
      <c r="C97" s="14"/>
      <c r="D97" s="14"/>
      <c r="E97" s="14"/>
      <c r="F97" s="14"/>
      <c r="G97" s="15">
        <f t="shared" si="1"/>
        <v>0</v>
      </c>
    </row>
    <row r="98" spans="1:7" ht="14.25" customHeight="1">
      <c r="A98" s="13"/>
      <c r="B98" s="14"/>
      <c r="C98" s="14"/>
      <c r="D98" s="14"/>
      <c r="E98" s="14"/>
      <c r="F98" s="14"/>
      <c r="G98" s="15">
        <f t="shared" si="1"/>
        <v>0</v>
      </c>
    </row>
    <row r="99" spans="1:7" ht="14.25" customHeight="1">
      <c r="A99" s="13"/>
      <c r="B99" s="14"/>
      <c r="C99" s="14"/>
      <c r="D99" s="14"/>
      <c r="E99" s="14"/>
      <c r="F99" s="14"/>
      <c r="G99" s="15">
        <f t="shared" si="1"/>
        <v>0</v>
      </c>
    </row>
    <row r="100" spans="1:7" ht="14.25" customHeight="1">
      <c r="A100" s="13"/>
      <c r="B100" s="14"/>
      <c r="C100" s="14"/>
      <c r="D100" s="14"/>
      <c r="E100" s="14"/>
      <c r="F100" s="14"/>
      <c r="G100" s="15">
        <f t="shared" si="1"/>
        <v>0</v>
      </c>
    </row>
    <row r="101" spans="1:7" ht="14.25" customHeight="1">
      <c r="A101" s="13"/>
      <c r="B101" s="14"/>
      <c r="C101" s="14"/>
      <c r="D101" s="14"/>
      <c r="E101" s="14"/>
      <c r="F101" s="14"/>
      <c r="G101" s="15">
        <f t="shared" si="1"/>
        <v>0</v>
      </c>
    </row>
    <row r="102" spans="1:7" ht="14.25" customHeight="1">
      <c r="A102" s="13"/>
      <c r="B102" s="14"/>
      <c r="C102" s="14"/>
      <c r="D102" s="14"/>
      <c r="E102" s="14"/>
      <c r="F102" s="14"/>
      <c r="G102" s="15">
        <f t="shared" si="1"/>
        <v>0</v>
      </c>
    </row>
    <row r="103" spans="1:7" ht="14.25" customHeight="1">
      <c r="A103" s="13"/>
      <c r="B103" s="14"/>
      <c r="C103" s="14"/>
      <c r="D103" s="14"/>
      <c r="E103" s="14"/>
      <c r="F103" s="14"/>
      <c r="G103" s="15">
        <f t="shared" si="1"/>
        <v>0</v>
      </c>
    </row>
    <row r="104" spans="1:7" ht="14.25" customHeight="1">
      <c r="A104" s="13"/>
      <c r="B104" s="14"/>
      <c r="C104" s="14"/>
      <c r="D104" s="14"/>
      <c r="E104" s="14"/>
      <c r="F104" s="14"/>
      <c r="G104" s="15">
        <f t="shared" si="1"/>
        <v>0</v>
      </c>
    </row>
    <row r="105" spans="1:7" ht="14.25" customHeight="1">
      <c r="A105" s="13"/>
      <c r="B105" s="14"/>
      <c r="C105" s="14"/>
      <c r="D105" s="14"/>
      <c r="E105" s="14"/>
      <c r="F105" s="14"/>
      <c r="G105" s="15">
        <f t="shared" si="1"/>
        <v>0</v>
      </c>
    </row>
    <row r="106" spans="1:7" ht="14.25" customHeight="1">
      <c r="A106" s="13"/>
      <c r="B106" s="14"/>
      <c r="C106" s="14"/>
      <c r="D106" s="14"/>
      <c r="E106" s="14"/>
      <c r="F106" s="14"/>
      <c r="G106" s="15">
        <f t="shared" si="1"/>
        <v>0</v>
      </c>
    </row>
    <row r="107" spans="1:7" ht="14.25" customHeight="1">
      <c r="A107" s="13"/>
      <c r="B107" s="14"/>
      <c r="C107" s="14"/>
      <c r="D107" s="14"/>
      <c r="E107" s="14"/>
      <c r="F107" s="14"/>
      <c r="G107" s="15">
        <f t="shared" si="1"/>
        <v>0</v>
      </c>
    </row>
    <row r="108" spans="1:7" ht="14.25" customHeight="1">
      <c r="A108" s="13"/>
      <c r="B108" s="14"/>
      <c r="C108" s="14"/>
      <c r="D108" s="14"/>
      <c r="E108" s="14"/>
      <c r="F108" s="14"/>
      <c r="G108" s="15">
        <f t="shared" si="1"/>
        <v>0</v>
      </c>
    </row>
    <row r="109" spans="1:7" ht="14.25" customHeight="1">
      <c r="A109" s="13"/>
      <c r="B109" s="14"/>
      <c r="C109" s="14"/>
      <c r="D109" s="14"/>
      <c r="E109" s="14"/>
      <c r="F109" s="14"/>
      <c r="G109" s="15">
        <f t="shared" si="1"/>
        <v>0</v>
      </c>
    </row>
    <row r="110" spans="1:7" ht="14.25" customHeight="1">
      <c r="A110" s="13"/>
      <c r="B110" s="14"/>
      <c r="C110" s="14"/>
      <c r="D110" s="14"/>
      <c r="E110" s="14"/>
      <c r="F110" s="14"/>
      <c r="G110" s="15">
        <f t="shared" si="1"/>
        <v>0</v>
      </c>
    </row>
    <row r="111" spans="1:7" ht="14.25" customHeight="1">
      <c r="A111" s="13"/>
      <c r="B111" s="14"/>
      <c r="C111" s="14"/>
      <c r="D111" s="14"/>
      <c r="E111" s="14"/>
      <c r="F111" s="14"/>
      <c r="G111" s="15">
        <f t="shared" si="1"/>
        <v>0</v>
      </c>
    </row>
    <row r="112" spans="1:7" ht="14.25" customHeight="1">
      <c r="A112" s="13"/>
      <c r="B112" s="14"/>
      <c r="C112" s="14"/>
      <c r="D112" s="14"/>
      <c r="E112" s="14"/>
      <c r="F112" s="14"/>
      <c r="G112" s="15">
        <f t="shared" si="1"/>
        <v>0</v>
      </c>
    </row>
    <row r="113" spans="1:7" ht="14.25" customHeight="1">
      <c r="A113" s="13"/>
      <c r="B113" s="14"/>
      <c r="C113" s="14"/>
      <c r="D113" s="14"/>
      <c r="E113" s="14"/>
      <c r="F113" s="14"/>
      <c r="G113" s="15">
        <f t="shared" si="1"/>
        <v>0</v>
      </c>
    </row>
    <row r="114" spans="1:7" ht="14.25" customHeight="1">
      <c r="A114" s="13"/>
      <c r="B114" s="14"/>
      <c r="C114" s="14"/>
      <c r="D114" s="14"/>
      <c r="E114" s="14"/>
      <c r="F114" s="14"/>
      <c r="G114" s="15">
        <f t="shared" si="1"/>
        <v>0</v>
      </c>
    </row>
    <row r="115" spans="1:7" ht="14.25" customHeight="1">
      <c r="A115" s="13"/>
      <c r="B115" s="14"/>
      <c r="C115" s="14"/>
      <c r="D115" s="14"/>
      <c r="E115" s="14"/>
      <c r="F115" s="14"/>
      <c r="G115" s="15">
        <f t="shared" si="1"/>
        <v>0</v>
      </c>
    </row>
    <row r="116" spans="1:7" ht="14.25" customHeight="1">
      <c r="A116" s="13"/>
      <c r="B116" s="14"/>
      <c r="C116" s="14"/>
      <c r="D116" s="14"/>
      <c r="E116" s="14"/>
      <c r="F116" s="14"/>
      <c r="G116" s="15">
        <f t="shared" si="1"/>
        <v>0</v>
      </c>
    </row>
    <row r="117" spans="1:7" ht="14.25" customHeight="1">
      <c r="A117" s="13"/>
      <c r="B117" s="14"/>
      <c r="C117" s="14"/>
      <c r="D117" s="14"/>
      <c r="E117" s="14"/>
      <c r="F117" s="14"/>
      <c r="G117" s="15">
        <f t="shared" si="1"/>
        <v>0</v>
      </c>
    </row>
    <row r="118" spans="1:7" ht="14.25" customHeight="1">
      <c r="A118" s="13"/>
      <c r="B118" s="14"/>
      <c r="C118" s="14"/>
      <c r="D118" s="14"/>
      <c r="E118" s="14"/>
      <c r="F118" s="14"/>
      <c r="G118" s="15">
        <f t="shared" si="1"/>
        <v>0</v>
      </c>
    </row>
    <row r="119" spans="1:7" ht="14.25" customHeight="1">
      <c r="A119" s="13"/>
      <c r="B119" s="14"/>
      <c r="C119" s="14"/>
      <c r="D119" s="14"/>
      <c r="E119" s="14"/>
      <c r="F119" s="14"/>
      <c r="G119" s="15">
        <f t="shared" si="1"/>
        <v>0</v>
      </c>
    </row>
    <row r="120" spans="1:7" ht="14.25" customHeight="1">
      <c r="A120" s="13"/>
      <c r="B120" s="14"/>
      <c r="C120" s="14"/>
      <c r="D120" s="14"/>
      <c r="E120" s="14"/>
      <c r="F120" s="14"/>
      <c r="G120" s="15">
        <f t="shared" si="1"/>
        <v>0</v>
      </c>
    </row>
    <row r="121" spans="1:7" ht="14.25" customHeight="1">
      <c r="A121" s="13"/>
      <c r="B121" s="14"/>
      <c r="C121" s="14"/>
      <c r="D121" s="14"/>
      <c r="E121" s="14"/>
      <c r="F121" s="14"/>
      <c r="G121" s="15">
        <f t="shared" si="1"/>
        <v>0</v>
      </c>
    </row>
    <row r="122" spans="1:7" ht="14.25" customHeight="1">
      <c r="A122" s="13"/>
      <c r="B122" s="14"/>
      <c r="C122" s="14"/>
      <c r="D122" s="14"/>
      <c r="E122" s="14"/>
      <c r="F122" s="14"/>
      <c r="G122" s="15">
        <f t="shared" si="1"/>
        <v>0</v>
      </c>
    </row>
    <row r="123" spans="1:7" ht="14.25" customHeight="1">
      <c r="A123" s="13"/>
      <c r="B123" s="14"/>
      <c r="C123" s="14"/>
      <c r="D123" s="14"/>
      <c r="E123" s="14"/>
      <c r="F123" s="14"/>
      <c r="G123" s="15">
        <f t="shared" si="1"/>
        <v>0</v>
      </c>
    </row>
    <row r="124" spans="1:7" ht="14.25" customHeight="1">
      <c r="A124" s="13"/>
      <c r="B124" s="14"/>
      <c r="C124" s="14"/>
      <c r="D124" s="14"/>
      <c r="E124" s="14"/>
      <c r="F124" s="14"/>
      <c r="G124" s="15">
        <f t="shared" si="1"/>
        <v>0</v>
      </c>
    </row>
    <row r="125" spans="1:7" ht="14.25" customHeight="1">
      <c r="A125" s="13"/>
      <c r="B125" s="14"/>
      <c r="C125" s="14"/>
      <c r="D125" s="14"/>
      <c r="E125" s="14"/>
      <c r="F125" s="14"/>
      <c r="G125" s="15">
        <f t="shared" si="1"/>
        <v>0</v>
      </c>
    </row>
    <row r="126" spans="1:7" ht="14.25" customHeight="1">
      <c r="A126" s="13"/>
      <c r="B126" s="14"/>
      <c r="C126" s="14"/>
      <c r="D126" s="14"/>
      <c r="E126" s="14"/>
      <c r="F126" s="14"/>
      <c r="G126" s="15">
        <f t="shared" si="1"/>
        <v>0</v>
      </c>
    </row>
    <row r="127" spans="1:7" ht="14.25" customHeight="1">
      <c r="A127" s="13"/>
      <c r="B127" s="14"/>
      <c r="C127" s="14"/>
      <c r="D127" s="14"/>
      <c r="E127" s="14"/>
      <c r="F127" s="14"/>
      <c r="G127" s="15">
        <f t="shared" si="1"/>
        <v>0</v>
      </c>
    </row>
    <row r="128" spans="1:7" ht="14.25" customHeight="1">
      <c r="A128" s="13"/>
      <c r="B128" s="14"/>
      <c r="C128" s="14"/>
      <c r="D128" s="14"/>
      <c r="E128" s="14"/>
      <c r="F128" s="14"/>
      <c r="G128" s="15">
        <f t="shared" si="1"/>
        <v>0</v>
      </c>
    </row>
    <row r="129" spans="1:7" ht="14.25" customHeight="1">
      <c r="A129" s="13"/>
      <c r="B129" s="14"/>
      <c r="C129" s="14"/>
      <c r="D129" s="14"/>
      <c r="E129" s="14"/>
      <c r="F129" s="14"/>
      <c r="G129" s="15">
        <f t="shared" si="1"/>
        <v>0</v>
      </c>
    </row>
    <row r="130" spans="1:7" ht="14.25" customHeight="1">
      <c r="A130" s="13"/>
      <c r="B130" s="14"/>
      <c r="C130" s="14"/>
      <c r="D130" s="14"/>
      <c r="E130" s="14"/>
      <c r="F130" s="14"/>
      <c r="G130" s="15">
        <f t="shared" si="1"/>
        <v>0</v>
      </c>
    </row>
    <row r="131" spans="1:7" ht="14.25" customHeight="1">
      <c r="A131" s="13"/>
      <c r="B131" s="14"/>
      <c r="C131" s="14"/>
      <c r="D131" s="14"/>
      <c r="E131" s="14"/>
      <c r="F131" s="14"/>
      <c r="G131" s="15">
        <f t="shared" ref="G131:G194" si="2">E131+F131</f>
        <v>0</v>
      </c>
    </row>
    <row r="132" spans="1:7" ht="14.25" customHeight="1">
      <c r="A132" s="13"/>
      <c r="B132" s="14"/>
      <c r="C132" s="14"/>
      <c r="D132" s="14"/>
      <c r="E132" s="14"/>
      <c r="F132" s="14"/>
      <c r="G132" s="15">
        <f t="shared" si="2"/>
        <v>0</v>
      </c>
    </row>
    <row r="133" spans="1:7" ht="14.25" customHeight="1">
      <c r="A133" s="13"/>
      <c r="B133" s="14"/>
      <c r="C133" s="14"/>
      <c r="D133" s="14"/>
      <c r="E133" s="14"/>
      <c r="F133" s="14"/>
      <c r="G133" s="15">
        <f t="shared" si="2"/>
        <v>0</v>
      </c>
    </row>
    <row r="134" spans="1:7" ht="14.25" customHeight="1">
      <c r="A134" s="13"/>
      <c r="B134" s="14"/>
      <c r="C134" s="14"/>
      <c r="D134" s="14"/>
      <c r="E134" s="14"/>
      <c r="F134" s="14"/>
      <c r="G134" s="15">
        <f t="shared" si="2"/>
        <v>0</v>
      </c>
    </row>
    <row r="135" spans="1:7" ht="14.25" customHeight="1">
      <c r="A135" s="13"/>
      <c r="B135" s="14"/>
      <c r="C135" s="14"/>
      <c r="D135" s="14"/>
      <c r="E135" s="14"/>
      <c r="F135" s="14"/>
      <c r="G135" s="15">
        <f t="shared" si="2"/>
        <v>0</v>
      </c>
    </row>
    <row r="136" spans="1:7" ht="14.25" customHeight="1">
      <c r="A136" s="13"/>
      <c r="B136" s="14"/>
      <c r="C136" s="14"/>
      <c r="D136" s="14"/>
      <c r="E136" s="14"/>
      <c r="F136" s="14"/>
      <c r="G136" s="15">
        <f t="shared" si="2"/>
        <v>0</v>
      </c>
    </row>
    <row r="137" spans="1:7" ht="14.25" customHeight="1">
      <c r="A137" s="13"/>
      <c r="B137" s="14"/>
      <c r="C137" s="14"/>
      <c r="D137" s="14"/>
      <c r="E137" s="14"/>
      <c r="F137" s="14"/>
      <c r="G137" s="15">
        <f t="shared" si="2"/>
        <v>0</v>
      </c>
    </row>
    <row r="138" spans="1:7" ht="14.25" customHeight="1">
      <c r="A138" s="13"/>
      <c r="B138" s="14"/>
      <c r="C138" s="14"/>
      <c r="D138" s="14"/>
      <c r="E138" s="14"/>
      <c r="F138" s="14"/>
      <c r="G138" s="15">
        <f t="shared" si="2"/>
        <v>0</v>
      </c>
    </row>
    <row r="139" spans="1:7" ht="14.25" customHeight="1">
      <c r="A139" s="13"/>
      <c r="B139" s="14"/>
      <c r="C139" s="14"/>
      <c r="D139" s="14"/>
      <c r="E139" s="14"/>
      <c r="F139" s="14"/>
      <c r="G139" s="15">
        <f t="shared" si="2"/>
        <v>0</v>
      </c>
    </row>
    <row r="140" spans="1:7" ht="14.25" customHeight="1">
      <c r="A140" s="13"/>
      <c r="B140" s="14"/>
      <c r="C140" s="14"/>
      <c r="D140" s="14"/>
      <c r="E140" s="14"/>
      <c r="F140" s="14"/>
      <c r="G140" s="15">
        <f t="shared" si="2"/>
        <v>0</v>
      </c>
    </row>
    <row r="141" spans="1:7" ht="14.25" customHeight="1">
      <c r="A141" s="13"/>
      <c r="B141" s="14"/>
      <c r="C141" s="14"/>
      <c r="D141" s="14"/>
      <c r="E141" s="14"/>
      <c r="F141" s="14"/>
      <c r="G141" s="15">
        <f t="shared" si="2"/>
        <v>0</v>
      </c>
    </row>
    <row r="142" spans="1:7" ht="14.25" customHeight="1">
      <c r="A142" s="13"/>
      <c r="B142" s="14"/>
      <c r="C142" s="14"/>
      <c r="D142" s="14"/>
      <c r="E142" s="14"/>
      <c r="F142" s="14"/>
      <c r="G142" s="15">
        <f t="shared" si="2"/>
        <v>0</v>
      </c>
    </row>
    <row r="143" spans="1:7" ht="14.25" customHeight="1">
      <c r="A143" s="13"/>
      <c r="B143" s="14"/>
      <c r="C143" s="14"/>
      <c r="D143" s="14"/>
      <c r="E143" s="14"/>
      <c r="F143" s="14"/>
      <c r="G143" s="15">
        <f t="shared" si="2"/>
        <v>0</v>
      </c>
    </row>
    <row r="144" spans="1:7" ht="14.25" customHeight="1">
      <c r="A144" s="13"/>
      <c r="B144" s="14"/>
      <c r="C144" s="14"/>
      <c r="D144" s="14"/>
      <c r="E144" s="14"/>
      <c r="F144" s="14"/>
      <c r="G144" s="15">
        <f t="shared" si="2"/>
        <v>0</v>
      </c>
    </row>
    <row r="145" spans="1:7" ht="14.25" customHeight="1">
      <c r="A145" s="13"/>
      <c r="B145" s="14"/>
      <c r="C145" s="14"/>
      <c r="D145" s="14"/>
      <c r="E145" s="14"/>
      <c r="F145" s="14"/>
      <c r="G145" s="15">
        <f t="shared" si="2"/>
        <v>0</v>
      </c>
    </row>
    <row r="146" spans="1:7" ht="14.25" customHeight="1">
      <c r="A146" s="13"/>
      <c r="B146" s="14"/>
      <c r="C146" s="14"/>
      <c r="D146" s="14"/>
      <c r="E146" s="14"/>
      <c r="F146" s="14"/>
      <c r="G146" s="15">
        <f t="shared" si="2"/>
        <v>0</v>
      </c>
    </row>
    <row r="147" spans="1:7" ht="14.25" customHeight="1">
      <c r="A147" s="13"/>
      <c r="B147" s="14"/>
      <c r="C147" s="14"/>
      <c r="D147" s="14"/>
      <c r="E147" s="14"/>
      <c r="F147" s="14"/>
      <c r="G147" s="15">
        <f t="shared" si="2"/>
        <v>0</v>
      </c>
    </row>
    <row r="148" spans="1:7" ht="14.25" customHeight="1">
      <c r="A148" s="13"/>
      <c r="B148" s="14"/>
      <c r="C148" s="14"/>
      <c r="D148" s="14"/>
      <c r="E148" s="14"/>
      <c r="F148" s="14"/>
      <c r="G148" s="15">
        <f t="shared" si="2"/>
        <v>0</v>
      </c>
    </row>
    <row r="149" spans="1:7" ht="14.25" customHeight="1">
      <c r="A149" s="13"/>
      <c r="B149" s="14"/>
      <c r="C149" s="14"/>
      <c r="D149" s="14"/>
      <c r="E149" s="14"/>
      <c r="F149" s="14"/>
      <c r="G149" s="15">
        <f t="shared" si="2"/>
        <v>0</v>
      </c>
    </row>
    <row r="150" spans="1:7" ht="14.25" customHeight="1">
      <c r="A150" s="13"/>
      <c r="B150" s="14"/>
      <c r="C150" s="14"/>
      <c r="D150" s="14"/>
      <c r="E150" s="14"/>
      <c r="F150" s="14"/>
      <c r="G150" s="15">
        <f t="shared" si="2"/>
        <v>0</v>
      </c>
    </row>
    <row r="151" spans="1:7" ht="14.25" customHeight="1">
      <c r="A151" s="13"/>
      <c r="B151" s="14"/>
      <c r="C151" s="14"/>
      <c r="D151" s="14"/>
      <c r="E151" s="14"/>
      <c r="F151" s="14"/>
      <c r="G151" s="15">
        <f t="shared" si="2"/>
        <v>0</v>
      </c>
    </row>
    <row r="152" spans="1:7" ht="14.25" customHeight="1">
      <c r="A152" s="13"/>
      <c r="B152" s="14"/>
      <c r="C152" s="14"/>
      <c r="D152" s="14"/>
      <c r="E152" s="14"/>
      <c r="F152" s="14"/>
      <c r="G152" s="15">
        <f t="shared" si="2"/>
        <v>0</v>
      </c>
    </row>
    <row r="153" spans="1:7" ht="14.25" customHeight="1">
      <c r="A153" s="13"/>
      <c r="B153" s="14"/>
      <c r="C153" s="14"/>
      <c r="D153" s="14"/>
      <c r="E153" s="14"/>
      <c r="F153" s="14"/>
      <c r="G153" s="15">
        <f t="shared" si="2"/>
        <v>0</v>
      </c>
    </row>
    <row r="154" spans="1:7" ht="14.25" customHeight="1">
      <c r="A154" s="13"/>
      <c r="B154" s="14"/>
      <c r="C154" s="14"/>
      <c r="D154" s="14"/>
      <c r="E154" s="14"/>
      <c r="F154" s="14"/>
      <c r="G154" s="15">
        <f t="shared" si="2"/>
        <v>0</v>
      </c>
    </row>
    <row r="155" spans="1:7" ht="14.25" customHeight="1">
      <c r="A155" s="13"/>
      <c r="B155" s="14"/>
      <c r="C155" s="14"/>
      <c r="D155" s="14"/>
      <c r="E155" s="14"/>
      <c r="F155" s="14"/>
      <c r="G155" s="15">
        <f t="shared" si="2"/>
        <v>0</v>
      </c>
    </row>
    <row r="156" spans="1:7" ht="14.25" customHeight="1">
      <c r="A156" s="13"/>
      <c r="B156" s="14"/>
      <c r="C156" s="14"/>
      <c r="D156" s="14"/>
      <c r="E156" s="14"/>
      <c r="F156" s="14"/>
      <c r="G156" s="15">
        <f t="shared" si="2"/>
        <v>0</v>
      </c>
    </row>
    <row r="157" spans="1:7" ht="14.25" customHeight="1">
      <c r="A157" s="13"/>
      <c r="B157" s="14"/>
      <c r="C157" s="14"/>
      <c r="D157" s="14"/>
      <c r="E157" s="14"/>
      <c r="F157" s="14"/>
      <c r="G157" s="15">
        <f t="shared" si="2"/>
        <v>0</v>
      </c>
    </row>
    <row r="158" spans="1:7" ht="14.25" customHeight="1">
      <c r="A158" s="13"/>
      <c r="B158" s="14"/>
      <c r="C158" s="14"/>
      <c r="D158" s="14"/>
      <c r="E158" s="14"/>
      <c r="F158" s="14"/>
      <c r="G158" s="15">
        <f t="shared" si="2"/>
        <v>0</v>
      </c>
    </row>
    <row r="159" spans="1:7" ht="14.25" customHeight="1">
      <c r="A159" s="13"/>
      <c r="B159" s="14"/>
      <c r="C159" s="14"/>
      <c r="D159" s="14"/>
      <c r="E159" s="14"/>
      <c r="F159" s="14"/>
      <c r="G159" s="15">
        <f t="shared" si="2"/>
        <v>0</v>
      </c>
    </row>
    <row r="160" spans="1:7" ht="14.25" customHeight="1">
      <c r="A160" s="13"/>
      <c r="B160" s="14"/>
      <c r="C160" s="14"/>
      <c r="D160" s="14"/>
      <c r="E160" s="14"/>
      <c r="F160" s="14"/>
      <c r="G160" s="15">
        <f t="shared" si="2"/>
        <v>0</v>
      </c>
    </row>
    <row r="161" spans="1:7" ht="14.25" customHeight="1">
      <c r="A161" s="13"/>
      <c r="B161" s="14"/>
      <c r="C161" s="14"/>
      <c r="D161" s="14"/>
      <c r="E161" s="14"/>
      <c r="F161" s="14"/>
      <c r="G161" s="15">
        <f t="shared" si="2"/>
        <v>0</v>
      </c>
    </row>
    <row r="162" spans="1:7" ht="14.25" customHeight="1">
      <c r="A162" s="13"/>
      <c r="B162" s="14"/>
      <c r="C162" s="14"/>
      <c r="D162" s="14"/>
      <c r="E162" s="14"/>
      <c r="F162" s="14"/>
      <c r="G162" s="15">
        <f t="shared" si="2"/>
        <v>0</v>
      </c>
    </row>
    <row r="163" spans="1:7" ht="14.25" customHeight="1">
      <c r="A163" s="13"/>
      <c r="B163" s="14"/>
      <c r="C163" s="14"/>
      <c r="D163" s="14"/>
      <c r="E163" s="14"/>
      <c r="F163" s="14"/>
      <c r="G163" s="15">
        <f t="shared" si="2"/>
        <v>0</v>
      </c>
    </row>
    <row r="164" spans="1:7" ht="14.25" customHeight="1">
      <c r="A164" s="13"/>
      <c r="B164" s="14"/>
      <c r="C164" s="14"/>
      <c r="D164" s="14"/>
      <c r="E164" s="14"/>
      <c r="F164" s="14"/>
      <c r="G164" s="15">
        <f t="shared" si="2"/>
        <v>0</v>
      </c>
    </row>
    <row r="165" spans="1:7" ht="14.25" customHeight="1">
      <c r="A165" s="13"/>
      <c r="B165" s="14"/>
      <c r="C165" s="14"/>
      <c r="D165" s="14"/>
      <c r="E165" s="14"/>
      <c r="F165" s="14"/>
      <c r="G165" s="15">
        <f t="shared" si="2"/>
        <v>0</v>
      </c>
    </row>
    <row r="166" spans="1:7" ht="14.25" customHeight="1">
      <c r="A166" s="13"/>
      <c r="B166" s="14"/>
      <c r="C166" s="14"/>
      <c r="D166" s="14"/>
      <c r="E166" s="14"/>
      <c r="F166" s="14"/>
      <c r="G166" s="15">
        <f t="shared" si="2"/>
        <v>0</v>
      </c>
    </row>
    <row r="167" spans="1:7" ht="14.25" customHeight="1">
      <c r="A167" s="13"/>
      <c r="B167" s="14"/>
      <c r="C167" s="14"/>
      <c r="D167" s="14"/>
      <c r="E167" s="14"/>
      <c r="F167" s="14"/>
      <c r="G167" s="15">
        <f t="shared" si="2"/>
        <v>0</v>
      </c>
    </row>
    <row r="168" spans="1:7" ht="14.25" customHeight="1">
      <c r="A168" s="13"/>
      <c r="B168" s="14"/>
      <c r="C168" s="14"/>
      <c r="D168" s="14"/>
      <c r="E168" s="14"/>
      <c r="F168" s="14"/>
      <c r="G168" s="15">
        <f t="shared" si="2"/>
        <v>0</v>
      </c>
    </row>
    <row r="169" spans="1:7" ht="14.25" customHeight="1">
      <c r="A169" s="13"/>
      <c r="B169" s="14"/>
      <c r="C169" s="14"/>
      <c r="D169" s="14"/>
      <c r="E169" s="14"/>
      <c r="F169" s="14"/>
      <c r="G169" s="15">
        <f t="shared" si="2"/>
        <v>0</v>
      </c>
    </row>
    <row r="170" spans="1:7" ht="14.25" customHeight="1">
      <c r="A170" s="13"/>
      <c r="B170" s="14"/>
      <c r="C170" s="14"/>
      <c r="D170" s="14"/>
      <c r="E170" s="14"/>
      <c r="F170" s="14"/>
      <c r="G170" s="15">
        <f t="shared" si="2"/>
        <v>0</v>
      </c>
    </row>
    <row r="171" spans="1:7" ht="14.25" customHeight="1">
      <c r="A171" s="13"/>
      <c r="B171" s="14"/>
      <c r="C171" s="14"/>
      <c r="D171" s="14"/>
      <c r="E171" s="14"/>
      <c r="F171" s="14"/>
      <c r="G171" s="15">
        <f t="shared" si="2"/>
        <v>0</v>
      </c>
    </row>
    <row r="172" spans="1:7" ht="14.25" customHeight="1">
      <c r="A172" s="13"/>
      <c r="B172" s="14"/>
      <c r="C172" s="14"/>
      <c r="D172" s="14"/>
      <c r="E172" s="14"/>
      <c r="F172" s="14"/>
      <c r="G172" s="15">
        <f t="shared" si="2"/>
        <v>0</v>
      </c>
    </row>
    <row r="173" spans="1:7" ht="14.25" customHeight="1">
      <c r="A173" s="13"/>
      <c r="B173" s="14"/>
      <c r="C173" s="14"/>
      <c r="D173" s="14"/>
      <c r="E173" s="14"/>
      <c r="F173" s="14"/>
      <c r="G173" s="15">
        <f t="shared" si="2"/>
        <v>0</v>
      </c>
    </row>
    <row r="174" spans="1:7" ht="14.25" customHeight="1">
      <c r="A174" s="13"/>
      <c r="B174" s="14"/>
      <c r="C174" s="14"/>
      <c r="D174" s="14"/>
      <c r="E174" s="14"/>
      <c r="F174" s="14"/>
      <c r="G174" s="15">
        <f t="shared" si="2"/>
        <v>0</v>
      </c>
    </row>
    <row r="175" spans="1:7" ht="14.25" customHeight="1">
      <c r="A175" s="13"/>
      <c r="B175" s="14"/>
      <c r="C175" s="14"/>
      <c r="D175" s="14"/>
      <c r="E175" s="14"/>
      <c r="F175" s="14"/>
      <c r="G175" s="15">
        <f t="shared" si="2"/>
        <v>0</v>
      </c>
    </row>
    <row r="176" spans="1:7" ht="14.25" customHeight="1">
      <c r="A176" s="13"/>
      <c r="B176" s="14"/>
      <c r="C176" s="14"/>
      <c r="D176" s="14"/>
      <c r="E176" s="14"/>
      <c r="F176" s="14"/>
      <c r="G176" s="15">
        <f t="shared" si="2"/>
        <v>0</v>
      </c>
    </row>
    <row r="177" spans="1:7" ht="14.25" customHeight="1">
      <c r="A177" s="13"/>
      <c r="B177" s="14"/>
      <c r="C177" s="14"/>
      <c r="D177" s="14"/>
      <c r="E177" s="14"/>
      <c r="F177" s="14"/>
      <c r="G177" s="15">
        <f t="shared" si="2"/>
        <v>0</v>
      </c>
    </row>
    <row r="178" spans="1:7" ht="14.25" customHeight="1">
      <c r="A178" s="13"/>
      <c r="B178" s="14"/>
      <c r="C178" s="14"/>
      <c r="D178" s="14"/>
      <c r="E178" s="14"/>
      <c r="F178" s="14"/>
      <c r="G178" s="15">
        <f t="shared" si="2"/>
        <v>0</v>
      </c>
    </row>
    <row r="179" spans="1:7" ht="14.25" customHeight="1">
      <c r="A179" s="13"/>
      <c r="B179" s="14"/>
      <c r="C179" s="14"/>
      <c r="D179" s="14"/>
      <c r="E179" s="14"/>
      <c r="F179" s="14"/>
      <c r="G179" s="15">
        <f t="shared" si="2"/>
        <v>0</v>
      </c>
    </row>
    <row r="180" spans="1:7" ht="14.25" customHeight="1">
      <c r="A180" s="13"/>
      <c r="B180" s="14"/>
      <c r="C180" s="14"/>
      <c r="D180" s="14"/>
      <c r="E180" s="14"/>
      <c r="F180" s="14"/>
      <c r="G180" s="15">
        <f t="shared" si="2"/>
        <v>0</v>
      </c>
    </row>
    <row r="181" spans="1:7" ht="14.25" customHeight="1">
      <c r="A181" s="13"/>
      <c r="B181" s="14"/>
      <c r="C181" s="14"/>
      <c r="D181" s="14"/>
      <c r="E181" s="14"/>
      <c r="F181" s="14"/>
      <c r="G181" s="15">
        <f t="shared" si="2"/>
        <v>0</v>
      </c>
    </row>
    <row r="182" spans="1:7" ht="14.25" customHeight="1">
      <c r="A182" s="13"/>
      <c r="B182" s="14"/>
      <c r="C182" s="14"/>
      <c r="D182" s="14"/>
      <c r="E182" s="14"/>
      <c r="F182" s="14"/>
      <c r="G182" s="15">
        <f t="shared" si="2"/>
        <v>0</v>
      </c>
    </row>
    <row r="183" spans="1:7" ht="14.25" customHeight="1">
      <c r="A183" s="13"/>
      <c r="B183" s="14"/>
      <c r="C183" s="14"/>
      <c r="D183" s="14"/>
      <c r="E183" s="14"/>
      <c r="F183" s="14"/>
      <c r="G183" s="15">
        <f t="shared" si="2"/>
        <v>0</v>
      </c>
    </row>
    <row r="184" spans="1:7" ht="14.25" customHeight="1">
      <c r="A184" s="13"/>
      <c r="B184" s="14"/>
      <c r="C184" s="14"/>
      <c r="D184" s="14"/>
      <c r="E184" s="14"/>
      <c r="F184" s="14"/>
      <c r="G184" s="15">
        <f t="shared" si="2"/>
        <v>0</v>
      </c>
    </row>
    <row r="185" spans="1:7" ht="14.25" customHeight="1">
      <c r="A185" s="13"/>
      <c r="B185" s="14"/>
      <c r="C185" s="14"/>
      <c r="D185" s="14"/>
      <c r="E185" s="14"/>
      <c r="F185" s="14"/>
      <c r="G185" s="15">
        <f t="shared" si="2"/>
        <v>0</v>
      </c>
    </row>
    <row r="186" spans="1:7" ht="14.25" customHeight="1">
      <c r="A186" s="13"/>
      <c r="B186" s="14"/>
      <c r="C186" s="14"/>
      <c r="D186" s="14"/>
      <c r="E186" s="14"/>
      <c r="F186" s="14"/>
      <c r="G186" s="15">
        <f t="shared" si="2"/>
        <v>0</v>
      </c>
    </row>
    <row r="187" spans="1:7" ht="14.25" customHeight="1">
      <c r="A187" s="13"/>
      <c r="B187" s="14"/>
      <c r="C187" s="14"/>
      <c r="D187" s="14"/>
      <c r="E187" s="14"/>
      <c r="F187" s="14"/>
      <c r="G187" s="15">
        <f t="shared" si="2"/>
        <v>0</v>
      </c>
    </row>
    <row r="188" spans="1:7" ht="14.25" customHeight="1">
      <c r="A188" s="13"/>
      <c r="B188" s="14"/>
      <c r="C188" s="14"/>
      <c r="D188" s="14"/>
      <c r="E188" s="14"/>
      <c r="F188" s="14"/>
      <c r="G188" s="15">
        <f t="shared" si="2"/>
        <v>0</v>
      </c>
    </row>
    <row r="189" spans="1:7" ht="14.25" customHeight="1">
      <c r="A189" s="13"/>
      <c r="B189" s="14"/>
      <c r="C189" s="14"/>
      <c r="D189" s="14"/>
      <c r="E189" s="14"/>
      <c r="F189" s="14"/>
      <c r="G189" s="15">
        <f t="shared" si="2"/>
        <v>0</v>
      </c>
    </row>
    <row r="190" spans="1:7" ht="14.25" customHeight="1">
      <c r="A190" s="13"/>
      <c r="B190" s="14"/>
      <c r="C190" s="14"/>
      <c r="D190" s="14"/>
      <c r="E190" s="14"/>
      <c r="F190" s="14"/>
      <c r="G190" s="15">
        <f t="shared" si="2"/>
        <v>0</v>
      </c>
    </row>
    <row r="191" spans="1:7" ht="14.25" customHeight="1">
      <c r="A191" s="13"/>
      <c r="B191" s="14"/>
      <c r="C191" s="14"/>
      <c r="D191" s="14"/>
      <c r="E191" s="14"/>
      <c r="F191" s="14"/>
      <c r="G191" s="15">
        <f t="shared" si="2"/>
        <v>0</v>
      </c>
    </row>
    <row r="192" spans="1:7" ht="14.25" customHeight="1">
      <c r="A192" s="13"/>
      <c r="B192" s="14"/>
      <c r="C192" s="14"/>
      <c r="D192" s="14"/>
      <c r="E192" s="14"/>
      <c r="F192" s="14"/>
      <c r="G192" s="15">
        <f t="shared" si="2"/>
        <v>0</v>
      </c>
    </row>
    <row r="193" spans="1:7" ht="14.25" customHeight="1">
      <c r="A193" s="13"/>
      <c r="B193" s="14"/>
      <c r="C193" s="14"/>
      <c r="D193" s="14"/>
      <c r="E193" s="14"/>
      <c r="F193" s="14"/>
      <c r="G193" s="15">
        <f t="shared" si="2"/>
        <v>0</v>
      </c>
    </row>
    <row r="194" spans="1:7" ht="14.25" customHeight="1">
      <c r="A194" s="13"/>
      <c r="B194" s="14"/>
      <c r="C194" s="14"/>
      <c r="D194" s="14"/>
      <c r="E194" s="14"/>
      <c r="F194" s="14"/>
      <c r="G194" s="15">
        <f t="shared" si="2"/>
        <v>0</v>
      </c>
    </row>
    <row r="195" spans="1:7" ht="14.25" customHeight="1">
      <c r="A195" s="13"/>
      <c r="B195" s="14"/>
      <c r="C195" s="14"/>
      <c r="D195" s="14"/>
      <c r="E195" s="14"/>
      <c r="F195" s="14"/>
      <c r="G195" s="15">
        <f t="shared" ref="G195:G258" si="3">E195+F195</f>
        <v>0</v>
      </c>
    </row>
    <row r="196" spans="1:7" ht="14.25" customHeight="1">
      <c r="A196" s="13"/>
      <c r="B196" s="14"/>
      <c r="C196" s="14"/>
      <c r="D196" s="14"/>
      <c r="E196" s="14"/>
      <c r="F196" s="14"/>
      <c r="G196" s="15">
        <f t="shared" si="3"/>
        <v>0</v>
      </c>
    </row>
    <row r="197" spans="1:7" ht="14.25" customHeight="1">
      <c r="A197" s="13"/>
      <c r="B197" s="14"/>
      <c r="C197" s="14"/>
      <c r="D197" s="14"/>
      <c r="E197" s="14"/>
      <c r="F197" s="14"/>
      <c r="G197" s="15">
        <f t="shared" si="3"/>
        <v>0</v>
      </c>
    </row>
    <row r="198" spans="1:7" ht="14.25" customHeight="1">
      <c r="A198" s="13"/>
      <c r="B198" s="14"/>
      <c r="C198" s="14"/>
      <c r="D198" s="14"/>
      <c r="E198" s="14"/>
      <c r="F198" s="14"/>
      <c r="G198" s="15">
        <f t="shared" si="3"/>
        <v>0</v>
      </c>
    </row>
    <row r="199" spans="1:7" ht="14.25" customHeight="1">
      <c r="A199" s="13"/>
      <c r="B199" s="14"/>
      <c r="C199" s="14"/>
      <c r="D199" s="14"/>
      <c r="E199" s="14"/>
      <c r="F199" s="14"/>
      <c r="G199" s="15">
        <f t="shared" si="3"/>
        <v>0</v>
      </c>
    </row>
    <row r="200" spans="1:7" ht="14.25" customHeight="1">
      <c r="A200" s="13"/>
      <c r="B200" s="14"/>
      <c r="C200" s="14"/>
      <c r="D200" s="14"/>
      <c r="E200" s="14"/>
      <c r="F200" s="14"/>
      <c r="G200" s="15">
        <f t="shared" si="3"/>
        <v>0</v>
      </c>
    </row>
    <row r="201" spans="1:7" ht="14.25" customHeight="1">
      <c r="A201" s="13"/>
      <c r="B201" s="14"/>
      <c r="C201" s="14"/>
      <c r="D201" s="14"/>
      <c r="E201" s="14"/>
      <c r="F201" s="14"/>
      <c r="G201" s="15">
        <f t="shared" si="3"/>
        <v>0</v>
      </c>
    </row>
    <row r="202" spans="1:7" ht="14.25" customHeight="1">
      <c r="A202" s="13"/>
      <c r="B202" s="14"/>
      <c r="C202" s="14"/>
      <c r="D202" s="14"/>
      <c r="E202" s="14"/>
      <c r="F202" s="14"/>
      <c r="G202" s="15">
        <f t="shared" si="3"/>
        <v>0</v>
      </c>
    </row>
    <row r="203" spans="1:7" ht="14.25" customHeight="1">
      <c r="A203" s="13"/>
      <c r="B203" s="14"/>
      <c r="C203" s="14"/>
      <c r="D203" s="14"/>
      <c r="E203" s="14"/>
      <c r="F203" s="14"/>
      <c r="G203" s="15">
        <f t="shared" si="3"/>
        <v>0</v>
      </c>
    </row>
    <row r="204" spans="1:7" ht="14.25" customHeight="1">
      <c r="A204" s="13"/>
      <c r="B204" s="14"/>
      <c r="C204" s="14"/>
      <c r="D204" s="14"/>
      <c r="E204" s="14"/>
      <c r="F204" s="14"/>
      <c r="G204" s="15">
        <f t="shared" si="3"/>
        <v>0</v>
      </c>
    </row>
    <row r="205" spans="1:7" ht="14.25" customHeight="1">
      <c r="A205" s="13"/>
      <c r="B205" s="14"/>
      <c r="C205" s="14"/>
      <c r="D205" s="14"/>
      <c r="E205" s="14"/>
      <c r="F205" s="14"/>
      <c r="G205" s="15">
        <f t="shared" si="3"/>
        <v>0</v>
      </c>
    </row>
    <row r="206" spans="1:7" ht="14.25" customHeight="1">
      <c r="A206" s="13"/>
      <c r="B206" s="14"/>
      <c r="C206" s="14"/>
      <c r="D206" s="14"/>
      <c r="E206" s="14"/>
      <c r="F206" s="14"/>
      <c r="G206" s="15">
        <f t="shared" si="3"/>
        <v>0</v>
      </c>
    </row>
    <row r="207" spans="1:7" ht="14.25" customHeight="1">
      <c r="A207" s="13"/>
      <c r="B207" s="14"/>
      <c r="C207" s="14"/>
      <c r="D207" s="14"/>
      <c r="E207" s="14"/>
      <c r="F207" s="14"/>
      <c r="G207" s="15">
        <f t="shared" si="3"/>
        <v>0</v>
      </c>
    </row>
    <row r="208" spans="1:7" ht="14.25" customHeight="1">
      <c r="A208" s="13"/>
      <c r="B208" s="14"/>
      <c r="C208" s="14"/>
      <c r="D208" s="14"/>
      <c r="E208" s="14"/>
      <c r="F208" s="14"/>
      <c r="G208" s="15">
        <f t="shared" si="3"/>
        <v>0</v>
      </c>
    </row>
    <row r="209" spans="1:7" ht="14.25" customHeight="1">
      <c r="A209" s="13"/>
      <c r="B209" s="14"/>
      <c r="C209" s="14"/>
      <c r="D209" s="14"/>
      <c r="E209" s="14"/>
      <c r="F209" s="14"/>
      <c r="G209" s="15">
        <f t="shared" si="3"/>
        <v>0</v>
      </c>
    </row>
    <row r="210" spans="1:7" ht="14.25" customHeight="1">
      <c r="A210" s="13"/>
      <c r="B210" s="14"/>
      <c r="C210" s="14"/>
      <c r="D210" s="14"/>
      <c r="E210" s="14"/>
      <c r="F210" s="14"/>
      <c r="G210" s="15">
        <f t="shared" si="3"/>
        <v>0</v>
      </c>
    </row>
    <row r="211" spans="1:7" ht="14.25" customHeight="1">
      <c r="A211" s="13"/>
      <c r="B211" s="14"/>
      <c r="C211" s="14"/>
      <c r="D211" s="14"/>
      <c r="E211" s="14"/>
      <c r="F211" s="14"/>
      <c r="G211" s="15">
        <f t="shared" si="3"/>
        <v>0</v>
      </c>
    </row>
    <row r="212" spans="1:7" ht="14.25" customHeight="1">
      <c r="A212" s="13"/>
      <c r="B212" s="14"/>
      <c r="C212" s="14"/>
      <c r="D212" s="14"/>
      <c r="E212" s="14"/>
      <c r="F212" s="14"/>
      <c r="G212" s="15">
        <f t="shared" si="3"/>
        <v>0</v>
      </c>
    </row>
    <row r="213" spans="1:7" ht="14.25" customHeight="1">
      <c r="A213" s="13"/>
      <c r="B213" s="14"/>
      <c r="C213" s="14"/>
      <c r="D213" s="14"/>
      <c r="E213" s="14"/>
      <c r="F213" s="14"/>
      <c r="G213" s="15">
        <f t="shared" si="3"/>
        <v>0</v>
      </c>
    </row>
    <row r="214" spans="1:7" ht="14.25" customHeight="1">
      <c r="A214" s="13"/>
      <c r="B214" s="14"/>
      <c r="C214" s="14"/>
      <c r="D214" s="14"/>
      <c r="E214" s="14"/>
      <c r="F214" s="14"/>
      <c r="G214" s="15">
        <f t="shared" si="3"/>
        <v>0</v>
      </c>
    </row>
    <row r="215" spans="1:7" ht="14.25" customHeight="1">
      <c r="A215" s="13"/>
      <c r="B215" s="14"/>
      <c r="C215" s="14"/>
      <c r="D215" s="14"/>
      <c r="E215" s="14"/>
      <c r="F215" s="14"/>
      <c r="G215" s="15">
        <f t="shared" si="3"/>
        <v>0</v>
      </c>
    </row>
    <row r="216" spans="1:7" ht="14.25" customHeight="1">
      <c r="A216" s="13"/>
      <c r="B216" s="14"/>
      <c r="C216" s="14"/>
      <c r="D216" s="14"/>
      <c r="E216" s="14"/>
      <c r="F216" s="14"/>
      <c r="G216" s="15">
        <f t="shared" si="3"/>
        <v>0</v>
      </c>
    </row>
    <row r="217" spans="1:7" ht="14.25" customHeight="1">
      <c r="A217" s="13"/>
      <c r="B217" s="14"/>
      <c r="C217" s="14"/>
      <c r="D217" s="14"/>
      <c r="E217" s="14"/>
      <c r="F217" s="14"/>
      <c r="G217" s="15">
        <f t="shared" si="3"/>
        <v>0</v>
      </c>
    </row>
    <row r="218" spans="1:7" ht="14.25" customHeight="1">
      <c r="A218" s="13"/>
      <c r="B218" s="14"/>
      <c r="C218" s="14"/>
      <c r="D218" s="14"/>
      <c r="E218" s="14"/>
      <c r="F218" s="14"/>
      <c r="G218" s="15">
        <f t="shared" si="3"/>
        <v>0</v>
      </c>
    </row>
    <row r="219" spans="1:7" ht="14.25" customHeight="1">
      <c r="A219" s="13"/>
      <c r="B219" s="14"/>
      <c r="C219" s="14"/>
      <c r="D219" s="14"/>
      <c r="E219" s="14"/>
      <c r="F219" s="14"/>
      <c r="G219" s="15">
        <f t="shared" si="3"/>
        <v>0</v>
      </c>
    </row>
    <row r="220" spans="1:7" ht="14.25" customHeight="1">
      <c r="A220" s="13"/>
      <c r="B220" s="14"/>
      <c r="C220" s="14"/>
      <c r="D220" s="14"/>
      <c r="E220" s="14"/>
      <c r="F220" s="14"/>
      <c r="G220" s="15">
        <f t="shared" si="3"/>
        <v>0</v>
      </c>
    </row>
    <row r="221" spans="1:7" ht="14.25" customHeight="1">
      <c r="A221" s="13"/>
      <c r="B221" s="14"/>
      <c r="C221" s="14"/>
      <c r="D221" s="14"/>
      <c r="E221" s="14"/>
      <c r="F221" s="14"/>
      <c r="G221" s="15">
        <f t="shared" si="3"/>
        <v>0</v>
      </c>
    </row>
    <row r="222" spans="1:7" ht="14.25" customHeight="1">
      <c r="A222" s="13"/>
      <c r="B222" s="14"/>
      <c r="C222" s="14"/>
      <c r="D222" s="14"/>
      <c r="E222" s="14"/>
      <c r="F222" s="14"/>
      <c r="G222" s="15">
        <f t="shared" si="3"/>
        <v>0</v>
      </c>
    </row>
    <row r="223" spans="1:7" ht="14.25" customHeight="1">
      <c r="A223" s="13"/>
      <c r="B223" s="14"/>
      <c r="C223" s="14"/>
      <c r="D223" s="14"/>
      <c r="E223" s="14"/>
      <c r="F223" s="14"/>
      <c r="G223" s="15">
        <f t="shared" si="3"/>
        <v>0</v>
      </c>
    </row>
    <row r="224" spans="1:7" ht="14.25" customHeight="1">
      <c r="A224" s="13"/>
      <c r="B224" s="14"/>
      <c r="C224" s="14"/>
      <c r="D224" s="14"/>
      <c r="E224" s="14"/>
      <c r="F224" s="14"/>
      <c r="G224" s="15">
        <f t="shared" si="3"/>
        <v>0</v>
      </c>
    </row>
    <row r="225" spans="1:7" ht="14.25" customHeight="1">
      <c r="A225" s="13"/>
      <c r="B225" s="14"/>
      <c r="C225" s="14"/>
      <c r="D225" s="14"/>
      <c r="E225" s="14"/>
      <c r="F225" s="14"/>
      <c r="G225" s="15">
        <f t="shared" si="3"/>
        <v>0</v>
      </c>
    </row>
    <row r="226" spans="1:7" ht="14.25" customHeight="1">
      <c r="A226" s="13"/>
      <c r="B226" s="14"/>
      <c r="C226" s="14"/>
      <c r="D226" s="14"/>
      <c r="E226" s="14"/>
      <c r="F226" s="14"/>
      <c r="G226" s="15">
        <f t="shared" si="3"/>
        <v>0</v>
      </c>
    </row>
    <row r="227" spans="1:7" ht="14.25" customHeight="1">
      <c r="A227" s="13"/>
      <c r="B227" s="14"/>
      <c r="C227" s="14"/>
      <c r="D227" s="14"/>
      <c r="E227" s="14"/>
      <c r="F227" s="14"/>
      <c r="G227" s="15">
        <f t="shared" si="3"/>
        <v>0</v>
      </c>
    </row>
    <row r="228" spans="1:7" ht="14.25" customHeight="1">
      <c r="A228" s="13"/>
      <c r="B228" s="14"/>
      <c r="C228" s="14"/>
      <c r="D228" s="14"/>
      <c r="E228" s="14"/>
      <c r="F228" s="14"/>
      <c r="G228" s="15">
        <f t="shared" si="3"/>
        <v>0</v>
      </c>
    </row>
    <row r="229" spans="1:7" ht="14.25" customHeight="1">
      <c r="A229" s="13"/>
      <c r="B229" s="14"/>
      <c r="C229" s="14"/>
      <c r="D229" s="14"/>
      <c r="E229" s="14"/>
      <c r="F229" s="14"/>
      <c r="G229" s="15">
        <f t="shared" si="3"/>
        <v>0</v>
      </c>
    </row>
    <row r="230" spans="1:7" ht="14.25" customHeight="1">
      <c r="A230" s="13"/>
      <c r="B230" s="14"/>
      <c r="C230" s="14"/>
      <c r="D230" s="14"/>
      <c r="E230" s="14"/>
      <c r="F230" s="14"/>
      <c r="G230" s="15">
        <f t="shared" si="3"/>
        <v>0</v>
      </c>
    </row>
    <row r="231" spans="1:7" ht="14.25" customHeight="1">
      <c r="A231" s="13"/>
      <c r="B231" s="14"/>
      <c r="C231" s="14"/>
      <c r="D231" s="14"/>
      <c r="E231" s="14"/>
      <c r="F231" s="14"/>
      <c r="G231" s="15">
        <f t="shared" si="3"/>
        <v>0</v>
      </c>
    </row>
    <row r="232" spans="1:7" ht="14.25" customHeight="1">
      <c r="A232" s="13"/>
      <c r="B232" s="14"/>
      <c r="C232" s="14"/>
      <c r="D232" s="14"/>
      <c r="E232" s="14"/>
      <c r="F232" s="14"/>
      <c r="G232" s="15">
        <f t="shared" si="3"/>
        <v>0</v>
      </c>
    </row>
    <row r="233" spans="1:7" ht="14.25" customHeight="1">
      <c r="A233" s="13"/>
      <c r="B233" s="14"/>
      <c r="C233" s="14"/>
      <c r="D233" s="14"/>
      <c r="E233" s="14"/>
      <c r="F233" s="14"/>
      <c r="G233" s="15">
        <f t="shared" si="3"/>
        <v>0</v>
      </c>
    </row>
    <row r="234" spans="1:7" ht="14.25" customHeight="1">
      <c r="A234" s="13"/>
      <c r="B234" s="14"/>
      <c r="C234" s="14"/>
      <c r="D234" s="14"/>
      <c r="E234" s="14"/>
      <c r="F234" s="14"/>
      <c r="G234" s="15">
        <f t="shared" si="3"/>
        <v>0</v>
      </c>
    </row>
    <row r="235" spans="1:7" ht="14.25" customHeight="1">
      <c r="A235" s="13"/>
      <c r="B235" s="14"/>
      <c r="C235" s="14"/>
      <c r="D235" s="14"/>
      <c r="E235" s="14"/>
      <c r="F235" s="14"/>
      <c r="G235" s="15">
        <f t="shared" si="3"/>
        <v>0</v>
      </c>
    </row>
    <row r="236" spans="1:7" ht="14.25" customHeight="1">
      <c r="A236" s="13"/>
      <c r="B236" s="14"/>
      <c r="C236" s="14"/>
      <c r="D236" s="14"/>
      <c r="E236" s="14"/>
      <c r="F236" s="14"/>
      <c r="G236" s="15">
        <f t="shared" si="3"/>
        <v>0</v>
      </c>
    </row>
    <row r="237" spans="1:7" ht="14.25" customHeight="1">
      <c r="A237" s="13"/>
      <c r="B237" s="14"/>
      <c r="C237" s="14"/>
      <c r="D237" s="14"/>
      <c r="E237" s="14"/>
      <c r="F237" s="14"/>
      <c r="G237" s="15">
        <f t="shared" si="3"/>
        <v>0</v>
      </c>
    </row>
    <row r="238" spans="1:7" ht="14.25" customHeight="1">
      <c r="A238" s="13"/>
      <c r="B238" s="14"/>
      <c r="C238" s="14"/>
      <c r="D238" s="14"/>
      <c r="E238" s="14"/>
      <c r="F238" s="14"/>
      <c r="G238" s="15">
        <f t="shared" si="3"/>
        <v>0</v>
      </c>
    </row>
    <row r="239" spans="1:7" ht="14.25" customHeight="1">
      <c r="A239" s="13"/>
      <c r="B239" s="14"/>
      <c r="C239" s="14"/>
      <c r="D239" s="14"/>
      <c r="E239" s="14"/>
      <c r="F239" s="14"/>
      <c r="G239" s="15">
        <f t="shared" si="3"/>
        <v>0</v>
      </c>
    </row>
    <row r="240" spans="1:7" ht="14.25" customHeight="1">
      <c r="A240" s="13"/>
      <c r="B240" s="14"/>
      <c r="C240" s="14"/>
      <c r="D240" s="14"/>
      <c r="E240" s="14"/>
      <c r="F240" s="14"/>
      <c r="G240" s="15">
        <f t="shared" si="3"/>
        <v>0</v>
      </c>
    </row>
    <row r="241" spans="1:7" ht="14.25" customHeight="1">
      <c r="A241" s="13"/>
      <c r="B241" s="14"/>
      <c r="C241" s="14"/>
      <c r="D241" s="14"/>
      <c r="E241" s="14"/>
      <c r="F241" s="14"/>
      <c r="G241" s="15">
        <f t="shared" si="3"/>
        <v>0</v>
      </c>
    </row>
    <row r="242" spans="1:7" ht="14.25" customHeight="1">
      <c r="A242" s="13"/>
      <c r="B242" s="14"/>
      <c r="C242" s="14"/>
      <c r="D242" s="14"/>
      <c r="E242" s="14"/>
      <c r="F242" s="14"/>
      <c r="G242" s="15">
        <f t="shared" si="3"/>
        <v>0</v>
      </c>
    </row>
    <row r="243" spans="1:7" ht="14.25" customHeight="1">
      <c r="A243" s="13"/>
      <c r="B243" s="14"/>
      <c r="C243" s="14"/>
      <c r="D243" s="14"/>
      <c r="E243" s="14"/>
      <c r="F243" s="14"/>
      <c r="G243" s="15">
        <f t="shared" si="3"/>
        <v>0</v>
      </c>
    </row>
    <row r="244" spans="1:7" ht="14.25" customHeight="1">
      <c r="A244" s="13"/>
      <c r="B244" s="14"/>
      <c r="C244" s="14"/>
      <c r="D244" s="14"/>
      <c r="E244" s="14"/>
      <c r="F244" s="14"/>
      <c r="G244" s="15">
        <f t="shared" si="3"/>
        <v>0</v>
      </c>
    </row>
    <row r="245" spans="1:7" ht="14.25" customHeight="1">
      <c r="A245" s="13"/>
      <c r="B245" s="14"/>
      <c r="C245" s="14"/>
      <c r="D245" s="14"/>
      <c r="E245" s="14"/>
      <c r="F245" s="14"/>
      <c r="G245" s="15">
        <f t="shared" si="3"/>
        <v>0</v>
      </c>
    </row>
    <row r="246" spans="1:7" ht="14.25" customHeight="1">
      <c r="A246" s="13"/>
      <c r="B246" s="14"/>
      <c r="C246" s="14"/>
      <c r="D246" s="14"/>
      <c r="E246" s="14"/>
      <c r="F246" s="14"/>
      <c r="G246" s="15">
        <f t="shared" si="3"/>
        <v>0</v>
      </c>
    </row>
    <row r="247" spans="1:7" ht="14.25" customHeight="1">
      <c r="A247" s="13"/>
      <c r="B247" s="14"/>
      <c r="C247" s="14"/>
      <c r="D247" s="14"/>
      <c r="E247" s="14"/>
      <c r="F247" s="14"/>
      <c r="G247" s="15">
        <f t="shared" si="3"/>
        <v>0</v>
      </c>
    </row>
    <row r="248" spans="1:7" ht="14.25" customHeight="1">
      <c r="A248" s="13"/>
      <c r="B248" s="14"/>
      <c r="C248" s="14"/>
      <c r="D248" s="14"/>
      <c r="E248" s="14"/>
      <c r="F248" s="14"/>
      <c r="G248" s="15">
        <f t="shared" si="3"/>
        <v>0</v>
      </c>
    </row>
    <row r="249" spans="1:7" ht="14.25" customHeight="1">
      <c r="A249" s="13"/>
      <c r="B249" s="14"/>
      <c r="C249" s="14"/>
      <c r="D249" s="14"/>
      <c r="E249" s="14"/>
      <c r="F249" s="14"/>
      <c r="G249" s="15">
        <f t="shared" si="3"/>
        <v>0</v>
      </c>
    </row>
    <row r="250" spans="1:7" ht="14.25" customHeight="1">
      <c r="A250" s="13"/>
      <c r="B250" s="14"/>
      <c r="C250" s="14"/>
      <c r="D250" s="14"/>
      <c r="E250" s="14"/>
      <c r="F250" s="14"/>
      <c r="G250" s="15">
        <f t="shared" si="3"/>
        <v>0</v>
      </c>
    </row>
    <row r="251" spans="1:7" ht="14.25" customHeight="1">
      <c r="A251" s="13"/>
      <c r="B251" s="14"/>
      <c r="C251" s="14"/>
      <c r="D251" s="14"/>
      <c r="E251" s="14"/>
      <c r="F251" s="14"/>
      <c r="G251" s="15">
        <f t="shared" si="3"/>
        <v>0</v>
      </c>
    </row>
    <row r="252" spans="1:7" ht="14.25" customHeight="1">
      <c r="A252" s="13"/>
      <c r="B252" s="14"/>
      <c r="C252" s="14"/>
      <c r="D252" s="14"/>
      <c r="E252" s="14"/>
      <c r="F252" s="14"/>
      <c r="G252" s="15">
        <f t="shared" si="3"/>
        <v>0</v>
      </c>
    </row>
    <row r="253" spans="1:7" ht="14.25" customHeight="1">
      <c r="A253" s="13"/>
      <c r="B253" s="14"/>
      <c r="C253" s="14"/>
      <c r="D253" s="14"/>
      <c r="E253" s="14"/>
      <c r="F253" s="14"/>
      <c r="G253" s="15">
        <f t="shared" si="3"/>
        <v>0</v>
      </c>
    </row>
    <row r="254" spans="1:7" ht="14.25" customHeight="1">
      <c r="A254" s="13"/>
      <c r="B254" s="14"/>
      <c r="C254" s="14"/>
      <c r="D254" s="14"/>
      <c r="E254" s="14"/>
      <c r="F254" s="14"/>
      <c r="G254" s="15">
        <f t="shared" si="3"/>
        <v>0</v>
      </c>
    </row>
    <row r="255" spans="1:7" ht="14.25" customHeight="1">
      <c r="A255" s="13"/>
      <c r="B255" s="14"/>
      <c r="C255" s="14"/>
      <c r="D255" s="14"/>
      <c r="E255" s="14"/>
      <c r="F255" s="14"/>
      <c r="G255" s="15">
        <f t="shared" si="3"/>
        <v>0</v>
      </c>
    </row>
    <row r="256" spans="1:7" ht="14.25" customHeight="1">
      <c r="A256" s="13"/>
      <c r="B256" s="14"/>
      <c r="C256" s="14"/>
      <c r="D256" s="14"/>
      <c r="E256" s="14"/>
      <c r="F256" s="14"/>
      <c r="G256" s="15">
        <f t="shared" si="3"/>
        <v>0</v>
      </c>
    </row>
    <row r="257" spans="1:7" ht="14.25" customHeight="1">
      <c r="A257" s="13"/>
      <c r="B257" s="14"/>
      <c r="C257" s="14"/>
      <c r="D257" s="14"/>
      <c r="E257" s="14"/>
      <c r="F257" s="14"/>
      <c r="G257" s="15">
        <f t="shared" si="3"/>
        <v>0</v>
      </c>
    </row>
    <row r="258" spans="1:7" ht="14.25" customHeight="1">
      <c r="A258" s="13"/>
      <c r="B258" s="14"/>
      <c r="C258" s="14"/>
      <c r="D258" s="14"/>
      <c r="E258" s="14"/>
      <c r="F258" s="14"/>
      <c r="G258" s="15">
        <f t="shared" si="3"/>
        <v>0</v>
      </c>
    </row>
    <row r="259" spans="1:7" ht="14.25" customHeight="1">
      <c r="A259" s="13"/>
      <c r="B259" s="14"/>
      <c r="C259" s="14"/>
      <c r="D259" s="14"/>
      <c r="E259" s="14"/>
      <c r="F259" s="14"/>
      <c r="G259" s="15">
        <f t="shared" ref="G259:G322" si="4">E259+F259</f>
        <v>0</v>
      </c>
    </row>
    <row r="260" spans="1:7" ht="14.25" customHeight="1">
      <c r="A260" s="13"/>
      <c r="B260" s="14"/>
      <c r="C260" s="14"/>
      <c r="D260" s="14"/>
      <c r="E260" s="14"/>
      <c r="F260" s="14"/>
      <c r="G260" s="15">
        <f t="shared" si="4"/>
        <v>0</v>
      </c>
    </row>
    <row r="261" spans="1:7" ht="14.25" customHeight="1">
      <c r="A261" s="13"/>
      <c r="B261" s="14"/>
      <c r="C261" s="14"/>
      <c r="D261" s="14"/>
      <c r="E261" s="14"/>
      <c r="F261" s="14"/>
      <c r="G261" s="15">
        <f t="shared" si="4"/>
        <v>0</v>
      </c>
    </row>
    <row r="262" spans="1:7" ht="14.25" customHeight="1">
      <c r="A262" s="13"/>
      <c r="B262" s="14"/>
      <c r="C262" s="14"/>
      <c r="D262" s="14"/>
      <c r="E262" s="14"/>
      <c r="F262" s="14"/>
      <c r="G262" s="15">
        <f t="shared" si="4"/>
        <v>0</v>
      </c>
    </row>
    <row r="263" spans="1:7" ht="14.25" customHeight="1">
      <c r="A263" s="13"/>
      <c r="B263" s="14"/>
      <c r="C263" s="14"/>
      <c r="D263" s="14"/>
      <c r="E263" s="14"/>
      <c r="F263" s="14"/>
      <c r="G263" s="15">
        <f t="shared" si="4"/>
        <v>0</v>
      </c>
    </row>
    <row r="264" spans="1:7" ht="14.25" customHeight="1">
      <c r="A264" s="13"/>
      <c r="B264" s="14"/>
      <c r="C264" s="14"/>
      <c r="D264" s="14"/>
      <c r="E264" s="14"/>
      <c r="F264" s="14"/>
      <c r="G264" s="15">
        <f t="shared" si="4"/>
        <v>0</v>
      </c>
    </row>
    <row r="265" spans="1:7" ht="14.25" customHeight="1">
      <c r="A265" s="13"/>
      <c r="B265" s="14"/>
      <c r="C265" s="14"/>
      <c r="D265" s="14"/>
      <c r="E265" s="14"/>
      <c r="F265" s="14"/>
      <c r="G265" s="15">
        <f t="shared" si="4"/>
        <v>0</v>
      </c>
    </row>
    <row r="266" spans="1:7" ht="14.25" customHeight="1">
      <c r="A266" s="13"/>
      <c r="B266" s="14"/>
      <c r="C266" s="14"/>
      <c r="D266" s="14"/>
      <c r="E266" s="14"/>
      <c r="F266" s="14"/>
      <c r="G266" s="15">
        <f t="shared" si="4"/>
        <v>0</v>
      </c>
    </row>
    <row r="267" spans="1:7" ht="14.25" customHeight="1">
      <c r="A267" s="13"/>
      <c r="B267" s="14"/>
      <c r="C267" s="14"/>
      <c r="D267" s="14"/>
      <c r="E267" s="14"/>
      <c r="F267" s="14"/>
      <c r="G267" s="15">
        <f t="shared" si="4"/>
        <v>0</v>
      </c>
    </row>
    <row r="268" spans="1:7" ht="14.25" customHeight="1">
      <c r="A268" s="13"/>
      <c r="B268" s="14"/>
      <c r="C268" s="14"/>
      <c r="D268" s="14"/>
      <c r="E268" s="14"/>
      <c r="F268" s="14"/>
      <c r="G268" s="15">
        <f t="shared" si="4"/>
        <v>0</v>
      </c>
    </row>
    <row r="269" spans="1:7" ht="14.25" customHeight="1">
      <c r="A269" s="13"/>
      <c r="B269" s="14"/>
      <c r="C269" s="14"/>
      <c r="D269" s="14"/>
      <c r="E269" s="14"/>
      <c r="F269" s="14"/>
      <c r="G269" s="15">
        <f t="shared" si="4"/>
        <v>0</v>
      </c>
    </row>
    <row r="270" spans="1:7" ht="14.25" customHeight="1">
      <c r="A270" s="13"/>
      <c r="B270" s="14"/>
      <c r="C270" s="14"/>
      <c r="D270" s="14"/>
      <c r="E270" s="14"/>
      <c r="F270" s="14"/>
      <c r="G270" s="15">
        <f t="shared" si="4"/>
        <v>0</v>
      </c>
    </row>
    <row r="271" spans="1:7" ht="14.25" customHeight="1">
      <c r="A271" s="13"/>
      <c r="B271" s="14"/>
      <c r="C271" s="14"/>
      <c r="D271" s="14"/>
      <c r="E271" s="14"/>
      <c r="F271" s="14"/>
      <c r="G271" s="15">
        <f t="shared" si="4"/>
        <v>0</v>
      </c>
    </row>
    <row r="272" spans="1:7" ht="14.25" customHeight="1">
      <c r="A272" s="13"/>
      <c r="B272" s="14"/>
      <c r="C272" s="14"/>
      <c r="D272" s="14"/>
      <c r="E272" s="14"/>
      <c r="F272" s="14"/>
      <c r="G272" s="15">
        <f t="shared" si="4"/>
        <v>0</v>
      </c>
    </row>
    <row r="273" spans="1:7" ht="14.25" customHeight="1">
      <c r="A273" s="13"/>
      <c r="B273" s="14"/>
      <c r="C273" s="14"/>
      <c r="D273" s="14"/>
      <c r="E273" s="14"/>
      <c r="F273" s="14"/>
      <c r="G273" s="15">
        <f t="shared" si="4"/>
        <v>0</v>
      </c>
    </row>
    <row r="274" spans="1:7" ht="14.25" customHeight="1">
      <c r="A274" s="13"/>
      <c r="B274" s="14"/>
      <c r="C274" s="14"/>
      <c r="D274" s="14"/>
      <c r="E274" s="14"/>
      <c r="F274" s="14"/>
      <c r="G274" s="15">
        <f t="shared" si="4"/>
        <v>0</v>
      </c>
    </row>
    <row r="275" spans="1:7" ht="14.25" customHeight="1">
      <c r="A275" s="13"/>
      <c r="B275" s="14"/>
      <c r="C275" s="14"/>
      <c r="D275" s="14"/>
      <c r="E275" s="14"/>
      <c r="F275" s="14"/>
      <c r="G275" s="15">
        <f t="shared" si="4"/>
        <v>0</v>
      </c>
    </row>
    <row r="276" spans="1:7" ht="14.25" customHeight="1">
      <c r="A276" s="13"/>
      <c r="B276" s="14"/>
      <c r="C276" s="14"/>
      <c r="D276" s="14"/>
      <c r="E276" s="14"/>
      <c r="F276" s="14"/>
      <c r="G276" s="15">
        <f t="shared" si="4"/>
        <v>0</v>
      </c>
    </row>
    <row r="277" spans="1:7" ht="14.25" customHeight="1">
      <c r="A277" s="13"/>
      <c r="B277" s="14"/>
      <c r="C277" s="14"/>
      <c r="D277" s="14"/>
      <c r="E277" s="14"/>
      <c r="F277" s="14"/>
      <c r="G277" s="15">
        <f t="shared" si="4"/>
        <v>0</v>
      </c>
    </row>
    <row r="278" spans="1:7" ht="14.25" customHeight="1">
      <c r="A278" s="13"/>
      <c r="B278" s="14"/>
      <c r="C278" s="14"/>
      <c r="D278" s="14"/>
      <c r="E278" s="14"/>
      <c r="F278" s="14"/>
      <c r="G278" s="15">
        <f t="shared" si="4"/>
        <v>0</v>
      </c>
    </row>
    <row r="279" spans="1:7" ht="14.25" customHeight="1">
      <c r="A279" s="13"/>
      <c r="B279" s="14"/>
      <c r="C279" s="14"/>
      <c r="D279" s="14"/>
      <c r="E279" s="14"/>
      <c r="F279" s="14"/>
      <c r="G279" s="15">
        <f t="shared" si="4"/>
        <v>0</v>
      </c>
    </row>
    <row r="280" spans="1:7" ht="14.25" customHeight="1">
      <c r="A280" s="13"/>
      <c r="B280" s="14"/>
      <c r="C280" s="14"/>
      <c r="D280" s="14"/>
      <c r="E280" s="14"/>
      <c r="F280" s="14"/>
      <c r="G280" s="15">
        <f t="shared" si="4"/>
        <v>0</v>
      </c>
    </row>
    <row r="281" spans="1:7" ht="14.25" customHeight="1">
      <c r="A281" s="13"/>
      <c r="B281" s="14"/>
      <c r="C281" s="14"/>
      <c r="D281" s="14"/>
      <c r="E281" s="14"/>
      <c r="F281" s="14"/>
      <c r="G281" s="15">
        <f t="shared" si="4"/>
        <v>0</v>
      </c>
    </row>
    <row r="282" spans="1:7" ht="14.25" customHeight="1">
      <c r="A282" s="13"/>
      <c r="B282" s="14"/>
      <c r="C282" s="14"/>
      <c r="D282" s="14"/>
      <c r="E282" s="14"/>
      <c r="F282" s="14"/>
      <c r="G282" s="15">
        <f t="shared" si="4"/>
        <v>0</v>
      </c>
    </row>
    <row r="283" spans="1:7" ht="14.25" customHeight="1">
      <c r="A283" s="13"/>
      <c r="B283" s="14"/>
      <c r="C283" s="14"/>
      <c r="D283" s="14"/>
      <c r="E283" s="14"/>
      <c r="F283" s="14"/>
      <c r="G283" s="15">
        <f t="shared" si="4"/>
        <v>0</v>
      </c>
    </row>
    <row r="284" spans="1:7" ht="14.25" customHeight="1">
      <c r="A284" s="13"/>
      <c r="B284" s="14"/>
      <c r="C284" s="14"/>
      <c r="D284" s="14"/>
      <c r="E284" s="14"/>
      <c r="F284" s="14"/>
      <c r="G284" s="15">
        <f t="shared" si="4"/>
        <v>0</v>
      </c>
    </row>
    <row r="285" spans="1:7" ht="14.25" customHeight="1">
      <c r="A285" s="13"/>
      <c r="B285" s="14"/>
      <c r="C285" s="14"/>
      <c r="D285" s="14"/>
      <c r="E285" s="14"/>
      <c r="F285" s="14"/>
      <c r="G285" s="15">
        <f t="shared" si="4"/>
        <v>0</v>
      </c>
    </row>
    <row r="286" spans="1:7" ht="14.25" customHeight="1">
      <c r="A286" s="13"/>
      <c r="B286" s="14"/>
      <c r="C286" s="14"/>
      <c r="D286" s="14"/>
      <c r="E286" s="14"/>
      <c r="F286" s="14"/>
      <c r="G286" s="15">
        <f t="shared" si="4"/>
        <v>0</v>
      </c>
    </row>
    <row r="287" spans="1:7" ht="14.25" customHeight="1">
      <c r="A287" s="13"/>
      <c r="B287" s="14"/>
      <c r="C287" s="14"/>
      <c r="D287" s="14"/>
      <c r="E287" s="14"/>
      <c r="F287" s="14"/>
      <c r="G287" s="15">
        <f t="shared" si="4"/>
        <v>0</v>
      </c>
    </row>
    <row r="288" spans="1:7" ht="14.25" customHeight="1">
      <c r="A288" s="13"/>
      <c r="B288" s="14"/>
      <c r="C288" s="14"/>
      <c r="D288" s="14"/>
      <c r="E288" s="14"/>
      <c r="F288" s="14"/>
      <c r="G288" s="15">
        <f t="shared" si="4"/>
        <v>0</v>
      </c>
    </row>
    <row r="289" spans="1:7" ht="14.25" customHeight="1">
      <c r="A289" s="13"/>
      <c r="B289" s="14"/>
      <c r="C289" s="14"/>
      <c r="D289" s="14"/>
      <c r="E289" s="14"/>
      <c r="F289" s="14"/>
      <c r="G289" s="15">
        <f t="shared" si="4"/>
        <v>0</v>
      </c>
    </row>
    <row r="290" spans="1:7" ht="14.25" customHeight="1">
      <c r="A290" s="13"/>
      <c r="B290" s="14"/>
      <c r="C290" s="14"/>
      <c r="D290" s="14"/>
      <c r="E290" s="14"/>
      <c r="F290" s="14"/>
      <c r="G290" s="15">
        <f t="shared" si="4"/>
        <v>0</v>
      </c>
    </row>
    <row r="291" spans="1:7" ht="14.25" customHeight="1">
      <c r="A291" s="13"/>
      <c r="B291" s="14"/>
      <c r="C291" s="14"/>
      <c r="D291" s="14"/>
      <c r="E291" s="14"/>
      <c r="F291" s="14"/>
      <c r="G291" s="15">
        <f t="shared" si="4"/>
        <v>0</v>
      </c>
    </row>
    <row r="292" spans="1:7" ht="14.25" customHeight="1">
      <c r="A292" s="13"/>
      <c r="B292" s="14"/>
      <c r="C292" s="14"/>
      <c r="D292" s="14"/>
      <c r="E292" s="14"/>
      <c r="F292" s="14"/>
      <c r="G292" s="15">
        <f t="shared" si="4"/>
        <v>0</v>
      </c>
    </row>
    <row r="293" spans="1:7" ht="14.25" customHeight="1">
      <c r="A293" s="13"/>
      <c r="B293" s="14"/>
      <c r="C293" s="14"/>
      <c r="D293" s="14"/>
      <c r="E293" s="14"/>
      <c r="F293" s="14"/>
      <c r="G293" s="15">
        <f t="shared" si="4"/>
        <v>0</v>
      </c>
    </row>
    <row r="294" spans="1:7" ht="14.25" customHeight="1">
      <c r="A294" s="13"/>
      <c r="B294" s="14"/>
      <c r="C294" s="14"/>
      <c r="D294" s="14"/>
      <c r="E294" s="14"/>
      <c r="F294" s="14"/>
      <c r="G294" s="15">
        <f t="shared" si="4"/>
        <v>0</v>
      </c>
    </row>
    <row r="295" spans="1:7" ht="14.25" customHeight="1">
      <c r="A295" s="13"/>
      <c r="B295" s="14"/>
      <c r="C295" s="14"/>
      <c r="D295" s="14"/>
      <c r="E295" s="14"/>
      <c r="F295" s="14"/>
      <c r="G295" s="15">
        <f t="shared" si="4"/>
        <v>0</v>
      </c>
    </row>
    <row r="296" spans="1:7" ht="14.25" customHeight="1">
      <c r="A296" s="13"/>
      <c r="B296" s="14"/>
      <c r="C296" s="14"/>
      <c r="D296" s="14"/>
      <c r="E296" s="14"/>
      <c r="F296" s="14"/>
      <c r="G296" s="15">
        <f t="shared" si="4"/>
        <v>0</v>
      </c>
    </row>
    <row r="297" spans="1:7" ht="14.25" customHeight="1">
      <c r="A297" s="13"/>
      <c r="B297" s="14"/>
      <c r="C297" s="14"/>
      <c r="D297" s="14"/>
      <c r="E297" s="14"/>
      <c r="F297" s="14"/>
      <c r="G297" s="15">
        <f t="shared" si="4"/>
        <v>0</v>
      </c>
    </row>
    <row r="298" spans="1:7" ht="14.25" customHeight="1">
      <c r="A298" s="13"/>
      <c r="B298" s="14"/>
      <c r="C298" s="14"/>
      <c r="D298" s="14"/>
      <c r="E298" s="14"/>
      <c r="F298" s="14"/>
      <c r="G298" s="15">
        <f t="shared" si="4"/>
        <v>0</v>
      </c>
    </row>
    <row r="299" spans="1:7" ht="14.25" customHeight="1">
      <c r="A299" s="13"/>
      <c r="B299" s="14"/>
      <c r="C299" s="14"/>
      <c r="D299" s="14"/>
      <c r="E299" s="14"/>
      <c r="F299" s="14"/>
      <c r="G299" s="15">
        <f t="shared" si="4"/>
        <v>0</v>
      </c>
    </row>
    <row r="300" spans="1:7" ht="14.25" customHeight="1">
      <c r="A300" s="13"/>
      <c r="B300" s="14"/>
      <c r="C300" s="14"/>
      <c r="D300" s="14"/>
      <c r="E300" s="14"/>
      <c r="F300" s="14"/>
      <c r="G300" s="15">
        <f t="shared" si="4"/>
        <v>0</v>
      </c>
    </row>
    <row r="301" spans="1:7" ht="14.25" customHeight="1">
      <c r="A301" s="13"/>
      <c r="B301" s="14"/>
      <c r="C301" s="14"/>
      <c r="D301" s="14"/>
      <c r="E301" s="14"/>
      <c r="F301" s="14"/>
      <c r="G301" s="15">
        <f t="shared" si="4"/>
        <v>0</v>
      </c>
    </row>
    <row r="302" spans="1:7" ht="14.25" customHeight="1">
      <c r="A302" s="13"/>
      <c r="B302" s="14"/>
      <c r="C302" s="14"/>
      <c r="D302" s="14"/>
      <c r="E302" s="14"/>
      <c r="F302" s="14"/>
      <c r="G302" s="15">
        <f t="shared" si="4"/>
        <v>0</v>
      </c>
    </row>
    <row r="303" spans="1:7" ht="14.25" customHeight="1">
      <c r="A303" s="13"/>
      <c r="B303" s="14"/>
      <c r="C303" s="14"/>
      <c r="D303" s="14"/>
      <c r="E303" s="14"/>
      <c r="F303" s="14"/>
      <c r="G303" s="15">
        <f t="shared" si="4"/>
        <v>0</v>
      </c>
    </row>
    <row r="304" spans="1:7" ht="14.25" customHeight="1">
      <c r="A304" s="13"/>
      <c r="B304" s="14"/>
      <c r="C304" s="14"/>
      <c r="D304" s="14"/>
      <c r="E304" s="14"/>
      <c r="F304" s="14"/>
      <c r="G304" s="15">
        <f t="shared" si="4"/>
        <v>0</v>
      </c>
    </row>
    <row r="305" spans="1:7" ht="14.25" customHeight="1">
      <c r="A305" s="13"/>
      <c r="B305" s="14"/>
      <c r="C305" s="14"/>
      <c r="D305" s="14"/>
      <c r="E305" s="14"/>
      <c r="F305" s="14"/>
      <c r="G305" s="15">
        <f t="shared" si="4"/>
        <v>0</v>
      </c>
    </row>
    <row r="306" spans="1:7" ht="14.25" customHeight="1">
      <c r="A306" s="13"/>
      <c r="B306" s="14"/>
      <c r="C306" s="14"/>
      <c r="D306" s="14"/>
      <c r="E306" s="14"/>
      <c r="F306" s="14"/>
      <c r="G306" s="15">
        <f t="shared" si="4"/>
        <v>0</v>
      </c>
    </row>
    <row r="307" spans="1:7" ht="14.25" customHeight="1">
      <c r="A307" s="13"/>
      <c r="B307" s="14"/>
      <c r="C307" s="14"/>
      <c r="D307" s="14"/>
      <c r="E307" s="14"/>
      <c r="F307" s="14"/>
      <c r="G307" s="15">
        <f t="shared" si="4"/>
        <v>0</v>
      </c>
    </row>
    <row r="308" spans="1:7" ht="14.25" customHeight="1">
      <c r="A308" s="13"/>
      <c r="B308" s="14"/>
      <c r="C308" s="14"/>
      <c r="D308" s="14"/>
      <c r="E308" s="14"/>
      <c r="F308" s="14"/>
      <c r="G308" s="15">
        <f t="shared" si="4"/>
        <v>0</v>
      </c>
    </row>
    <row r="309" spans="1:7" ht="14.25" customHeight="1">
      <c r="A309" s="13"/>
      <c r="B309" s="14"/>
      <c r="C309" s="14"/>
      <c r="D309" s="14"/>
      <c r="E309" s="14"/>
      <c r="F309" s="14"/>
      <c r="G309" s="15">
        <f t="shared" si="4"/>
        <v>0</v>
      </c>
    </row>
    <row r="310" spans="1:7" ht="14.25" customHeight="1">
      <c r="A310" s="13"/>
      <c r="B310" s="14"/>
      <c r="C310" s="14"/>
      <c r="D310" s="14"/>
      <c r="E310" s="14"/>
      <c r="F310" s="14"/>
      <c r="G310" s="15">
        <f t="shared" si="4"/>
        <v>0</v>
      </c>
    </row>
    <row r="311" spans="1:7" ht="14.25" customHeight="1">
      <c r="A311" s="13"/>
      <c r="B311" s="14"/>
      <c r="C311" s="14"/>
      <c r="D311" s="14"/>
      <c r="E311" s="14"/>
      <c r="F311" s="14"/>
      <c r="G311" s="15">
        <f t="shared" si="4"/>
        <v>0</v>
      </c>
    </row>
    <row r="312" spans="1:7" ht="14.25" customHeight="1">
      <c r="A312" s="13"/>
      <c r="B312" s="14"/>
      <c r="C312" s="14"/>
      <c r="D312" s="14"/>
      <c r="E312" s="14"/>
      <c r="F312" s="14"/>
      <c r="G312" s="15">
        <f t="shared" si="4"/>
        <v>0</v>
      </c>
    </row>
    <row r="313" spans="1:7" ht="14.25" customHeight="1">
      <c r="A313" s="13"/>
      <c r="B313" s="14"/>
      <c r="C313" s="14"/>
      <c r="D313" s="14"/>
      <c r="E313" s="14"/>
      <c r="F313" s="14"/>
      <c r="G313" s="15">
        <f t="shared" si="4"/>
        <v>0</v>
      </c>
    </row>
    <row r="314" spans="1:7" ht="14.25" customHeight="1">
      <c r="A314" s="13"/>
      <c r="B314" s="14"/>
      <c r="C314" s="14"/>
      <c r="D314" s="14"/>
      <c r="E314" s="14"/>
      <c r="F314" s="14"/>
      <c r="G314" s="15">
        <f t="shared" si="4"/>
        <v>0</v>
      </c>
    </row>
    <row r="315" spans="1:7" ht="14.25" customHeight="1">
      <c r="A315" s="13"/>
      <c r="B315" s="14"/>
      <c r="C315" s="14"/>
      <c r="D315" s="14"/>
      <c r="E315" s="14"/>
      <c r="F315" s="14"/>
      <c r="G315" s="15">
        <f t="shared" si="4"/>
        <v>0</v>
      </c>
    </row>
    <row r="316" spans="1:7" ht="14.25" customHeight="1">
      <c r="A316" s="13"/>
      <c r="B316" s="14"/>
      <c r="C316" s="14"/>
      <c r="D316" s="14"/>
      <c r="E316" s="14"/>
      <c r="F316" s="14"/>
      <c r="G316" s="15">
        <f t="shared" si="4"/>
        <v>0</v>
      </c>
    </row>
    <row r="317" spans="1:7" ht="14.25" customHeight="1">
      <c r="A317" s="13"/>
      <c r="B317" s="14"/>
      <c r="C317" s="14"/>
      <c r="D317" s="14"/>
      <c r="E317" s="14"/>
      <c r="F317" s="14"/>
      <c r="G317" s="15">
        <f t="shared" si="4"/>
        <v>0</v>
      </c>
    </row>
    <row r="318" spans="1:7" ht="14.25" customHeight="1">
      <c r="A318" s="13"/>
      <c r="B318" s="14"/>
      <c r="C318" s="14"/>
      <c r="D318" s="14"/>
      <c r="E318" s="14"/>
      <c r="F318" s="14"/>
      <c r="G318" s="15">
        <f t="shared" si="4"/>
        <v>0</v>
      </c>
    </row>
    <row r="319" spans="1:7" ht="14.25" customHeight="1">
      <c r="A319" s="13"/>
      <c r="B319" s="14"/>
      <c r="C319" s="14"/>
      <c r="D319" s="14"/>
      <c r="E319" s="14"/>
      <c r="F319" s="14"/>
      <c r="G319" s="15">
        <f t="shared" si="4"/>
        <v>0</v>
      </c>
    </row>
    <row r="320" spans="1:7" ht="14.25" customHeight="1">
      <c r="A320" s="13"/>
      <c r="B320" s="14"/>
      <c r="C320" s="14"/>
      <c r="D320" s="14"/>
      <c r="E320" s="14"/>
      <c r="F320" s="14"/>
      <c r="G320" s="15">
        <f t="shared" si="4"/>
        <v>0</v>
      </c>
    </row>
    <row r="321" spans="1:7" ht="14.25" customHeight="1">
      <c r="A321" s="13"/>
      <c r="B321" s="14"/>
      <c r="C321" s="14"/>
      <c r="D321" s="14"/>
      <c r="E321" s="14"/>
      <c r="F321" s="14"/>
      <c r="G321" s="15">
        <f t="shared" si="4"/>
        <v>0</v>
      </c>
    </row>
    <row r="322" spans="1:7" ht="14.25" customHeight="1">
      <c r="A322" s="13"/>
      <c r="B322" s="14"/>
      <c r="C322" s="14"/>
      <c r="D322" s="14"/>
      <c r="E322" s="14"/>
      <c r="F322" s="14"/>
      <c r="G322" s="15">
        <f t="shared" si="4"/>
        <v>0</v>
      </c>
    </row>
    <row r="323" spans="1:7" ht="14.25" customHeight="1">
      <c r="A323" s="13"/>
      <c r="B323" s="14"/>
      <c r="C323" s="14"/>
      <c r="D323" s="14"/>
      <c r="E323" s="14"/>
      <c r="F323" s="14"/>
      <c r="G323" s="15">
        <f t="shared" ref="G323:G369" si="5">E323+F323</f>
        <v>0</v>
      </c>
    </row>
    <row r="324" spans="1:7" ht="14.25" customHeight="1">
      <c r="A324" s="13"/>
      <c r="B324" s="14"/>
      <c r="C324" s="14"/>
      <c r="D324" s="14"/>
      <c r="E324" s="14"/>
      <c r="F324" s="14"/>
      <c r="G324" s="15">
        <f t="shared" si="5"/>
        <v>0</v>
      </c>
    </row>
    <row r="325" spans="1:7" ht="14.25" customHeight="1">
      <c r="A325" s="13"/>
      <c r="B325" s="14"/>
      <c r="C325" s="14"/>
      <c r="D325" s="14"/>
      <c r="E325" s="14"/>
      <c r="F325" s="14"/>
      <c r="G325" s="15">
        <f t="shared" si="5"/>
        <v>0</v>
      </c>
    </row>
    <row r="326" spans="1:7" ht="14.25" customHeight="1">
      <c r="A326" s="13"/>
      <c r="B326" s="14"/>
      <c r="C326" s="14"/>
      <c r="D326" s="14"/>
      <c r="E326" s="14"/>
      <c r="F326" s="14"/>
      <c r="G326" s="15">
        <f t="shared" si="5"/>
        <v>0</v>
      </c>
    </row>
    <row r="327" spans="1:7" ht="14.25" customHeight="1">
      <c r="A327" s="13"/>
      <c r="B327" s="14"/>
      <c r="C327" s="14"/>
      <c r="D327" s="14"/>
      <c r="E327" s="14"/>
      <c r="F327" s="14"/>
      <c r="G327" s="15">
        <f t="shared" si="5"/>
        <v>0</v>
      </c>
    </row>
    <row r="328" spans="1:7" ht="14.25" customHeight="1">
      <c r="A328" s="13"/>
      <c r="B328" s="14"/>
      <c r="C328" s="14"/>
      <c r="D328" s="14"/>
      <c r="E328" s="14"/>
      <c r="F328" s="14"/>
      <c r="G328" s="15">
        <f t="shared" si="5"/>
        <v>0</v>
      </c>
    </row>
    <row r="329" spans="1:7" ht="14.25" customHeight="1">
      <c r="A329" s="13"/>
      <c r="B329" s="14"/>
      <c r="C329" s="14"/>
      <c r="D329" s="14"/>
      <c r="E329" s="14"/>
      <c r="F329" s="14"/>
      <c r="G329" s="15">
        <f t="shared" si="5"/>
        <v>0</v>
      </c>
    </row>
    <row r="330" spans="1:7" ht="14.25" customHeight="1">
      <c r="A330" s="13"/>
      <c r="B330" s="14"/>
      <c r="C330" s="14"/>
      <c r="D330" s="14"/>
      <c r="E330" s="14"/>
      <c r="F330" s="14"/>
      <c r="G330" s="15">
        <f t="shared" si="5"/>
        <v>0</v>
      </c>
    </row>
    <row r="331" spans="1:7" ht="14.25" customHeight="1">
      <c r="A331" s="13"/>
      <c r="B331" s="14"/>
      <c r="C331" s="14"/>
      <c r="D331" s="14"/>
      <c r="E331" s="14"/>
      <c r="F331" s="14"/>
      <c r="G331" s="15">
        <f t="shared" si="5"/>
        <v>0</v>
      </c>
    </row>
    <row r="332" spans="1:7" ht="14.25" customHeight="1">
      <c r="A332" s="13"/>
      <c r="B332" s="14"/>
      <c r="C332" s="14"/>
      <c r="D332" s="14"/>
      <c r="E332" s="14"/>
      <c r="F332" s="14"/>
      <c r="G332" s="15">
        <f t="shared" si="5"/>
        <v>0</v>
      </c>
    </row>
    <row r="333" spans="1:7" ht="14.25" customHeight="1">
      <c r="A333" s="13"/>
      <c r="B333" s="14"/>
      <c r="C333" s="14"/>
      <c r="D333" s="14"/>
      <c r="E333" s="14"/>
      <c r="F333" s="14"/>
      <c r="G333" s="15">
        <f t="shared" si="5"/>
        <v>0</v>
      </c>
    </row>
    <row r="334" spans="1:7" ht="14.25" customHeight="1">
      <c r="A334" s="13"/>
      <c r="B334" s="14"/>
      <c r="C334" s="14"/>
      <c r="D334" s="14"/>
      <c r="E334" s="14"/>
      <c r="F334" s="14"/>
      <c r="G334" s="15">
        <f t="shared" si="5"/>
        <v>0</v>
      </c>
    </row>
    <row r="335" spans="1:7" ht="14.25" customHeight="1">
      <c r="A335" s="13"/>
      <c r="B335" s="14"/>
      <c r="C335" s="14"/>
      <c r="D335" s="14"/>
      <c r="E335" s="14"/>
      <c r="F335" s="14"/>
      <c r="G335" s="15">
        <f t="shared" si="5"/>
        <v>0</v>
      </c>
    </row>
    <row r="336" spans="1:7" ht="14.25" customHeight="1">
      <c r="A336" s="13"/>
      <c r="B336" s="14"/>
      <c r="C336" s="14"/>
      <c r="D336" s="14"/>
      <c r="E336" s="14"/>
      <c r="F336" s="14"/>
      <c r="G336" s="15">
        <f t="shared" si="5"/>
        <v>0</v>
      </c>
    </row>
    <row r="337" spans="1:7" ht="14.25" customHeight="1">
      <c r="A337" s="13"/>
      <c r="B337" s="14"/>
      <c r="C337" s="14"/>
      <c r="D337" s="14"/>
      <c r="E337" s="14"/>
      <c r="F337" s="14"/>
      <c r="G337" s="15">
        <f t="shared" si="5"/>
        <v>0</v>
      </c>
    </row>
    <row r="338" spans="1:7" ht="14.25" customHeight="1">
      <c r="A338" s="13"/>
      <c r="B338" s="14"/>
      <c r="C338" s="14"/>
      <c r="D338" s="14"/>
      <c r="E338" s="14"/>
      <c r="F338" s="14"/>
      <c r="G338" s="15">
        <f t="shared" si="5"/>
        <v>0</v>
      </c>
    </row>
    <row r="339" spans="1:7" ht="14.25" customHeight="1">
      <c r="A339" s="13"/>
      <c r="B339" s="14"/>
      <c r="C339" s="14"/>
      <c r="D339" s="14"/>
      <c r="E339" s="14"/>
      <c r="F339" s="14"/>
      <c r="G339" s="15">
        <f t="shared" si="5"/>
        <v>0</v>
      </c>
    </row>
    <row r="340" spans="1:7" ht="14.25" customHeight="1">
      <c r="A340" s="13"/>
      <c r="B340" s="14"/>
      <c r="C340" s="14"/>
      <c r="D340" s="14"/>
      <c r="E340" s="14"/>
      <c r="F340" s="14"/>
      <c r="G340" s="15">
        <f t="shared" si="5"/>
        <v>0</v>
      </c>
    </row>
    <row r="341" spans="1:7" ht="14.25" customHeight="1">
      <c r="A341" s="13"/>
      <c r="B341" s="14"/>
      <c r="C341" s="14"/>
      <c r="D341" s="14"/>
      <c r="E341" s="14"/>
      <c r="F341" s="14"/>
      <c r="G341" s="15">
        <f t="shared" si="5"/>
        <v>0</v>
      </c>
    </row>
    <row r="342" spans="1:7" ht="14.25" customHeight="1">
      <c r="A342" s="13"/>
      <c r="B342" s="14"/>
      <c r="C342" s="14"/>
      <c r="D342" s="14"/>
      <c r="E342" s="14"/>
      <c r="F342" s="14"/>
      <c r="G342" s="15">
        <f t="shared" si="5"/>
        <v>0</v>
      </c>
    </row>
    <row r="343" spans="1:7" ht="14.25" customHeight="1">
      <c r="A343" s="13"/>
      <c r="B343" s="14"/>
      <c r="C343" s="14"/>
      <c r="D343" s="14"/>
      <c r="E343" s="14"/>
      <c r="F343" s="14"/>
      <c r="G343" s="15">
        <f t="shared" si="5"/>
        <v>0</v>
      </c>
    </row>
    <row r="344" spans="1:7" ht="14.25" customHeight="1">
      <c r="A344" s="13"/>
      <c r="B344" s="14"/>
      <c r="C344" s="14"/>
      <c r="D344" s="14"/>
      <c r="E344" s="14"/>
      <c r="F344" s="14"/>
      <c r="G344" s="15">
        <f t="shared" si="5"/>
        <v>0</v>
      </c>
    </row>
    <row r="345" spans="1:7" ht="14.25" customHeight="1">
      <c r="A345" s="13"/>
      <c r="B345" s="14"/>
      <c r="C345" s="14"/>
      <c r="D345" s="14"/>
      <c r="E345" s="14"/>
      <c r="F345" s="14"/>
      <c r="G345" s="15">
        <f t="shared" si="5"/>
        <v>0</v>
      </c>
    </row>
    <row r="346" spans="1:7" ht="14.25" customHeight="1">
      <c r="A346" s="13"/>
      <c r="B346" s="14"/>
      <c r="C346" s="14"/>
      <c r="D346" s="14"/>
      <c r="E346" s="14"/>
      <c r="F346" s="14"/>
      <c r="G346" s="15">
        <f t="shared" si="5"/>
        <v>0</v>
      </c>
    </row>
    <row r="347" spans="1:7" ht="14.25" customHeight="1">
      <c r="A347" s="13"/>
      <c r="B347" s="14"/>
      <c r="C347" s="14"/>
      <c r="D347" s="14"/>
      <c r="E347" s="14"/>
      <c r="F347" s="14"/>
      <c r="G347" s="15">
        <f t="shared" si="5"/>
        <v>0</v>
      </c>
    </row>
    <row r="348" spans="1:7" ht="14.25" customHeight="1">
      <c r="A348" s="13"/>
      <c r="B348" s="14"/>
      <c r="C348" s="14"/>
      <c r="D348" s="14"/>
      <c r="E348" s="14"/>
      <c r="F348" s="14"/>
      <c r="G348" s="15">
        <f t="shared" si="5"/>
        <v>0</v>
      </c>
    </row>
    <row r="349" spans="1:7" ht="14.25" customHeight="1">
      <c r="A349" s="13"/>
      <c r="B349" s="14"/>
      <c r="C349" s="14"/>
      <c r="D349" s="14"/>
      <c r="E349" s="14"/>
      <c r="F349" s="14"/>
      <c r="G349" s="15">
        <f t="shared" si="5"/>
        <v>0</v>
      </c>
    </row>
    <row r="350" spans="1:7" ht="14.25" customHeight="1">
      <c r="A350" s="13"/>
      <c r="B350" s="14"/>
      <c r="C350" s="14"/>
      <c r="D350" s="14"/>
      <c r="E350" s="14"/>
      <c r="F350" s="14"/>
      <c r="G350" s="15">
        <f t="shared" si="5"/>
        <v>0</v>
      </c>
    </row>
    <row r="351" spans="1:7" ht="14.25" customHeight="1">
      <c r="A351" s="13"/>
      <c r="B351" s="14"/>
      <c r="C351" s="14"/>
      <c r="D351" s="14"/>
      <c r="E351" s="14"/>
      <c r="F351" s="14"/>
      <c r="G351" s="15">
        <f t="shared" si="5"/>
        <v>0</v>
      </c>
    </row>
    <row r="352" spans="1:7" ht="14.25" customHeight="1">
      <c r="A352" s="13"/>
      <c r="B352" s="14"/>
      <c r="C352" s="14"/>
      <c r="D352" s="14"/>
      <c r="E352" s="14"/>
      <c r="F352" s="14"/>
      <c r="G352" s="15">
        <f t="shared" si="5"/>
        <v>0</v>
      </c>
    </row>
    <row r="353" spans="1:7" ht="14.25" customHeight="1">
      <c r="A353" s="13"/>
      <c r="B353" s="14"/>
      <c r="C353" s="14"/>
      <c r="D353" s="14"/>
      <c r="E353" s="14"/>
      <c r="F353" s="14"/>
      <c r="G353" s="15">
        <f t="shared" si="5"/>
        <v>0</v>
      </c>
    </row>
    <row r="354" spans="1:7" ht="14.25" customHeight="1">
      <c r="A354" s="13"/>
      <c r="B354" s="14"/>
      <c r="C354" s="14"/>
      <c r="D354" s="14"/>
      <c r="E354" s="14"/>
      <c r="F354" s="14"/>
      <c r="G354" s="15">
        <f t="shared" si="5"/>
        <v>0</v>
      </c>
    </row>
    <row r="355" spans="1:7" ht="14.25" customHeight="1">
      <c r="A355" s="13"/>
      <c r="B355" s="14"/>
      <c r="C355" s="14"/>
      <c r="D355" s="14"/>
      <c r="E355" s="14"/>
      <c r="F355" s="14"/>
      <c r="G355" s="15">
        <f t="shared" si="5"/>
        <v>0</v>
      </c>
    </row>
    <row r="356" spans="1:7" ht="14.25" customHeight="1">
      <c r="A356" s="13"/>
      <c r="B356" s="14"/>
      <c r="C356" s="14"/>
      <c r="D356" s="14"/>
      <c r="E356" s="14"/>
      <c r="F356" s="14"/>
      <c r="G356" s="15">
        <f t="shared" si="5"/>
        <v>0</v>
      </c>
    </row>
    <row r="357" spans="1:7" ht="14.25" customHeight="1">
      <c r="A357" s="13"/>
      <c r="B357" s="14"/>
      <c r="C357" s="14"/>
      <c r="D357" s="14"/>
      <c r="E357" s="14"/>
      <c r="F357" s="14"/>
      <c r="G357" s="15">
        <f t="shared" si="5"/>
        <v>0</v>
      </c>
    </row>
    <row r="358" spans="1:7" ht="14.25" customHeight="1">
      <c r="A358" s="13"/>
      <c r="B358" s="14"/>
      <c r="C358" s="14"/>
      <c r="D358" s="14"/>
      <c r="E358" s="14"/>
      <c r="F358" s="14"/>
      <c r="G358" s="15">
        <f t="shared" si="5"/>
        <v>0</v>
      </c>
    </row>
    <row r="359" spans="1:7" ht="14.25" customHeight="1">
      <c r="A359" s="13"/>
      <c r="B359" s="14"/>
      <c r="C359" s="14"/>
      <c r="D359" s="14"/>
      <c r="E359" s="14"/>
      <c r="F359" s="14"/>
      <c r="G359" s="15">
        <f t="shared" si="5"/>
        <v>0</v>
      </c>
    </row>
    <row r="360" spans="1:7" ht="14.25" customHeight="1">
      <c r="A360" s="13"/>
      <c r="B360" s="14"/>
      <c r="C360" s="14"/>
      <c r="D360" s="14"/>
      <c r="E360" s="14"/>
      <c r="F360" s="14"/>
      <c r="G360" s="15">
        <f t="shared" si="5"/>
        <v>0</v>
      </c>
    </row>
    <row r="361" spans="1:7" ht="14.25" customHeight="1">
      <c r="A361" s="13"/>
      <c r="B361" s="14"/>
      <c r="C361" s="14"/>
      <c r="D361" s="14"/>
      <c r="E361" s="14"/>
      <c r="F361" s="14"/>
      <c r="G361" s="15">
        <f t="shared" si="5"/>
        <v>0</v>
      </c>
    </row>
    <row r="362" spans="1:7" ht="14.25" customHeight="1">
      <c r="A362" s="13"/>
      <c r="B362" s="14"/>
      <c r="C362" s="14"/>
      <c r="D362" s="14"/>
      <c r="E362" s="14"/>
      <c r="F362" s="14"/>
      <c r="G362" s="15">
        <f t="shared" si="5"/>
        <v>0</v>
      </c>
    </row>
    <row r="363" spans="1:7" ht="14.25" customHeight="1">
      <c r="A363" s="13"/>
      <c r="B363" s="14"/>
      <c r="C363" s="14"/>
      <c r="D363" s="14"/>
      <c r="E363" s="14"/>
      <c r="F363" s="14"/>
      <c r="G363" s="15">
        <f t="shared" si="5"/>
        <v>0</v>
      </c>
    </row>
    <row r="364" spans="1:7" ht="14.25" customHeight="1">
      <c r="A364" s="13"/>
      <c r="B364" s="14"/>
      <c r="C364" s="14"/>
      <c r="D364" s="14"/>
      <c r="E364" s="14"/>
      <c r="F364" s="14"/>
      <c r="G364" s="15">
        <f t="shared" si="5"/>
        <v>0</v>
      </c>
    </row>
    <row r="365" spans="1:7" ht="14.25" customHeight="1">
      <c r="A365" s="13"/>
      <c r="B365" s="14"/>
      <c r="C365" s="14"/>
      <c r="D365" s="14"/>
      <c r="E365" s="14"/>
      <c r="F365" s="14"/>
      <c r="G365" s="15">
        <f t="shared" si="5"/>
        <v>0</v>
      </c>
    </row>
    <row r="366" spans="1:7" ht="14.25" customHeight="1">
      <c r="A366" s="13"/>
      <c r="B366" s="14"/>
      <c r="C366" s="14"/>
      <c r="D366" s="14"/>
      <c r="E366" s="14"/>
      <c r="F366" s="14"/>
      <c r="G366" s="15">
        <f t="shared" si="5"/>
        <v>0</v>
      </c>
    </row>
    <row r="367" spans="1:7" ht="14.25" customHeight="1">
      <c r="A367" s="13"/>
      <c r="B367" s="14"/>
      <c r="C367" s="14"/>
      <c r="D367" s="14"/>
      <c r="E367" s="14"/>
      <c r="F367" s="14"/>
      <c r="G367" s="15">
        <f t="shared" si="5"/>
        <v>0</v>
      </c>
    </row>
    <row r="368" spans="1:7" ht="14.25" customHeight="1">
      <c r="A368" s="13"/>
      <c r="B368" s="14"/>
      <c r="C368" s="14"/>
      <c r="D368" s="14"/>
      <c r="E368" s="14"/>
      <c r="F368" s="14"/>
      <c r="G368" s="15">
        <f t="shared" si="5"/>
        <v>0</v>
      </c>
    </row>
    <row r="369" spans="1:7" ht="14.25" customHeight="1">
      <c r="A369" s="13"/>
      <c r="B369" s="14"/>
      <c r="C369" s="14"/>
      <c r="D369" s="14"/>
      <c r="E369" s="14"/>
      <c r="F369" s="14"/>
      <c r="G369" s="15">
        <f t="shared" si="5"/>
        <v>0</v>
      </c>
    </row>
    <row r="370" spans="1:7" ht="14.25" customHeight="1">
      <c r="A370" s="17"/>
      <c r="G370" s="18"/>
    </row>
    <row r="371" spans="1:7" ht="14.25" customHeight="1">
      <c r="A371" s="17"/>
      <c r="G371" s="18"/>
    </row>
    <row r="372" spans="1:7" ht="14.25" customHeight="1">
      <c r="A372" s="17"/>
      <c r="G372" s="18"/>
    </row>
    <row r="373" spans="1:7" ht="14.25" customHeight="1">
      <c r="A373" s="17"/>
      <c r="G373" s="18"/>
    </row>
    <row r="374" spans="1:7" ht="14.25" customHeight="1">
      <c r="A374" s="17"/>
      <c r="G374" s="18"/>
    </row>
    <row r="375" spans="1:7" ht="14.25" customHeight="1">
      <c r="A375" s="17"/>
      <c r="G375" s="18"/>
    </row>
    <row r="376" spans="1:7" ht="14.25" customHeight="1">
      <c r="A376" s="17"/>
      <c r="G376" s="18"/>
    </row>
    <row r="377" spans="1:7" ht="14.25" customHeight="1">
      <c r="A377" s="17"/>
      <c r="G377" s="18"/>
    </row>
    <row r="378" spans="1:7" ht="14.25" customHeight="1">
      <c r="A378" s="17"/>
      <c r="G378" s="18"/>
    </row>
    <row r="379" spans="1:7" ht="14.25" customHeight="1">
      <c r="A379" s="17"/>
      <c r="G379" s="18"/>
    </row>
    <row r="380" spans="1:7" ht="14.25" customHeight="1">
      <c r="A380" s="17"/>
      <c r="G380" s="18"/>
    </row>
    <row r="381" spans="1:7" ht="14.25" customHeight="1">
      <c r="A381" s="17"/>
      <c r="G381" s="18"/>
    </row>
    <row r="382" spans="1:7" ht="14.25" customHeight="1">
      <c r="A382" s="17"/>
      <c r="G382" s="18"/>
    </row>
    <row r="383" spans="1:7" ht="14.25" customHeight="1">
      <c r="A383" s="17"/>
      <c r="G383" s="18"/>
    </row>
    <row r="384" spans="1:7" ht="14.25" customHeight="1">
      <c r="A384" s="17"/>
      <c r="G384" s="18"/>
    </row>
    <row r="385" spans="1:7" ht="14.25" customHeight="1">
      <c r="A385" s="17"/>
      <c r="G385" s="18"/>
    </row>
    <row r="386" spans="1:7" ht="14.25" customHeight="1">
      <c r="A386" s="17"/>
      <c r="G386" s="18"/>
    </row>
    <row r="387" spans="1:7" ht="14.25" customHeight="1">
      <c r="A387" s="17"/>
      <c r="G387" s="18"/>
    </row>
    <row r="388" spans="1:7" ht="14.25" customHeight="1">
      <c r="A388" s="17"/>
      <c r="G388" s="18"/>
    </row>
    <row r="389" spans="1:7" ht="14.25" customHeight="1">
      <c r="A389" s="17"/>
      <c r="G389" s="18"/>
    </row>
    <row r="390" spans="1:7" ht="14.25" customHeight="1">
      <c r="A390" s="17"/>
      <c r="G390" s="18"/>
    </row>
    <row r="391" spans="1:7" ht="14.25" customHeight="1">
      <c r="A391" s="17"/>
      <c r="G391" s="18"/>
    </row>
    <row r="392" spans="1:7" ht="14.25" customHeight="1">
      <c r="A392" s="17"/>
      <c r="G392" s="18"/>
    </row>
    <row r="393" spans="1:7" ht="14.25" customHeight="1">
      <c r="A393" s="17"/>
      <c r="G393" s="18"/>
    </row>
    <row r="394" spans="1:7" ht="14.25" customHeight="1">
      <c r="A394" s="17"/>
      <c r="G394" s="18"/>
    </row>
    <row r="395" spans="1:7" ht="14.25" customHeight="1">
      <c r="A395" s="17"/>
      <c r="G395" s="18"/>
    </row>
    <row r="396" spans="1:7" ht="14.25" customHeight="1">
      <c r="A396" s="17"/>
      <c r="G396" s="18"/>
    </row>
    <row r="397" spans="1:7" ht="14.25" customHeight="1">
      <c r="A397" s="17"/>
      <c r="G397" s="18"/>
    </row>
    <row r="398" spans="1:7" ht="14.25" customHeight="1">
      <c r="A398" s="17"/>
      <c r="G398" s="18"/>
    </row>
    <row r="399" spans="1:7" ht="14.25" customHeight="1">
      <c r="A399" s="17"/>
      <c r="G399" s="18"/>
    </row>
    <row r="400" spans="1:7" ht="14.25" customHeight="1">
      <c r="A400" s="17"/>
      <c r="G400" s="18"/>
    </row>
    <row r="401" spans="1:7" ht="14.25" customHeight="1">
      <c r="A401" s="17"/>
      <c r="G401" s="18"/>
    </row>
    <row r="402" spans="1:7" ht="14.25" customHeight="1">
      <c r="A402" s="17"/>
      <c r="G402" s="18"/>
    </row>
    <row r="403" spans="1:7" ht="14.25" customHeight="1">
      <c r="A403" s="17"/>
      <c r="G403" s="18"/>
    </row>
    <row r="404" spans="1:7" ht="14.25" customHeight="1">
      <c r="A404" s="17"/>
      <c r="G404" s="18"/>
    </row>
    <row r="405" spans="1:7" ht="14.25" customHeight="1">
      <c r="A405" s="17"/>
      <c r="G405" s="18"/>
    </row>
    <row r="406" spans="1:7" ht="14.25" customHeight="1">
      <c r="A406" s="17"/>
      <c r="G406" s="18"/>
    </row>
    <row r="407" spans="1:7" ht="14.25" customHeight="1">
      <c r="A407" s="17"/>
      <c r="G407" s="18"/>
    </row>
    <row r="408" spans="1:7" ht="14.25" customHeight="1">
      <c r="A408" s="17"/>
      <c r="G408" s="18"/>
    </row>
    <row r="409" spans="1:7" ht="14.25" customHeight="1">
      <c r="A409" s="17"/>
      <c r="G409" s="18"/>
    </row>
    <row r="410" spans="1:7" ht="14.25" customHeight="1">
      <c r="A410" s="17"/>
      <c r="G410" s="18"/>
    </row>
    <row r="411" spans="1:7" ht="14.25" customHeight="1">
      <c r="A411" s="17"/>
      <c r="G411" s="18"/>
    </row>
    <row r="412" spans="1:7" ht="14.25" customHeight="1">
      <c r="A412" s="17"/>
      <c r="G412" s="18"/>
    </row>
    <row r="413" spans="1:7" ht="14.25" customHeight="1">
      <c r="A413" s="17"/>
      <c r="G413" s="18"/>
    </row>
    <row r="414" spans="1:7" ht="14.25" customHeight="1">
      <c r="A414" s="17"/>
      <c r="G414" s="18"/>
    </row>
    <row r="415" spans="1:7" ht="14.25" customHeight="1">
      <c r="A415" s="17"/>
      <c r="G415" s="18"/>
    </row>
    <row r="416" spans="1:7" ht="14.25" customHeight="1">
      <c r="A416" s="17"/>
      <c r="G416" s="18"/>
    </row>
    <row r="417" spans="1:7" ht="14.25" customHeight="1">
      <c r="A417" s="17"/>
      <c r="G417" s="18"/>
    </row>
    <row r="418" spans="1:7" ht="14.25" customHeight="1">
      <c r="A418" s="17"/>
      <c r="G418" s="18"/>
    </row>
    <row r="419" spans="1:7" ht="14.25" customHeight="1">
      <c r="A419" s="17"/>
      <c r="G419" s="18"/>
    </row>
    <row r="420" spans="1:7" ht="14.25" customHeight="1">
      <c r="A420" s="17"/>
      <c r="G420" s="18"/>
    </row>
    <row r="421" spans="1:7" ht="14.25" customHeight="1">
      <c r="A421" s="17"/>
      <c r="G421" s="18"/>
    </row>
    <row r="422" spans="1:7" ht="14.25" customHeight="1">
      <c r="A422" s="17"/>
      <c r="G422" s="18"/>
    </row>
    <row r="423" spans="1:7" ht="14.25" customHeight="1">
      <c r="A423" s="17"/>
      <c r="G423" s="18"/>
    </row>
    <row r="424" spans="1:7" ht="14.25" customHeight="1">
      <c r="A424" s="17"/>
      <c r="G424" s="18"/>
    </row>
    <row r="425" spans="1:7" ht="14.25" customHeight="1">
      <c r="A425" s="17"/>
      <c r="G425" s="18"/>
    </row>
    <row r="426" spans="1:7" ht="14.25" customHeight="1">
      <c r="A426" s="17"/>
      <c r="G426" s="18"/>
    </row>
    <row r="427" spans="1:7" ht="14.25" customHeight="1">
      <c r="A427" s="17"/>
      <c r="G427" s="18"/>
    </row>
    <row r="428" spans="1:7" ht="14.25" customHeight="1">
      <c r="A428" s="17"/>
      <c r="G428" s="18"/>
    </row>
    <row r="429" spans="1:7" ht="14.25" customHeight="1">
      <c r="A429" s="17"/>
      <c r="G429" s="18"/>
    </row>
    <row r="430" spans="1:7" ht="14.25" customHeight="1">
      <c r="A430" s="17"/>
      <c r="G430" s="18"/>
    </row>
    <row r="431" spans="1:7" ht="14.25" customHeight="1">
      <c r="A431" s="17"/>
      <c r="G431" s="18"/>
    </row>
    <row r="432" spans="1:7" ht="14.25" customHeight="1">
      <c r="A432" s="17"/>
      <c r="G432" s="18"/>
    </row>
    <row r="433" spans="1:7" ht="14.25" customHeight="1">
      <c r="A433" s="17"/>
      <c r="G433" s="18"/>
    </row>
    <row r="434" spans="1:7" ht="14.25" customHeight="1">
      <c r="A434" s="17"/>
      <c r="G434" s="18"/>
    </row>
    <row r="435" spans="1:7" ht="14.25" customHeight="1">
      <c r="A435" s="17"/>
      <c r="G435" s="18"/>
    </row>
    <row r="436" spans="1:7" ht="14.25" customHeight="1">
      <c r="A436" s="17"/>
      <c r="G436" s="18"/>
    </row>
    <row r="437" spans="1:7" ht="14.25" customHeight="1">
      <c r="A437" s="17"/>
      <c r="G437" s="18"/>
    </row>
    <row r="438" spans="1:7" ht="14.25" customHeight="1">
      <c r="A438" s="17"/>
      <c r="G438" s="18"/>
    </row>
    <row r="439" spans="1:7" ht="14.25" customHeight="1">
      <c r="A439" s="17"/>
      <c r="G439" s="18"/>
    </row>
    <row r="440" spans="1:7" ht="14.25" customHeight="1">
      <c r="A440" s="17"/>
      <c r="G440" s="18"/>
    </row>
    <row r="441" spans="1:7" ht="14.25" customHeight="1">
      <c r="A441" s="17"/>
      <c r="G441" s="18"/>
    </row>
    <row r="442" spans="1:7" ht="14.25" customHeight="1">
      <c r="A442" s="17"/>
      <c r="G442" s="18"/>
    </row>
    <row r="443" spans="1:7" ht="14.25" customHeight="1">
      <c r="A443" s="17"/>
      <c r="G443" s="18"/>
    </row>
    <row r="444" spans="1:7" ht="14.25" customHeight="1">
      <c r="A444" s="17"/>
      <c r="G444" s="18"/>
    </row>
    <row r="445" spans="1:7" ht="14.25" customHeight="1">
      <c r="A445" s="17"/>
      <c r="G445" s="18"/>
    </row>
    <row r="446" spans="1:7" ht="14.25" customHeight="1">
      <c r="A446" s="17"/>
      <c r="G446" s="18"/>
    </row>
    <row r="447" spans="1:7" ht="14.25" customHeight="1">
      <c r="A447" s="17"/>
      <c r="G447" s="18"/>
    </row>
    <row r="448" spans="1:7" ht="14.25" customHeight="1">
      <c r="A448" s="17"/>
      <c r="G448" s="18"/>
    </row>
    <row r="449" spans="1:7" ht="14.25" customHeight="1">
      <c r="A449" s="17"/>
      <c r="G449" s="18"/>
    </row>
    <row r="450" spans="1:7" ht="14.25" customHeight="1">
      <c r="A450" s="17"/>
      <c r="G450" s="18"/>
    </row>
    <row r="451" spans="1:7" ht="14.25" customHeight="1">
      <c r="A451" s="17"/>
      <c r="G451" s="18"/>
    </row>
    <row r="452" spans="1:7" ht="14.25" customHeight="1">
      <c r="A452" s="17"/>
      <c r="G452" s="18"/>
    </row>
    <row r="453" spans="1:7" ht="14.25" customHeight="1">
      <c r="A453" s="17"/>
      <c r="G453" s="18"/>
    </row>
    <row r="454" spans="1:7" ht="14.25" customHeight="1">
      <c r="A454" s="17"/>
      <c r="G454" s="18"/>
    </row>
    <row r="455" spans="1:7" ht="14.25" customHeight="1">
      <c r="A455" s="17"/>
      <c r="G455" s="18"/>
    </row>
    <row r="456" spans="1:7" ht="14.25" customHeight="1">
      <c r="A456" s="17"/>
      <c r="G456" s="18"/>
    </row>
    <row r="457" spans="1:7" ht="14.25" customHeight="1">
      <c r="A457" s="17"/>
      <c r="G457" s="18"/>
    </row>
    <row r="458" spans="1:7" ht="14.25" customHeight="1">
      <c r="A458" s="17"/>
      <c r="G458" s="18"/>
    </row>
    <row r="459" spans="1:7" ht="14.25" customHeight="1">
      <c r="A459" s="17"/>
      <c r="G459" s="18"/>
    </row>
    <row r="460" spans="1:7" ht="14.25" customHeight="1">
      <c r="A460" s="17"/>
      <c r="G460" s="18"/>
    </row>
    <row r="461" spans="1:7" ht="14.25" customHeight="1">
      <c r="A461" s="17"/>
      <c r="G461" s="18"/>
    </row>
    <row r="462" spans="1:7" ht="14.25" customHeight="1">
      <c r="A462" s="17"/>
      <c r="G462" s="18"/>
    </row>
    <row r="463" spans="1:7" ht="14.25" customHeight="1">
      <c r="A463" s="17"/>
      <c r="G463" s="18"/>
    </row>
    <row r="464" spans="1:7" ht="14.25" customHeight="1">
      <c r="A464" s="17"/>
      <c r="G464" s="18"/>
    </row>
    <row r="465" spans="1:7" ht="14.25" customHeight="1">
      <c r="A465" s="17"/>
      <c r="G465" s="18"/>
    </row>
    <row r="466" spans="1:7" ht="14.25" customHeight="1">
      <c r="A466" s="17"/>
      <c r="G466" s="18"/>
    </row>
    <row r="467" spans="1:7" ht="14.25" customHeight="1">
      <c r="A467" s="17"/>
      <c r="G467" s="18"/>
    </row>
    <row r="468" spans="1:7" ht="14.25" customHeight="1">
      <c r="A468" s="17"/>
      <c r="G468" s="18"/>
    </row>
    <row r="469" spans="1:7" ht="14.25" customHeight="1">
      <c r="A469" s="17"/>
      <c r="G469" s="18"/>
    </row>
    <row r="470" spans="1:7" ht="14.25" customHeight="1">
      <c r="A470" s="17"/>
      <c r="G470" s="18"/>
    </row>
    <row r="471" spans="1:7" ht="14.25" customHeight="1">
      <c r="A471" s="17"/>
      <c r="G471" s="18"/>
    </row>
    <row r="472" spans="1:7" ht="14.25" customHeight="1">
      <c r="A472" s="17"/>
      <c r="G472" s="18"/>
    </row>
    <row r="473" spans="1:7" ht="14.25" customHeight="1">
      <c r="A473" s="17"/>
      <c r="G473" s="18"/>
    </row>
    <row r="474" spans="1:7" ht="14.25" customHeight="1">
      <c r="A474" s="17"/>
      <c r="G474" s="18"/>
    </row>
    <row r="475" spans="1:7" ht="14.25" customHeight="1">
      <c r="A475" s="17"/>
      <c r="G475" s="18"/>
    </row>
    <row r="476" spans="1:7" ht="14.25" customHeight="1">
      <c r="A476" s="17"/>
      <c r="G476" s="18"/>
    </row>
    <row r="477" spans="1:7" ht="14.25" customHeight="1">
      <c r="A477" s="17"/>
      <c r="G477" s="18"/>
    </row>
    <row r="478" spans="1:7" ht="14.25" customHeight="1">
      <c r="A478" s="17"/>
      <c r="G478" s="18"/>
    </row>
    <row r="479" spans="1:7" ht="14.25" customHeight="1">
      <c r="A479" s="17"/>
      <c r="G479" s="18"/>
    </row>
    <row r="480" spans="1:7" ht="14.25" customHeight="1">
      <c r="A480" s="17"/>
      <c r="G480" s="18"/>
    </row>
    <row r="481" spans="1:7" ht="14.25" customHeight="1">
      <c r="A481" s="17"/>
      <c r="G481" s="18"/>
    </row>
    <row r="482" spans="1:7" ht="14.25" customHeight="1">
      <c r="A482" s="17"/>
      <c r="G482" s="18"/>
    </row>
    <row r="483" spans="1:7" ht="14.25" customHeight="1">
      <c r="A483" s="17"/>
      <c r="G483" s="18"/>
    </row>
    <row r="484" spans="1:7" ht="14.25" customHeight="1">
      <c r="A484" s="17"/>
      <c r="G484" s="18"/>
    </row>
    <row r="485" spans="1:7" ht="14.25" customHeight="1">
      <c r="A485" s="17"/>
      <c r="G485" s="18"/>
    </row>
    <row r="486" spans="1:7" ht="14.25" customHeight="1">
      <c r="A486" s="17"/>
      <c r="G486" s="18"/>
    </row>
    <row r="487" spans="1:7" ht="14.25" customHeight="1">
      <c r="A487" s="17"/>
      <c r="G487" s="18"/>
    </row>
    <row r="488" spans="1:7" ht="14.25" customHeight="1">
      <c r="A488" s="17"/>
      <c r="G488" s="18"/>
    </row>
    <row r="489" spans="1:7" ht="14.25" customHeight="1">
      <c r="A489" s="17"/>
      <c r="G489" s="18"/>
    </row>
    <row r="490" spans="1:7" ht="14.25" customHeight="1">
      <c r="A490" s="17"/>
      <c r="G490" s="18"/>
    </row>
    <row r="491" spans="1:7" ht="14.25" customHeight="1">
      <c r="A491" s="17"/>
      <c r="G491" s="18"/>
    </row>
    <row r="492" spans="1:7" ht="14.25" customHeight="1">
      <c r="A492" s="17"/>
      <c r="G492" s="18"/>
    </row>
    <row r="493" spans="1:7" ht="14.25" customHeight="1">
      <c r="A493" s="17"/>
      <c r="G493" s="18"/>
    </row>
    <row r="494" spans="1:7" ht="14.25" customHeight="1">
      <c r="A494" s="17"/>
      <c r="G494" s="18"/>
    </row>
    <row r="495" spans="1:7" ht="14.25" customHeight="1">
      <c r="A495" s="17"/>
      <c r="G495" s="18"/>
    </row>
    <row r="496" spans="1:7" ht="14.25" customHeight="1">
      <c r="A496" s="17"/>
      <c r="G496" s="18"/>
    </row>
    <row r="497" spans="1:7" ht="14.25" customHeight="1">
      <c r="A497" s="17"/>
      <c r="G497" s="18"/>
    </row>
    <row r="498" spans="1:7" ht="14.25" customHeight="1">
      <c r="A498" s="17"/>
      <c r="G498" s="18"/>
    </row>
    <row r="499" spans="1:7" ht="14.25" customHeight="1">
      <c r="A499" s="17"/>
      <c r="G499" s="18"/>
    </row>
    <row r="500" spans="1:7" ht="14.25" customHeight="1">
      <c r="A500" s="17"/>
      <c r="G500" s="18"/>
    </row>
    <row r="501" spans="1:7" ht="14.25" customHeight="1">
      <c r="A501" s="17"/>
      <c r="G501" s="18"/>
    </row>
    <row r="502" spans="1:7" ht="14.25" customHeight="1">
      <c r="A502" s="17"/>
      <c r="G502" s="18"/>
    </row>
    <row r="503" spans="1:7" ht="14.25" customHeight="1">
      <c r="A503" s="17"/>
      <c r="G503" s="18"/>
    </row>
    <row r="504" spans="1:7" ht="14.25" customHeight="1">
      <c r="A504" s="17"/>
      <c r="G504" s="18"/>
    </row>
    <row r="505" spans="1:7" ht="14.25" customHeight="1">
      <c r="A505" s="17"/>
      <c r="G505" s="18"/>
    </row>
    <row r="506" spans="1:7" ht="14.25" customHeight="1">
      <c r="A506" s="17"/>
      <c r="G506" s="18"/>
    </row>
    <row r="507" spans="1:7" ht="14.25" customHeight="1">
      <c r="A507" s="17"/>
      <c r="G507" s="18"/>
    </row>
    <row r="508" spans="1:7" ht="14.25" customHeight="1">
      <c r="A508" s="17"/>
      <c r="G508" s="18"/>
    </row>
    <row r="509" spans="1:7" ht="14.25" customHeight="1">
      <c r="A509" s="17"/>
      <c r="G509" s="18"/>
    </row>
    <row r="510" spans="1:7" ht="14.25" customHeight="1">
      <c r="A510" s="17"/>
      <c r="G510" s="18"/>
    </row>
    <row r="511" spans="1:7" ht="14.25" customHeight="1">
      <c r="A511" s="17"/>
      <c r="G511" s="18"/>
    </row>
    <row r="512" spans="1:7" ht="14.25" customHeight="1">
      <c r="A512" s="17"/>
      <c r="G512" s="18"/>
    </row>
    <row r="513" spans="1:7" ht="14.25" customHeight="1">
      <c r="A513" s="17"/>
      <c r="G513" s="18"/>
    </row>
    <row r="514" spans="1:7" ht="14.25" customHeight="1">
      <c r="A514" s="17"/>
      <c r="G514" s="18"/>
    </row>
    <row r="515" spans="1:7" ht="14.25" customHeight="1">
      <c r="A515" s="17"/>
      <c r="G515" s="18"/>
    </row>
    <row r="516" spans="1:7" ht="14.25" customHeight="1">
      <c r="A516" s="17"/>
      <c r="G516" s="18"/>
    </row>
    <row r="517" spans="1:7" ht="14.25" customHeight="1">
      <c r="A517" s="17"/>
      <c r="G517" s="18"/>
    </row>
    <row r="518" spans="1:7" ht="14.25" customHeight="1">
      <c r="A518" s="17"/>
      <c r="G518" s="18"/>
    </row>
    <row r="519" spans="1:7" ht="14.25" customHeight="1">
      <c r="A519" s="17"/>
      <c r="G519" s="18"/>
    </row>
    <row r="520" spans="1:7" ht="14.25" customHeight="1">
      <c r="A520" s="17"/>
      <c r="G520" s="18"/>
    </row>
    <row r="521" spans="1:7" ht="14.25" customHeight="1">
      <c r="A521" s="17"/>
      <c r="G521" s="18"/>
    </row>
    <row r="522" spans="1:7" ht="14.25" customHeight="1">
      <c r="A522" s="17"/>
      <c r="G522" s="18"/>
    </row>
    <row r="523" spans="1:7" ht="14.25" customHeight="1">
      <c r="A523" s="17"/>
      <c r="G523" s="18"/>
    </row>
    <row r="524" spans="1:7" ht="14.25" customHeight="1">
      <c r="A524" s="17"/>
      <c r="G524" s="18"/>
    </row>
    <row r="525" spans="1:7" ht="14.25" customHeight="1">
      <c r="A525" s="17"/>
      <c r="G525" s="18"/>
    </row>
    <row r="526" spans="1:7" ht="14.25" customHeight="1">
      <c r="A526" s="17"/>
      <c r="G526" s="18"/>
    </row>
    <row r="527" spans="1:7" ht="14.25" customHeight="1">
      <c r="A527" s="17"/>
      <c r="G527" s="18"/>
    </row>
    <row r="528" spans="1:7" ht="14.25" customHeight="1">
      <c r="A528" s="17"/>
      <c r="G528" s="18"/>
    </row>
    <row r="529" spans="1:7" ht="14.25" customHeight="1">
      <c r="A529" s="17"/>
      <c r="G529" s="18"/>
    </row>
    <row r="530" spans="1:7" ht="14.25" customHeight="1">
      <c r="A530" s="17"/>
      <c r="G530" s="18"/>
    </row>
    <row r="531" spans="1:7" ht="14.25" customHeight="1">
      <c r="A531" s="17"/>
      <c r="G531" s="18"/>
    </row>
    <row r="532" spans="1:7" ht="14.25" customHeight="1">
      <c r="A532" s="17"/>
      <c r="G532" s="18"/>
    </row>
    <row r="533" spans="1:7" ht="14.25" customHeight="1">
      <c r="A533" s="17"/>
      <c r="G533" s="18"/>
    </row>
    <row r="534" spans="1:7" ht="14.25" customHeight="1">
      <c r="A534" s="17"/>
      <c r="G534" s="18"/>
    </row>
    <row r="535" spans="1:7" ht="14.25" customHeight="1">
      <c r="A535" s="17"/>
      <c r="G535" s="18"/>
    </row>
    <row r="536" spans="1:7" ht="14.25" customHeight="1">
      <c r="A536" s="17"/>
      <c r="G536" s="18"/>
    </row>
    <row r="537" spans="1:7" ht="14.25" customHeight="1">
      <c r="A537" s="17"/>
      <c r="G537" s="18"/>
    </row>
    <row r="538" spans="1:7" ht="14.25" customHeight="1">
      <c r="A538" s="17"/>
      <c r="G538" s="18"/>
    </row>
    <row r="539" spans="1:7" ht="14.25" customHeight="1">
      <c r="A539" s="17"/>
      <c r="G539" s="18"/>
    </row>
    <row r="540" spans="1:7" ht="14.25" customHeight="1">
      <c r="A540" s="17"/>
      <c r="G540" s="18"/>
    </row>
    <row r="541" spans="1:7" ht="14.25" customHeight="1">
      <c r="A541" s="17"/>
      <c r="G541" s="18"/>
    </row>
    <row r="542" spans="1:7" ht="14.25" customHeight="1">
      <c r="A542" s="17"/>
      <c r="G542" s="18"/>
    </row>
    <row r="543" spans="1:7" ht="14.25" customHeight="1">
      <c r="A543" s="17"/>
      <c r="G543" s="18"/>
    </row>
    <row r="544" spans="1:7" ht="14.25" customHeight="1">
      <c r="A544" s="17"/>
      <c r="G544" s="18"/>
    </row>
    <row r="545" spans="1:7" ht="14.25" customHeight="1">
      <c r="A545" s="17"/>
      <c r="G545" s="18"/>
    </row>
    <row r="546" spans="1:7" ht="14.25" customHeight="1">
      <c r="A546" s="17"/>
      <c r="G546" s="18"/>
    </row>
    <row r="547" spans="1:7" ht="14.25" customHeight="1">
      <c r="A547" s="17"/>
      <c r="G547" s="18"/>
    </row>
    <row r="548" spans="1:7" ht="14.25" customHeight="1">
      <c r="A548" s="17"/>
      <c r="G548" s="18"/>
    </row>
    <row r="549" spans="1:7" ht="14.25" customHeight="1">
      <c r="A549" s="17"/>
      <c r="G549" s="18"/>
    </row>
    <row r="550" spans="1:7" ht="14.25" customHeight="1">
      <c r="A550" s="17"/>
      <c r="G550" s="18"/>
    </row>
    <row r="551" spans="1:7" ht="14.25" customHeight="1">
      <c r="A551" s="17"/>
      <c r="G551" s="18"/>
    </row>
    <row r="552" spans="1:7" ht="14.25" customHeight="1">
      <c r="A552" s="17"/>
      <c r="G552" s="18"/>
    </row>
    <row r="553" spans="1:7" ht="14.25" customHeight="1">
      <c r="A553" s="17"/>
      <c r="G553" s="18"/>
    </row>
    <row r="554" spans="1:7" ht="14.25" customHeight="1">
      <c r="A554" s="17"/>
      <c r="G554" s="18"/>
    </row>
    <row r="555" spans="1:7" ht="14.25" customHeight="1">
      <c r="A555" s="17"/>
      <c r="G555" s="18"/>
    </row>
    <row r="556" spans="1:7" ht="14.25" customHeight="1">
      <c r="A556" s="17"/>
      <c r="G556" s="18"/>
    </row>
    <row r="557" spans="1:7" ht="14.25" customHeight="1">
      <c r="A557" s="17"/>
      <c r="G557" s="18"/>
    </row>
    <row r="558" spans="1:7" ht="14.25" customHeight="1">
      <c r="A558" s="17"/>
      <c r="G558" s="18"/>
    </row>
    <row r="559" spans="1:7" ht="14.25" customHeight="1">
      <c r="A559" s="17"/>
      <c r="G559" s="18"/>
    </row>
    <row r="560" spans="1:7" ht="14.25" customHeight="1">
      <c r="A560" s="17"/>
      <c r="G560" s="18"/>
    </row>
    <row r="561" spans="1:7" ht="14.25" customHeight="1">
      <c r="A561" s="17"/>
      <c r="G561" s="18"/>
    </row>
    <row r="562" spans="1:7" ht="14.25" customHeight="1">
      <c r="A562" s="17"/>
      <c r="G562" s="18"/>
    </row>
    <row r="563" spans="1:7" ht="14.25" customHeight="1">
      <c r="A563" s="17"/>
      <c r="G563" s="18"/>
    </row>
    <row r="564" spans="1:7" ht="14.25" customHeight="1">
      <c r="A564" s="17"/>
      <c r="G564" s="18"/>
    </row>
    <row r="565" spans="1:7" ht="14.25" customHeight="1">
      <c r="A565" s="17"/>
      <c r="G565" s="18"/>
    </row>
    <row r="566" spans="1:7" ht="14.25" customHeight="1">
      <c r="A566" s="17"/>
      <c r="G566" s="18"/>
    </row>
    <row r="567" spans="1:7" ht="14.25" customHeight="1">
      <c r="A567" s="17"/>
      <c r="G567" s="18"/>
    </row>
    <row r="568" spans="1:7" ht="14.25" customHeight="1">
      <c r="A568" s="17"/>
      <c r="G568" s="18"/>
    </row>
    <row r="569" spans="1:7" ht="14.25" customHeight="1">
      <c r="A569" s="17"/>
      <c r="G569" s="18"/>
    </row>
    <row r="570" spans="1:7" ht="14.25" customHeight="1">
      <c r="A570" s="17"/>
      <c r="G570" s="18"/>
    </row>
    <row r="571" spans="1:7" ht="14.25" customHeight="1">
      <c r="A571" s="17"/>
      <c r="G571" s="18"/>
    </row>
    <row r="572" spans="1:7" ht="14.25" customHeight="1">
      <c r="A572" s="17"/>
      <c r="G572" s="18"/>
    </row>
    <row r="573" spans="1:7" ht="14.25" customHeight="1">
      <c r="A573" s="17"/>
      <c r="G573" s="18"/>
    </row>
    <row r="574" spans="1:7" ht="14.25" customHeight="1">
      <c r="A574" s="17"/>
      <c r="G574" s="18"/>
    </row>
    <row r="575" spans="1:7" ht="14.25" customHeight="1">
      <c r="A575" s="17"/>
      <c r="G575" s="18"/>
    </row>
    <row r="576" spans="1:7" ht="14.25" customHeight="1">
      <c r="A576" s="17"/>
      <c r="G576" s="18"/>
    </row>
    <row r="577" spans="1:7" ht="14.25" customHeight="1">
      <c r="A577" s="17"/>
      <c r="G577" s="18"/>
    </row>
    <row r="578" spans="1:7" ht="14.25" customHeight="1">
      <c r="A578" s="17"/>
      <c r="G578" s="18"/>
    </row>
    <row r="579" spans="1:7" ht="14.25" customHeight="1">
      <c r="A579" s="17"/>
      <c r="G579" s="18"/>
    </row>
    <row r="580" spans="1:7" ht="14.25" customHeight="1">
      <c r="A580" s="17"/>
      <c r="G580" s="18"/>
    </row>
    <row r="581" spans="1:7" ht="14.25" customHeight="1">
      <c r="A581" s="17"/>
      <c r="G581" s="18"/>
    </row>
    <row r="582" spans="1:7" ht="14.25" customHeight="1">
      <c r="A582" s="17"/>
      <c r="G582" s="18"/>
    </row>
    <row r="583" spans="1:7" ht="14.25" customHeight="1">
      <c r="A583" s="17"/>
      <c r="G583" s="18"/>
    </row>
    <row r="584" spans="1:7" ht="14.25" customHeight="1">
      <c r="A584" s="17"/>
      <c r="G584" s="18"/>
    </row>
    <row r="585" spans="1:7" ht="14.25" customHeight="1">
      <c r="A585" s="17"/>
      <c r="G585" s="18"/>
    </row>
    <row r="586" spans="1:7" ht="14.25" customHeight="1">
      <c r="A586" s="17"/>
      <c r="G586" s="18"/>
    </row>
    <row r="587" spans="1:7" ht="14.25" customHeight="1">
      <c r="A587" s="17"/>
      <c r="G587" s="18"/>
    </row>
    <row r="588" spans="1:7" ht="14.25" customHeight="1">
      <c r="A588" s="17"/>
      <c r="G588" s="18"/>
    </row>
    <row r="589" spans="1:7" ht="14.25" customHeight="1">
      <c r="A589" s="17"/>
      <c r="G589" s="18"/>
    </row>
    <row r="590" spans="1:7" ht="14.25" customHeight="1">
      <c r="A590" s="17"/>
      <c r="G590" s="18"/>
    </row>
    <row r="591" spans="1:7" ht="14.25" customHeight="1">
      <c r="A591" s="17"/>
      <c r="G591" s="18"/>
    </row>
    <row r="592" spans="1:7" ht="14.25" customHeight="1">
      <c r="A592" s="17"/>
      <c r="G592" s="18"/>
    </row>
    <row r="593" spans="1:7" ht="14.25" customHeight="1">
      <c r="A593" s="17"/>
      <c r="G593" s="18"/>
    </row>
    <row r="594" spans="1:7" ht="14.25" customHeight="1">
      <c r="A594" s="17"/>
      <c r="G594" s="18"/>
    </row>
    <row r="595" spans="1:7" ht="14.25" customHeight="1">
      <c r="A595" s="17"/>
      <c r="G595" s="18"/>
    </row>
    <row r="596" spans="1:7" ht="14.25" customHeight="1">
      <c r="A596" s="17"/>
      <c r="G596" s="18"/>
    </row>
    <row r="597" spans="1:7" ht="14.25" customHeight="1">
      <c r="A597" s="17"/>
      <c r="G597" s="18"/>
    </row>
    <row r="598" spans="1:7" ht="14.25" customHeight="1">
      <c r="A598" s="17"/>
      <c r="G598" s="18"/>
    </row>
    <row r="599" spans="1:7" ht="14.25" customHeight="1">
      <c r="A599" s="17"/>
      <c r="G599" s="18"/>
    </row>
    <row r="600" spans="1:7" ht="14.25" customHeight="1">
      <c r="A600" s="17"/>
      <c r="G600" s="18"/>
    </row>
    <row r="601" spans="1:7" ht="14.25" customHeight="1">
      <c r="A601" s="17"/>
      <c r="G601" s="18"/>
    </row>
    <row r="602" spans="1:7" ht="14.25" customHeight="1">
      <c r="A602" s="17"/>
      <c r="G602" s="18"/>
    </row>
    <row r="603" spans="1:7" ht="14.25" customHeight="1">
      <c r="A603" s="17"/>
      <c r="G603" s="18"/>
    </row>
    <row r="604" spans="1:7" ht="14.25" customHeight="1">
      <c r="A604" s="17"/>
      <c r="G604" s="18"/>
    </row>
    <row r="605" spans="1:7" ht="14.25" customHeight="1">
      <c r="A605" s="17"/>
      <c r="G605" s="18"/>
    </row>
    <row r="606" spans="1:7" ht="14.25" customHeight="1">
      <c r="A606" s="17"/>
      <c r="G606" s="18"/>
    </row>
    <row r="607" spans="1:7" ht="14.25" customHeight="1">
      <c r="A607" s="17"/>
      <c r="G607" s="18"/>
    </row>
    <row r="608" spans="1:7" ht="14.25" customHeight="1">
      <c r="A608" s="17"/>
      <c r="G608" s="18"/>
    </row>
    <row r="609" spans="1:7" ht="14.25" customHeight="1">
      <c r="A609" s="17"/>
      <c r="G609" s="18"/>
    </row>
    <row r="610" spans="1:7" ht="14.25" customHeight="1">
      <c r="A610" s="17"/>
      <c r="G610" s="18"/>
    </row>
    <row r="611" spans="1:7" ht="14.25" customHeight="1">
      <c r="A611" s="17"/>
      <c r="G611" s="18"/>
    </row>
    <row r="612" spans="1:7" ht="14.25" customHeight="1">
      <c r="A612" s="17"/>
      <c r="G612" s="18"/>
    </row>
    <row r="613" spans="1:7" ht="14.25" customHeight="1">
      <c r="A613" s="17"/>
      <c r="G613" s="18"/>
    </row>
    <row r="614" spans="1:7" ht="14.25" customHeight="1">
      <c r="A614" s="17"/>
      <c r="G614" s="18"/>
    </row>
    <row r="615" spans="1:7" ht="14.25" customHeight="1">
      <c r="A615" s="17"/>
      <c r="G615" s="18"/>
    </row>
    <row r="616" spans="1:7" ht="14.25" customHeight="1">
      <c r="A616" s="17"/>
      <c r="G616" s="18"/>
    </row>
    <row r="617" spans="1:7" ht="14.25" customHeight="1">
      <c r="A617" s="17"/>
      <c r="G617" s="18"/>
    </row>
    <row r="618" spans="1:7" ht="14.25" customHeight="1">
      <c r="A618" s="17"/>
      <c r="G618" s="18"/>
    </row>
    <row r="619" spans="1:7" ht="14.25" customHeight="1">
      <c r="A619" s="17"/>
      <c r="G619" s="18"/>
    </row>
    <row r="620" spans="1:7" ht="14.25" customHeight="1">
      <c r="A620" s="17"/>
      <c r="G620" s="18"/>
    </row>
    <row r="621" spans="1:7" ht="14.25" customHeight="1">
      <c r="A621" s="17"/>
      <c r="G621" s="18"/>
    </row>
    <row r="622" spans="1:7" ht="14.25" customHeight="1">
      <c r="A622" s="17"/>
      <c r="G622" s="18"/>
    </row>
    <row r="623" spans="1:7" ht="14.25" customHeight="1">
      <c r="A623" s="17"/>
      <c r="G623" s="18"/>
    </row>
    <row r="624" spans="1:7" ht="14.25" customHeight="1">
      <c r="A624" s="17"/>
      <c r="G624" s="18"/>
    </row>
    <row r="625" spans="1:7" ht="14.25" customHeight="1">
      <c r="A625" s="17"/>
      <c r="G625" s="18"/>
    </row>
    <row r="626" spans="1:7" ht="14.25" customHeight="1">
      <c r="A626" s="17"/>
      <c r="G626" s="18"/>
    </row>
    <row r="627" spans="1:7" ht="14.25" customHeight="1">
      <c r="A627" s="17"/>
      <c r="G627" s="18"/>
    </row>
    <row r="628" spans="1:7" ht="14.25" customHeight="1">
      <c r="A628" s="17"/>
      <c r="G628" s="18"/>
    </row>
    <row r="629" spans="1:7" ht="14.25" customHeight="1">
      <c r="A629" s="17"/>
      <c r="G629" s="18"/>
    </row>
    <row r="630" spans="1:7" ht="14.25" customHeight="1">
      <c r="A630" s="17"/>
      <c r="G630" s="18"/>
    </row>
    <row r="631" spans="1:7" ht="14.25" customHeight="1">
      <c r="A631" s="17"/>
      <c r="G631" s="18"/>
    </row>
    <row r="632" spans="1:7" ht="14.25" customHeight="1">
      <c r="A632" s="17"/>
      <c r="G632" s="18"/>
    </row>
    <row r="633" spans="1:7" ht="14.25" customHeight="1">
      <c r="A633" s="17"/>
      <c r="G633" s="18"/>
    </row>
    <row r="634" spans="1:7" ht="14.25" customHeight="1">
      <c r="A634" s="17"/>
      <c r="G634" s="18"/>
    </row>
    <row r="635" spans="1:7" ht="14.25" customHeight="1">
      <c r="A635" s="17"/>
      <c r="G635" s="18"/>
    </row>
    <row r="636" spans="1:7" ht="14.25" customHeight="1">
      <c r="A636" s="17"/>
      <c r="G636" s="18"/>
    </row>
    <row r="637" spans="1:7" ht="14.25" customHeight="1">
      <c r="A637" s="17"/>
      <c r="G637" s="18"/>
    </row>
    <row r="638" spans="1:7" ht="14.25" customHeight="1">
      <c r="A638" s="17"/>
      <c r="G638" s="18"/>
    </row>
    <row r="639" spans="1:7" ht="14.25" customHeight="1">
      <c r="A639" s="17"/>
      <c r="G639" s="18"/>
    </row>
    <row r="640" spans="1:7" ht="14.25" customHeight="1">
      <c r="A640" s="17"/>
      <c r="G640" s="18"/>
    </row>
    <row r="641" spans="1:7" ht="14.25" customHeight="1">
      <c r="A641" s="17"/>
      <c r="G641" s="18"/>
    </row>
    <row r="642" spans="1:7" ht="14.25" customHeight="1">
      <c r="A642" s="17"/>
      <c r="G642" s="18"/>
    </row>
    <row r="643" spans="1:7" ht="14.25" customHeight="1">
      <c r="A643" s="17"/>
      <c r="G643" s="18"/>
    </row>
    <row r="644" spans="1:7" ht="14.25" customHeight="1">
      <c r="A644" s="17"/>
      <c r="G644" s="18"/>
    </row>
    <row r="645" spans="1:7" ht="14.25" customHeight="1">
      <c r="A645" s="17"/>
      <c r="G645" s="18"/>
    </row>
    <row r="646" spans="1:7" ht="14.25" customHeight="1">
      <c r="A646" s="17"/>
      <c r="G646" s="18"/>
    </row>
    <row r="647" spans="1:7" ht="14.25" customHeight="1">
      <c r="A647" s="17"/>
      <c r="G647" s="18"/>
    </row>
    <row r="648" spans="1:7" ht="14.25" customHeight="1">
      <c r="A648" s="17"/>
      <c r="G648" s="18"/>
    </row>
    <row r="649" spans="1:7" ht="14.25" customHeight="1">
      <c r="A649" s="17"/>
      <c r="G649" s="18"/>
    </row>
    <row r="650" spans="1:7" ht="14.25" customHeight="1">
      <c r="A650" s="17"/>
      <c r="G650" s="18"/>
    </row>
    <row r="651" spans="1:7" ht="14.25" customHeight="1">
      <c r="A651" s="17"/>
      <c r="G651" s="18"/>
    </row>
    <row r="652" spans="1:7" ht="14.25" customHeight="1">
      <c r="A652" s="17"/>
      <c r="G652" s="18"/>
    </row>
    <row r="653" spans="1:7" ht="14.25" customHeight="1">
      <c r="A653" s="17"/>
      <c r="G653" s="18"/>
    </row>
    <row r="654" spans="1:7" ht="14.25" customHeight="1">
      <c r="A654" s="17"/>
      <c r="G654" s="18"/>
    </row>
    <row r="655" spans="1:7" ht="14.25" customHeight="1">
      <c r="A655" s="17"/>
      <c r="G655" s="18"/>
    </row>
    <row r="656" spans="1:7" ht="14.25" customHeight="1">
      <c r="A656" s="17"/>
      <c r="G656" s="18"/>
    </row>
    <row r="657" spans="1:7" ht="14.25" customHeight="1">
      <c r="A657" s="17"/>
      <c r="G657" s="18"/>
    </row>
    <row r="658" spans="1:7" ht="14.25" customHeight="1">
      <c r="A658" s="17"/>
      <c r="G658" s="18"/>
    </row>
    <row r="659" spans="1:7" ht="14.25" customHeight="1">
      <c r="A659" s="17"/>
      <c r="G659" s="18"/>
    </row>
    <row r="660" spans="1:7" ht="14.25" customHeight="1">
      <c r="A660" s="17"/>
      <c r="G660" s="18"/>
    </row>
    <row r="661" spans="1:7" ht="14.25" customHeight="1">
      <c r="A661" s="17"/>
      <c r="G661" s="18"/>
    </row>
    <row r="662" spans="1:7" ht="14.25" customHeight="1">
      <c r="A662" s="17"/>
      <c r="G662" s="18"/>
    </row>
    <row r="663" spans="1:7" ht="14.25" customHeight="1">
      <c r="A663" s="17"/>
      <c r="G663" s="18"/>
    </row>
    <row r="664" spans="1:7" ht="14.25" customHeight="1">
      <c r="A664" s="17"/>
      <c r="G664" s="18"/>
    </row>
    <row r="665" spans="1:7" ht="14.25" customHeight="1">
      <c r="A665" s="17"/>
      <c r="G665" s="18"/>
    </row>
    <row r="666" spans="1:7" ht="14.25" customHeight="1">
      <c r="A666" s="17"/>
      <c r="G666" s="18"/>
    </row>
    <row r="667" spans="1:7" ht="14.25" customHeight="1">
      <c r="A667" s="17"/>
      <c r="G667" s="18"/>
    </row>
    <row r="668" spans="1:7" ht="14.25" customHeight="1">
      <c r="A668" s="17"/>
      <c r="G668" s="18"/>
    </row>
    <row r="669" spans="1:7" ht="14.25" customHeight="1">
      <c r="A669" s="17"/>
      <c r="G669" s="18"/>
    </row>
    <row r="670" spans="1:7" ht="14.25" customHeight="1">
      <c r="A670" s="17"/>
      <c r="G670" s="18"/>
    </row>
    <row r="671" spans="1:7" ht="14.25" customHeight="1">
      <c r="A671" s="17"/>
      <c r="G671" s="18"/>
    </row>
    <row r="672" spans="1:7" ht="14.25" customHeight="1">
      <c r="A672" s="17"/>
      <c r="G672" s="18"/>
    </row>
    <row r="673" spans="1:7" ht="14.25" customHeight="1">
      <c r="A673" s="17"/>
      <c r="G673" s="18"/>
    </row>
    <row r="674" spans="1:7" ht="14.25" customHeight="1">
      <c r="A674" s="17"/>
      <c r="G674" s="18"/>
    </row>
    <row r="675" spans="1:7" ht="14.25" customHeight="1">
      <c r="A675" s="17"/>
      <c r="G675" s="18"/>
    </row>
    <row r="676" spans="1:7" ht="14.25" customHeight="1">
      <c r="A676" s="17"/>
      <c r="G676" s="18"/>
    </row>
    <row r="677" spans="1:7" ht="14.25" customHeight="1">
      <c r="A677" s="17"/>
      <c r="G677" s="18"/>
    </row>
    <row r="678" spans="1:7" ht="14.25" customHeight="1">
      <c r="A678" s="17"/>
      <c r="G678" s="18"/>
    </row>
    <row r="679" spans="1:7" ht="14.25" customHeight="1">
      <c r="A679" s="17"/>
      <c r="G679" s="18"/>
    </row>
    <row r="680" spans="1:7" ht="14.25" customHeight="1">
      <c r="A680" s="17"/>
      <c r="G680" s="18"/>
    </row>
    <row r="681" spans="1:7" ht="14.25" customHeight="1">
      <c r="A681" s="17"/>
      <c r="G681" s="18"/>
    </row>
    <row r="682" spans="1:7" ht="14.25" customHeight="1">
      <c r="A682" s="17"/>
      <c r="G682" s="18"/>
    </row>
    <row r="683" spans="1:7" ht="14.25" customHeight="1">
      <c r="A683" s="17"/>
      <c r="G683" s="18"/>
    </row>
    <row r="684" spans="1:7" ht="14.25" customHeight="1">
      <c r="A684" s="17"/>
      <c r="G684" s="18"/>
    </row>
    <row r="685" spans="1:7" ht="14.25" customHeight="1">
      <c r="A685" s="17"/>
      <c r="G685" s="18"/>
    </row>
    <row r="686" spans="1:7" ht="14.25" customHeight="1">
      <c r="A686" s="17"/>
      <c r="G686" s="18"/>
    </row>
    <row r="687" spans="1:7" ht="14.25" customHeight="1">
      <c r="A687" s="17"/>
      <c r="G687" s="18"/>
    </row>
    <row r="688" spans="1:7" ht="14.25" customHeight="1">
      <c r="A688" s="17"/>
      <c r="G688" s="18"/>
    </row>
    <row r="689" spans="1:7" ht="14.25" customHeight="1">
      <c r="A689" s="17"/>
      <c r="G689" s="18"/>
    </row>
    <row r="690" spans="1:7" ht="14.25" customHeight="1">
      <c r="A690" s="17"/>
      <c r="G690" s="18"/>
    </row>
    <row r="691" spans="1:7" ht="14.25" customHeight="1">
      <c r="A691" s="17"/>
      <c r="G691" s="18"/>
    </row>
    <row r="692" spans="1:7" ht="14.25" customHeight="1">
      <c r="A692" s="17"/>
      <c r="G692" s="18"/>
    </row>
    <row r="693" spans="1:7" ht="14.25" customHeight="1">
      <c r="A693" s="17"/>
      <c r="G693" s="18"/>
    </row>
    <row r="694" spans="1:7" ht="14.25" customHeight="1">
      <c r="A694" s="17"/>
      <c r="G694" s="18"/>
    </row>
    <row r="695" spans="1:7" ht="14.25" customHeight="1">
      <c r="A695" s="17"/>
      <c r="G695" s="18"/>
    </row>
    <row r="696" spans="1:7" ht="14.25" customHeight="1">
      <c r="A696" s="17"/>
      <c r="G696" s="18"/>
    </row>
    <row r="697" spans="1:7" ht="14.25" customHeight="1">
      <c r="A697" s="17"/>
      <c r="G697" s="18"/>
    </row>
    <row r="698" spans="1:7" ht="14.25" customHeight="1">
      <c r="A698" s="17"/>
      <c r="G698" s="18"/>
    </row>
    <row r="699" spans="1:7" ht="14.25" customHeight="1">
      <c r="A699" s="17"/>
      <c r="G699" s="18"/>
    </row>
    <row r="700" spans="1:7" ht="14.25" customHeight="1">
      <c r="A700" s="17"/>
      <c r="G700" s="18"/>
    </row>
    <row r="701" spans="1:7" ht="14.25" customHeight="1">
      <c r="A701" s="17"/>
      <c r="G701" s="18"/>
    </row>
    <row r="702" spans="1:7" ht="14.25" customHeight="1">
      <c r="A702" s="17"/>
      <c r="G702" s="18"/>
    </row>
    <row r="703" spans="1:7" ht="14.25" customHeight="1">
      <c r="A703" s="17"/>
      <c r="G703" s="18"/>
    </row>
    <row r="704" spans="1:7" ht="14.25" customHeight="1">
      <c r="A704" s="17"/>
      <c r="G704" s="18"/>
    </row>
    <row r="705" spans="1:7" ht="14.25" customHeight="1">
      <c r="A705" s="17"/>
      <c r="G705" s="18"/>
    </row>
    <row r="706" spans="1:7" ht="14.25" customHeight="1">
      <c r="A706" s="17"/>
      <c r="G706" s="18"/>
    </row>
    <row r="707" spans="1:7" ht="14.25" customHeight="1">
      <c r="A707" s="17"/>
      <c r="G707" s="18"/>
    </row>
    <row r="708" spans="1:7" ht="14.25" customHeight="1">
      <c r="A708" s="17"/>
      <c r="G708" s="18"/>
    </row>
    <row r="709" spans="1:7" ht="14.25" customHeight="1">
      <c r="A709" s="17"/>
      <c r="G709" s="18"/>
    </row>
    <row r="710" spans="1:7" ht="14.25" customHeight="1">
      <c r="A710" s="17"/>
      <c r="G710" s="18"/>
    </row>
    <row r="711" spans="1:7" ht="14.25" customHeight="1">
      <c r="A711" s="17"/>
      <c r="G711" s="18"/>
    </row>
    <row r="712" spans="1:7" ht="14.25" customHeight="1">
      <c r="A712" s="17"/>
      <c r="G712" s="18"/>
    </row>
    <row r="713" spans="1:7" ht="14.25" customHeight="1">
      <c r="A713" s="17"/>
      <c r="G713" s="18"/>
    </row>
    <row r="714" spans="1:7" ht="14.25" customHeight="1">
      <c r="A714" s="17"/>
      <c r="G714" s="18"/>
    </row>
    <row r="715" spans="1:7" ht="14.25" customHeight="1">
      <c r="A715" s="17"/>
      <c r="G715" s="18"/>
    </row>
    <row r="716" spans="1:7" ht="14.25" customHeight="1">
      <c r="A716" s="17"/>
      <c r="G716" s="18"/>
    </row>
    <row r="717" spans="1:7" ht="14.25" customHeight="1">
      <c r="A717" s="17"/>
      <c r="G717" s="18"/>
    </row>
    <row r="718" spans="1:7" ht="14.25" customHeight="1">
      <c r="A718" s="17"/>
      <c r="G718" s="18"/>
    </row>
    <row r="719" spans="1:7" ht="14.25" customHeight="1">
      <c r="A719" s="17"/>
      <c r="G719" s="18"/>
    </row>
    <row r="720" spans="1:7" ht="14.25" customHeight="1">
      <c r="A720" s="17"/>
      <c r="G720" s="18"/>
    </row>
    <row r="721" spans="1:7" ht="14.25" customHeight="1">
      <c r="A721" s="17"/>
      <c r="G721" s="18"/>
    </row>
    <row r="722" spans="1:7" ht="14.25" customHeight="1">
      <c r="A722" s="17"/>
      <c r="G722" s="18"/>
    </row>
    <row r="723" spans="1:7" ht="14.25" customHeight="1">
      <c r="A723" s="17"/>
      <c r="G723" s="18"/>
    </row>
    <row r="724" spans="1:7" ht="14.25" customHeight="1">
      <c r="A724" s="17"/>
      <c r="G724" s="18"/>
    </row>
    <row r="725" spans="1:7" ht="14.25" customHeight="1">
      <c r="A725" s="17"/>
      <c r="G725" s="18"/>
    </row>
    <row r="726" spans="1:7" ht="14.25" customHeight="1">
      <c r="A726" s="17"/>
      <c r="G726" s="18"/>
    </row>
    <row r="727" spans="1:7" ht="14.25" customHeight="1">
      <c r="A727" s="17"/>
      <c r="G727" s="18"/>
    </row>
    <row r="728" spans="1:7" ht="14.25" customHeight="1">
      <c r="A728" s="17"/>
      <c r="G728" s="18"/>
    </row>
    <row r="729" spans="1:7" ht="14.25" customHeight="1">
      <c r="A729" s="17"/>
      <c r="G729" s="18"/>
    </row>
    <row r="730" spans="1:7" ht="14.25" customHeight="1">
      <c r="A730" s="17"/>
      <c r="G730" s="18"/>
    </row>
    <row r="731" spans="1:7" ht="14.25" customHeight="1">
      <c r="A731" s="17"/>
      <c r="G731" s="18"/>
    </row>
    <row r="732" spans="1:7" ht="14.25" customHeight="1">
      <c r="A732" s="17"/>
      <c r="G732" s="18"/>
    </row>
    <row r="733" spans="1:7" ht="14.25" customHeight="1">
      <c r="A733" s="17"/>
      <c r="G733" s="18"/>
    </row>
    <row r="734" spans="1:7" ht="14.25" customHeight="1">
      <c r="A734" s="17"/>
      <c r="G734" s="18"/>
    </row>
    <row r="735" spans="1:7" ht="14.25" customHeight="1">
      <c r="A735" s="17"/>
      <c r="G735" s="18"/>
    </row>
    <row r="736" spans="1:7" ht="14.25" customHeight="1">
      <c r="A736" s="17"/>
      <c r="G736" s="18"/>
    </row>
    <row r="737" spans="1:7" ht="14.25" customHeight="1">
      <c r="A737" s="17"/>
      <c r="G737" s="18"/>
    </row>
    <row r="738" spans="1:7" ht="14.25" customHeight="1">
      <c r="A738" s="17"/>
      <c r="G738" s="18"/>
    </row>
    <row r="739" spans="1:7" ht="14.25" customHeight="1">
      <c r="A739" s="17"/>
      <c r="G739" s="18"/>
    </row>
    <row r="740" spans="1:7" ht="14.25" customHeight="1">
      <c r="A740" s="17"/>
      <c r="G740" s="18"/>
    </row>
    <row r="741" spans="1:7" ht="14.25" customHeight="1">
      <c r="A741" s="17"/>
      <c r="G741" s="18"/>
    </row>
    <row r="742" spans="1:7" ht="14.25" customHeight="1">
      <c r="A742" s="17"/>
      <c r="G742" s="18"/>
    </row>
    <row r="743" spans="1:7" ht="14.25" customHeight="1">
      <c r="A743" s="17"/>
      <c r="G743" s="18"/>
    </row>
    <row r="744" spans="1:7" ht="14.25" customHeight="1">
      <c r="A744" s="17"/>
      <c r="G744" s="18"/>
    </row>
    <row r="745" spans="1:7" ht="14.25" customHeight="1">
      <c r="A745" s="17"/>
      <c r="G745" s="18"/>
    </row>
    <row r="746" spans="1:7" ht="14.25" customHeight="1">
      <c r="A746" s="17"/>
      <c r="G746" s="18"/>
    </row>
    <row r="747" spans="1:7" ht="14.25" customHeight="1">
      <c r="A747" s="17"/>
      <c r="G747" s="18"/>
    </row>
    <row r="748" spans="1:7" ht="14.25" customHeight="1">
      <c r="A748" s="17"/>
      <c r="G748" s="18"/>
    </row>
    <row r="749" spans="1:7" ht="14.25" customHeight="1">
      <c r="A749" s="17"/>
      <c r="G749" s="18"/>
    </row>
    <row r="750" spans="1:7" ht="14.25" customHeight="1">
      <c r="A750" s="17"/>
      <c r="G750" s="18"/>
    </row>
    <row r="751" spans="1:7" ht="14.25" customHeight="1">
      <c r="A751" s="17"/>
      <c r="G751" s="18"/>
    </row>
    <row r="752" spans="1:7" ht="14.25" customHeight="1">
      <c r="A752" s="17"/>
      <c r="G752" s="18"/>
    </row>
    <row r="753" spans="1:7" ht="14.25" customHeight="1">
      <c r="A753" s="17"/>
      <c r="G753" s="18"/>
    </row>
    <row r="754" spans="1:7" ht="14.25" customHeight="1">
      <c r="A754" s="17"/>
      <c r="G754" s="18"/>
    </row>
    <row r="755" spans="1:7" ht="14.25" customHeight="1">
      <c r="A755" s="17"/>
      <c r="G755" s="18"/>
    </row>
    <row r="756" spans="1:7" ht="14.25" customHeight="1">
      <c r="A756" s="17"/>
      <c r="G756" s="18"/>
    </row>
    <row r="757" spans="1:7" ht="14.25" customHeight="1">
      <c r="A757" s="17"/>
      <c r="G757" s="18"/>
    </row>
    <row r="758" spans="1:7" ht="14.25" customHeight="1">
      <c r="A758" s="17"/>
      <c r="G758" s="18"/>
    </row>
    <row r="759" spans="1:7" ht="14.25" customHeight="1">
      <c r="A759" s="17"/>
      <c r="G759" s="18"/>
    </row>
    <row r="760" spans="1:7" ht="14.25" customHeight="1">
      <c r="A760" s="17"/>
      <c r="G760" s="18"/>
    </row>
    <row r="761" spans="1:7" ht="14.25" customHeight="1">
      <c r="A761" s="17"/>
      <c r="G761" s="18"/>
    </row>
    <row r="762" spans="1:7" ht="14.25" customHeight="1">
      <c r="A762" s="17"/>
      <c r="G762" s="18"/>
    </row>
    <row r="763" spans="1:7" ht="14.25" customHeight="1">
      <c r="A763" s="17"/>
      <c r="G763" s="18"/>
    </row>
    <row r="764" spans="1:7" ht="14.25" customHeight="1">
      <c r="A764" s="17"/>
      <c r="G764" s="18"/>
    </row>
    <row r="765" spans="1:7" ht="14.25" customHeight="1">
      <c r="A765" s="17"/>
      <c r="G765" s="18"/>
    </row>
    <row r="766" spans="1:7" ht="14.25" customHeight="1">
      <c r="A766" s="17"/>
      <c r="G766" s="18"/>
    </row>
    <row r="767" spans="1:7" ht="14.25" customHeight="1">
      <c r="A767" s="17"/>
      <c r="G767" s="18"/>
    </row>
    <row r="768" spans="1:7" ht="14.25" customHeight="1">
      <c r="A768" s="17"/>
      <c r="G768" s="18"/>
    </row>
    <row r="769" spans="1:7" ht="14.25" customHeight="1">
      <c r="A769" s="17"/>
      <c r="G769" s="18"/>
    </row>
    <row r="770" spans="1:7" ht="14.25" customHeight="1">
      <c r="A770" s="17"/>
      <c r="G770" s="18"/>
    </row>
    <row r="771" spans="1:7" ht="14.25" customHeight="1">
      <c r="A771" s="17"/>
      <c r="G771" s="18"/>
    </row>
    <row r="772" spans="1:7" ht="14.25" customHeight="1">
      <c r="A772" s="17"/>
      <c r="G772" s="18"/>
    </row>
    <row r="773" spans="1:7" ht="14.25" customHeight="1">
      <c r="A773" s="17"/>
      <c r="G773" s="18"/>
    </row>
    <row r="774" spans="1:7" ht="14.25" customHeight="1">
      <c r="A774" s="17"/>
      <c r="G774" s="18"/>
    </row>
    <row r="775" spans="1:7" ht="14.25" customHeight="1">
      <c r="A775" s="17"/>
      <c r="G775" s="18"/>
    </row>
    <row r="776" spans="1:7" ht="14.25" customHeight="1">
      <c r="A776" s="17"/>
      <c r="G776" s="18"/>
    </row>
    <row r="777" spans="1:7" ht="14.25" customHeight="1">
      <c r="A777" s="17"/>
      <c r="G777" s="18"/>
    </row>
    <row r="778" spans="1:7" ht="14.25" customHeight="1">
      <c r="A778" s="17"/>
      <c r="G778" s="18"/>
    </row>
    <row r="779" spans="1:7" ht="14.25" customHeight="1">
      <c r="A779" s="17"/>
      <c r="G779" s="18"/>
    </row>
    <row r="780" spans="1:7" ht="14.25" customHeight="1">
      <c r="A780" s="17"/>
      <c r="G780" s="18"/>
    </row>
    <row r="781" spans="1:7" ht="14.25" customHeight="1">
      <c r="A781" s="17"/>
      <c r="G781" s="18"/>
    </row>
    <row r="782" spans="1:7" ht="14.25" customHeight="1">
      <c r="A782" s="17"/>
      <c r="G782" s="18"/>
    </row>
    <row r="783" spans="1:7" ht="14.25" customHeight="1">
      <c r="A783" s="17"/>
      <c r="G783" s="18"/>
    </row>
    <row r="784" spans="1:7" ht="14.25" customHeight="1">
      <c r="A784" s="17"/>
      <c r="G784" s="18"/>
    </row>
    <row r="785" spans="1:7" ht="14.25" customHeight="1">
      <c r="A785" s="17"/>
      <c r="G785" s="18"/>
    </row>
    <row r="786" spans="1:7" ht="14.25" customHeight="1">
      <c r="A786" s="17"/>
      <c r="G786" s="18"/>
    </row>
    <row r="787" spans="1:7" ht="14.25" customHeight="1">
      <c r="A787" s="17"/>
      <c r="G787" s="18"/>
    </row>
    <row r="788" spans="1:7" ht="14.25" customHeight="1">
      <c r="A788" s="17"/>
      <c r="G788" s="18"/>
    </row>
    <row r="789" spans="1:7" ht="14.25" customHeight="1">
      <c r="A789" s="17"/>
      <c r="G789" s="18"/>
    </row>
    <row r="790" spans="1:7" ht="14.25" customHeight="1">
      <c r="A790" s="17"/>
      <c r="G790" s="18"/>
    </row>
    <row r="791" spans="1:7" ht="14.25" customHeight="1">
      <c r="A791" s="17"/>
      <c r="G791" s="18"/>
    </row>
    <row r="792" spans="1:7" ht="14.25" customHeight="1">
      <c r="A792" s="17"/>
      <c r="G792" s="18"/>
    </row>
    <row r="793" spans="1:7" ht="14.25" customHeight="1">
      <c r="A793" s="17"/>
      <c r="G793" s="18"/>
    </row>
    <row r="794" spans="1:7" ht="14.25" customHeight="1">
      <c r="A794" s="17"/>
      <c r="G794" s="18"/>
    </row>
    <row r="795" spans="1:7" ht="14.25" customHeight="1">
      <c r="A795" s="17"/>
      <c r="G795" s="18"/>
    </row>
    <row r="796" spans="1:7" ht="14.25" customHeight="1">
      <c r="A796" s="17"/>
      <c r="G796" s="18"/>
    </row>
    <row r="797" spans="1:7" ht="14.25" customHeight="1">
      <c r="A797" s="17"/>
      <c r="G797" s="18"/>
    </row>
    <row r="798" spans="1:7" ht="14.25" customHeight="1">
      <c r="A798" s="17"/>
      <c r="G798" s="18"/>
    </row>
    <row r="799" spans="1:7" ht="14.25" customHeight="1">
      <c r="A799" s="17"/>
      <c r="G799" s="18"/>
    </row>
    <row r="800" spans="1:7" ht="14.25" customHeight="1">
      <c r="A800" s="17"/>
      <c r="G800" s="18"/>
    </row>
    <row r="801" spans="1:7" ht="14.25" customHeight="1">
      <c r="A801" s="17"/>
      <c r="G801" s="18"/>
    </row>
    <row r="802" spans="1:7" ht="14.25" customHeight="1">
      <c r="A802" s="17"/>
      <c r="G802" s="18"/>
    </row>
    <row r="803" spans="1:7" ht="14.25" customHeight="1">
      <c r="A803" s="17"/>
      <c r="G803" s="18"/>
    </row>
    <row r="804" spans="1:7" ht="14.25" customHeight="1">
      <c r="A804" s="17"/>
      <c r="G804" s="18"/>
    </row>
    <row r="805" spans="1:7" ht="14.25" customHeight="1">
      <c r="A805" s="17"/>
      <c r="G805" s="18"/>
    </row>
    <row r="806" spans="1:7" ht="14.25" customHeight="1">
      <c r="A806" s="17"/>
      <c r="G806" s="18"/>
    </row>
    <row r="807" spans="1:7" ht="14.25" customHeight="1">
      <c r="A807" s="17"/>
      <c r="G807" s="18"/>
    </row>
    <row r="808" spans="1:7" ht="14.25" customHeight="1">
      <c r="A808" s="17"/>
      <c r="G808" s="18"/>
    </row>
    <row r="809" spans="1:7" ht="14.25" customHeight="1">
      <c r="A809" s="17"/>
      <c r="G809" s="18"/>
    </row>
    <row r="810" spans="1:7" ht="14.25" customHeight="1">
      <c r="A810" s="17"/>
      <c r="G810" s="18"/>
    </row>
    <row r="811" spans="1:7" ht="14.25" customHeight="1">
      <c r="A811" s="17"/>
      <c r="G811" s="18"/>
    </row>
    <row r="812" spans="1:7" ht="14.25" customHeight="1">
      <c r="A812" s="17"/>
      <c r="G812" s="18"/>
    </row>
    <row r="813" spans="1:7" ht="14.25" customHeight="1">
      <c r="A813" s="17"/>
      <c r="G813" s="18"/>
    </row>
    <row r="814" spans="1:7" ht="14.25" customHeight="1">
      <c r="A814" s="17"/>
      <c r="G814" s="18"/>
    </row>
    <row r="815" spans="1:7" ht="14.25" customHeight="1">
      <c r="A815" s="17"/>
      <c r="G815" s="18"/>
    </row>
    <row r="816" spans="1:7" ht="14.25" customHeight="1">
      <c r="A816" s="17"/>
      <c r="G816" s="18"/>
    </row>
    <row r="817" spans="1:7" ht="14.25" customHeight="1">
      <c r="A817" s="17"/>
      <c r="G817" s="18"/>
    </row>
    <row r="818" spans="1:7" ht="14.25" customHeight="1">
      <c r="A818" s="17"/>
      <c r="G818" s="18"/>
    </row>
    <row r="819" spans="1:7" ht="14.25" customHeight="1">
      <c r="A819" s="17"/>
      <c r="G819" s="18"/>
    </row>
    <row r="820" spans="1:7" ht="14.25" customHeight="1">
      <c r="A820" s="17"/>
      <c r="G820" s="18"/>
    </row>
    <row r="821" spans="1:7" ht="14.25" customHeight="1">
      <c r="A821" s="17"/>
      <c r="G821" s="18"/>
    </row>
    <row r="822" spans="1:7" ht="14.25" customHeight="1">
      <c r="A822" s="17"/>
      <c r="G822" s="18"/>
    </row>
    <row r="823" spans="1:7" ht="14.25" customHeight="1">
      <c r="A823" s="17"/>
      <c r="G823" s="18"/>
    </row>
    <row r="824" spans="1:7" ht="14.25" customHeight="1">
      <c r="A824" s="17"/>
      <c r="G824" s="18"/>
    </row>
    <row r="825" spans="1:7" ht="14.25" customHeight="1">
      <c r="A825" s="17"/>
      <c r="G825" s="18"/>
    </row>
    <row r="826" spans="1:7" ht="14.25" customHeight="1">
      <c r="A826" s="17"/>
      <c r="G826" s="18"/>
    </row>
    <row r="827" spans="1:7" ht="14.25" customHeight="1">
      <c r="A827" s="17"/>
      <c r="G827" s="18"/>
    </row>
    <row r="828" spans="1:7" ht="14.25" customHeight="1">
      <c r="A828" s="17"/>
      <c r="G828" s="18"/>
    </row>
    <row r="829" spans="1:7" ht="14.25" customHeight="1">
      <c r="A829" s="17"/>
      <c r="G829" s="18"/>
    </row>
    <row r="830" spans="1:7" ht="14.25" customHeight="1">
      <c r="A830" s="17"/>
      <c r="G830" s="18"/>
    </row>
    <row r="831" spans="1:7" ht="14.25" customHeight="1">
      <c r="A831" s="17"/>
      <c r="G831" s="18"/>
    </row>
    <row r="832" spans="1:7" ht="14.25" customHeight="1">
      <c r="A832" s="17"/>
      <c r="G832" s="18"/>
    </row>
    <row r="833" spans="1:7" ht="14.25" customHeight="1">
      <c r="A833" s="17"/>
      <c r="G833" s="18"/>
    </row>
    <row r="834" spans="1:7" ht="14.25" customHeight="1">
      <c r="A834" s="17"/>
      <c r="G834" s="18"/>
    </row>
    <row r="835" spans="1:7" ht="14.25" customHeight="1">
      <c r="A835" s="17"/>
      <c r="G835" s="18"/>
    </row>
    <row r="836" spans="1:7" ht="14.25" customHeight="1">
      <c r="A836" s="17"/>
      <c r="G836" s="18"/>
    </row>
    <row r="837" spans="1:7" ht="14.25" customHeight="1">
      <c r="A837" s="17"/>
      <c r="G837" s="18"/>
    </row>
    <row r="838" spans="1:7" ht="14.25" customHeight="1">
      <c r="A838" s="17"/>
      <c r="G838" s="18"/>
    </row>
    <row r="839" spans="1:7" ht="14.25" customHeight="1">
      <c r="A839" s="17"/>
      <c r="G839" s="18"/>
    </row>
    <row r="840" spans="1:7" ht="14.25" customHeight="1">
      <c r="A840" s="17"/>
      <c r="G840" s="18"/>
    </row>
    <row r="841" spans="1:7" ht="14.25" customHeight="1">
      <c r="A841" s="17"/>
      <c r="G841" s="18"/>
    </row>
    <row r="842" spans="1:7" ht="14.25" customHeight="1">
      <c r="A842" s="17"/>
      <c r="G842" s="18"/>
    </row>
    <row r="843" spans="1:7" ht="14.25" customHeight="1">
      <c r="A843" s="17"/>
      <c r="G843" s="18"/>
    </row>
    <row r="844" spans="1:7" ht="14.25" customHeight="1">
      <c r="A844" s="17"/>
      <c r="G844" s="18"/>
    </row>
    <row r="845" spans="1:7" ht="14.25" customHeight="1">
      <c r="A845" s="17"/>
      <c r="G845" s="18"/>
    </row>
    <row r="846" spans="1:7" ht="14.25" customHeight="1">
      <c r="A846" s="17"/>
      <c r="G846" s="18"/>
    </row>
    <row r="847" spans="1:7" ht="14.25" customHeight="1">
      <c r="A847" s="17"/>
      <c r="G847" s="18"/>
    </row>
    <row r="848" spans="1:7" ht="14.25" customHeight="1">
      <c r="A848" s="17"/>
      <c r="G848" s="18"/>
    </row>
    <row r="849" spans="1:7" ht="14.25" customHeight="1">
      <c r="A849" s="17"/>
      <c r="G849" s="18"/>
    </row>
    <row r="850" spans="1:7" ht="14.25" customHeight="1">
      <c r="A850" s="17"/>
      <c r="G850" s="18"/>
    </row>
    <row r="851" spans="1:7" ht="14.25" customHeight="1">
      <c r="A851" s="17"/>
      <c r="G851" s="18"/>
    </row>
    <row r="852" spans="1:7" ht="14.25" customHeight="1">
      <c r="A852" s="17"/>
      <c r="G852" s="18"/>
    </row>
    <row r="853" spans="1:7" ht="14.25" customHeight="1">
      <c r="A853" s="17"/>
      <c r="G853" s="18"/>
    </row>
    <row r="854" spans="1:7" ht="14.25" customHeight="1">
      <c r="A854" s="17"/>
      <c r="G854" s="18"/>
    </row>
    <row r="855" spans="1:7" ht="14.25" customHeight="1">
      <c r="A855" s="17"/>
      <c r="G855" s="18"/>
    </row>
    <row r="856" spans="1:7" ht="14.25" customHeight="1">
      <c r="A856" s="17"/>
      <c r="G856" s="18"/>
    </row>
    <row r="857" spans="1:7" ht="14.25" customHeight="1">
      <c r="A857" s="17"/>
      <c r="G857" s="18"/>
    </row>
    <row r="858" spans="1:7" ht="14.25" customHeight="1">
      <c r="A858" s="17"/>
      <c r="G858" s="18"/>
    </row>
    <row r="859" spans="1:7" ht="14.25" customHeight="1">
      <c r="A859" s="17"/>
      <c r="G859" s="18"/>
    </row>
    <row r="860" spans="1:7" ht="14.25" customHeight="1">
      <c r="A860" s="17"/>
      <c r="G860" s="18"/>
    </row>
    <row r="861" spans="1:7" ht="14.25" customHeight="1">
      <c r="A861" s="17"/>
      <c r="G861" s="18"/>
    </row>
    <row r="862" spans="1:7" ht="14.25" customHeight="1">
      <c r="A862" s="17"/>
      <c r="G862" s="18"/>
    </row>
    <row r="863" spans="1:7" ht="14.25" customHeight="1">
      <c r="A863" s="17"/>
      <c r="G863" s="18"/>
    </row>
    <row r="864" spans="1:7" ht="14.25" customHeight="1">
      <c r="A864" s="17"/>
      <c r="G864" s="18"/>
    </row>
    <row r="865" spans="1:7" ht="14.25" customHeight="1">
      <c r="A865" s="17"/>
      <c r="G865" s="18"/>
    </row>
    <row r="866" spans="1:7" ht="14.25" customHeight="1">
      <c r="A866" s="17"/>
      <c r="G866" s="18"/>
    </row>
    <row r="867" spans="1:7" ht="14.25" customHeight="1">
      <c r="A867" s="17"/>
      <c r="G867" s="18"/>
    </row>
    <row r="868" spans="1:7" ht="14.25" customHeight="1">
      <c r="A868" s="17"/>
      <c r="G868" s="18"/>
    </row>
    <row r="869" spans="1:7" ht="14.25" customHeight="1">
      <c r="A869" s="17"/>
      <c r="G869" s="18"/>
    </row>
    <row r="870" spans="1:7" ht="14.25" customHeight="1">
      <c r="A870" s="17"/>
      <c r="G870" s="18"/>
    </row>
    <row r="871" spans="1:7" ht="14.25" customHeight="1">
      <c r="A871" s="17"/>
      <c r="G871" s="18"/>
    </row>
    <row r="872" spans="1:7" ht="14.25" customHeight="1">
      <c r="A872" s="17"/>
      <c r="G872" s="18"/>
    </row>
    <row r="873" spans="1:7" ht="14.25" customHeight="1">
      <c r="A873" s="17"/>
      <c r="G873" s="18"/>
    </row>
    <row r="874" spans="1:7" ht="14.25" customHeight="1">
      <c r="A874" s="17"/>
      <c r="G874" s="18"/>
    </row>
    <row r="875" spans="1:7" ht="14.25" customHeight="1">
      <c r="A875" s="17"/>
      <c r="G875" s="18"/>
    </row>
    <row r="876" spans="1:7" ht="14.25" customHeight="1">
      <c r="A876" s="17"/>
      <c r="G876" s="18"/>
    </row>
    <row r="877" spans="1:7" ht="14.25" customHeight="1">
      <c r="A877" s="17"/>
      <c r="G877" s="18"/>
    </row>
    <row r="878" spans="1:7" ht="14.25" customHeight="1">
      <c r="A878" s="17"/>
      <c r="G878" s="18"/>
    </row>
    <row r="879" spans="1:7" ht="14.25" customHeight="1">
      <c r="A879" s="17"/>
      <c r="G879" s="18"/>
    </row>
    <row r="880" spans="1:7" ht="14.25" customHeight="1">
      <c r="A880" s="17"/>
      <c r="G880" s="18"/>
    </row>
    <row r="881" spans="1:7" ht="14.25" customHeight="1">
      <c r="A881" s="17"/>
      <c r="G881" s="18"/>
    </row>
    <row r="882" spans="1:7" ht="14.25" customHeight="1">
      <c r="A882" s="17"/>
      <c r="G882" s="18"/>
    </row>
    <row r="883" spans="1:7" ht="14.25" customHeight="1">
      <c r="A883" s="17"/>
      <c r="G883" s="18"/>
    </row>
    <row r="884" spans="1:7" ht="14.25" customHeight="1">
      <c r="A884" s="17"/>
      <c r="G884" s="18"/>
    </row>
    <row r="885" spans="1:7" ht="14.25" customHeight="1">
      <c r="A885" s="17"/>
      <c r="G885" s="18"/>
    </row>
    <row r="886" spans="1:7" ht="14.25" customHeight="1">
      <c r="A886" s="17"/>
      <c r="G886" s="18"/>
    </row>
    <row r="887" spans="1:7" ht="14.25" customHeight="1">
      <c r="A887" s="17"/>
      <c r="G887" s="18"/>
    </row>
    <row r="888" spans="1:7" ht="14.25" customHeight="1">
      <c r="A888" s="17"/>
      <c r="G888" s="18"/>
    </row>
    <row r="889" spans="1:7" ht="14.25" customHeight="1">
      <c r="A889" s="17"/>
      <c r="G889" s="18"/>
    </row>
    <row r="890" spans="1:7" ht="14.25" customHeight="1">
      <c r="A890" s="17"/>
      <c r="G890" s="18"/>
    </row>
    <row r="891" spans="1:7" ht="14.25" customHeight="1">
      <c r="A891" s="17"/>
      <c r="G891" s="18"/>
    </row>
    <row r="892" spans="1:7" ht="14.25" customHeight="1">
      <c r="A892" s="17"/>
      <c r="G892" s="18"/>
    </row>
    <row r="893" spans="1:7" ht="14.25" customHeight="1">
      <c r="A893" s="17"/>
      <c r="G893" s="18"/>
    </row>
    <row r="894" spans="1:7" ht="14.25" customHeight="1">
      <c r="A894" s="17"/>
      <c r="G894" s="18"/>
    </row>
    <row r="895" spans="1:7" ht="14.25" customHeight="1">
      <c r="A895" s="17"/>
      <c r="G895" s="18"/>
    </row>
    <row r="896" spans="1:7" ht="14.25" customHeight="1">
      <c r="A896" s="17"/>
      <c r="G896" s="18"/>
    </row>
    <row r="897" spans="1:7" ht="14.25" customHeight="1">
      <c r="A897" s="17"/>
      <c r="G897" s="18"/>
    </row>
    <row r="898" spans="1:7" ht="14.25" customHeight="1">
      <c r="A898" s="17"/>
      <c r="G898" s="18"/>
    </row>
    <row r="899" spans="1:7" ht="14.25" customHeight="1">
      <c r="A899" s="17"/>
      <c r="G899" s="18"/>
    </row>
    <row r="900" spans="1:7" ht="14.25" customHeight="1">
      <c r="A900" s="17"/>
      <c r="G900" s="18"/>
    </row>
    <row r="901" spans="1:7" ht="14.25" customHeight="1">
      <c r="A901" s="17"/>
      <c r="G901" s="18"/>
    </row>
    <row r="902" spans="1:7" ht="14.25" customHeight="1">
      <c r="A902" s="17"/>
      <c r="G902" s="18"/>
    </row>
    <row r="903" spans="1:7" ht="14.25" customHeight="1">
      <c r="A903" s="17"/>
      <c r="G903" s="18"/>
    </row>
    <row r="904" spans="1:7" ht="14.25" customHeight="1">
      <c r="A904" s="17"/>
      <c r="G904" s="18"/>
    </row>
    <row r="905" spans="1:7" ht="14.25" customHeight="1">
      <c r="A905" s="17"/>
      <c r="G905" s="18"/>
    </row>
    <row r="906" spans="1:7" ht="14.25" customHeight="1">
      <c r="A906" s="17"/>
      <c r="G906" s="18"/>
    </row>
    <row r="907" spans="1:7" ht="14.25" customHeight="1">
      <c r="A907" s="17"/>
      <c r="G907" s="18"/>
    </row>
    <row r="908" spans="1:7" ht="14.25" customHeight="1">
      <c r="A908" s="17"/>
      <c r="G908" s="18"/>
    </row>
    <row r="909" spans="1:7" ht="14.25" customHeight="1">
      <c r="A909" s="17"/>
      <c r="G909" s="18"/>
    </row>
    <row r="910" spans="1:7" ht="14.25" customHeight="1">
      <c r="A910" s="17"/>
      <c r="G910" s="18"/>
    </row>
    <row r="911" spans="1:7" ht="14.25" customHeight="1">
      <c r="A911" s="17"/>
      <c r="G911" s="18"/>
    </row>
    <row r="912" spans="1:7" ht="14.25" customHeight="1">
      <c r="A912" s="17"/>
      <c r="G912" s="18"/>
    </row>
    <row r="913" spans="1:7" ht="14.25" customHeight="1">
      <c r="A913" s="17"/>
      <c r="G913" s="18"/>
    </row>
    <row r="914" spans="1:7" ht="14.25" customHeight="1">
      <c r="A914" s="17"/>
      <c r="G914" s="18"/>
    </row>
    <row r="915" spans="1:7" ht="14.25" customHeight="1">
      <c r="A915" s="17"/>
      <c r="G915" s="18"/>
    </row>
    <row r="916" spans="1:7" ht="14.25" customHeight="1">
      <c r="A916" s="17"/>
      <c r="G916" s="18"/>
    </row>
    <row r="917" spans="1:7" ht="14.25" customHeight="1">
      <c r="A917" s="17"/>
      <c r="G917" s="18"/>
    </row>
    <row r="918" spans="1:7" ht="14.25" customHeight="1">
      <c r="A918" s="17"/>
      <c r="G918" s="18"/>
    </row>
    <row r="919" spans="1:7" ht="14.25" customHeight="1">
      <c r="A919" s="17"/>
      <c r="G919" s="18"/>
    </row>
    <row r="920" spans="1:7" ht="14.25" customHeight="1">
      <c r="A920" s="17"/>
      <c r="G920" s="18"/>
    </row>
    <row r="921" spans="1:7" ht="14.25" customHeight="1">
      <c r="A921" s="17"/>
      <c r="G921" s="18"/>
    </row>
    <row r="922" spans="1:7" ht="14.25" customHeight="1">
      <c r="A922" s="17"/>
      <c r="G922" s="18"/>
    </row>
    <row r="923" spans="1:7" ht="14.25" customHeight="1">
      <c r="A923" s="17"/>
      <c r="G923" s="18"/>
    </row>
    <row r="924" spans="1:7" ht="14.25" customHeight="1">
      <c r="A924" s="17"/>
      <c r="G924" s="18"/>
    </row>
    <row r="925" spans="1:7" ht="14.25" customHeight="1">
      <c r="A925" s="17"/>
      <c r="G925" s="18"/>
    </row>
    <row r="926" spans="1:7" ht="14.25" customHeight="1">
      <c r="A926" s="17"/>
      <c r="G926" s="18"/>
    </row>
    <row r="927" spans="1:7" ht="14.25" customHeight="1">
      <c r="A927" s="17"/>
      <c r="G927" s="18"/>
    </row>
    <row r="928" spans="1:7" ht="14.25" customHeight="1">
      <c r="A928" s="17"/>
      <c r="G928" s="18"/>
    </row>
    <row r="929" spans="1:7" ht="14.25" customHeight="1">
      <c r="A929" s="17"/>
      <c r="G929" s="18"/>
    </row>
    <row r="930" spans="1:7" ht="14.25" customHeight="1">
      <c r="A930" s="17"/>
      <c r="G930" s="18"/>
    </row>
    <row r="931" spans="1:7" ht="14.25" customHeight="1">
      <c r="A931" s="17"/>
      <c r="G931" s="18"/>
    </row>
    <row r="932" spans="1:7" ht="14.25" customHeight="1">
      <c r="A932" s="17"/>
      <c r="G932" s="18"/>
    </row>
    <row r="933" spans="1:7" ht="14.25" customHeight="1">
      <c r="A933" s="17"/>
      <c r="G933" s="18"/>
    </row>
    <row r="934" spans="1:7" ht="14.25" customHeight="1">
      <c r="A934" s="17"/>
      <c r="G934" s="18"/>
    </row>
    <row r="935" spans="1:7" ht="14.25" customHeight="1">
      <c r="A935" s="17"/>
      <c r="G935" s="18"/>
    </row>
    <row r="936" spans="1:7" ht="14.25" customHeight="1">
      <c r="A936" s="17"/>
      <c r="G936" s="18"/>
    </row>
    <row r="937" spans="1:7" ht="14.25" customHeight="1">
      <c r="A937" s="17"/>
      <c r="G937" s="18"/>
    </row>
    <row r="938" spans="1:7" ht="14.25" customHeight="1">
      <c r="A938" s="17"/>
      <c r="G938" s="18"/>
    </row>
    <row r="939" spans="1:7" ht="14.25" customHeight="1">
      <c r="A939" s="17"/>
      <c r="G939" s="18"/>
    </row>
    <row r="940" spans="1:7" ht="14.25" customHeight="1">
      <c r="A940" s="17"/>
      <c r="G940" s="18"/>
    </row>
    <row r="941" spans="1:7" ht="14.25" customHeight="1">
      <c r="A941" s="17"/>
      <c r="G941" s="18"/>
    </row>
    <row r="942" spans="1:7" ht="14.25" customHeight="1">
      <c r="A942" s="17"/>
      <c r="G942" s="18"/>
    </row>
    <row r="943" spans="1:7" ht="14.25" customHeight="1">
      <c r="A943" s="17"/>
      <c r="G943" s="18"/>
    </row>
    <row r="944" spans="1:7" ht="14.25" customHeight="1">
      <c r="A944" s="17"/>
      <c r="G944" s="18"/>
    </row>
    <row r="945" spans="1:7" ht="14.25" customHeight="1">
      <c r="A945" s="17"/>
      <c r="G945" s="18"/>
    </row>
    <row r="946" spans="1:7" ht="14.25" customHeight="1">
      <c r="A946" s="17"/>
      <c r="G946" s="18"/>
    </row>
    <row r="947" spans="1:7" ht="14.25" customHeight="1">
      <c r="A947" s="17"/>
      <c r="G947" s="18"/>
    </row>
    <row r="948" spans="1:7" ht="14.25" customHeight="1">
      <c r="A948" s="17"/>
      <c r="G948" s="18"/>
    </row>
    <row r="949" spans="1:7" ht="14.25" customHeight="1">
      <c r="A949" s="17"/>
      <c r="G949" s="18"/>
    </row>
    <row r="950" spans="1:7" ht="14.25" customHeight="1">
      <c r="A950" s="17"/>
      <c r="G950" s="18"/>
    </row>
    <row r="951" spans="1:7" ht="14.25" customHeight="1">
      <c r="A951" s="17"/>
      <c r="G951" s="18"/>
    </row>
    <row r="952" spans="1:7" ht="14.25" customHeight="1">
      <c r="A952" s="17"/>
      <c r="G952" s="18"/>
    </row>
    <row r="953" spans="1:7" ht="14.25" customHeight="1">
      <c r="A953" s="17"/>
      <c r="G953" s="18"/>
    </row>
    <row r="954" spans="1:7" ht="14.25" customHeight="1">
      <c r="A954" s="17"/>
      <c r="G954" s="18"/>
    </row>
    <row r="955" spans="1:7" ht="14.25" customHeight="1">
      <c r="A955" s="17"/>
      <c r="G955" s="18"/>
    </row>
    <row r="956" spans="1:7" ht="14.25" customHeight="1">
      <c r="A956" s="17"/>
      <c r="G956" s="18"/>
    </row>
    <row r="957" spans="1:7" ht="14.25" customHeight="1">
      <c r="A957" s="17"/>
      <c r="G957" s="18"/>
    </row>
    <row r="958" spans="1:7" ht="14.25" customHeight="1">
      <c r="A958" s="17"/>
      <c r="G958" s="18"/>
    </row>
    <row r="959" spans="1:7" ht="14.25" customHeight="1">
      <c r="A959" s="17"/>
      <c r="G959" s="18"/>
    </row>
    <row r="960" spans="1:7" ht="14.25" customHeight="1">
      <c r="A960" s="17"/>
      <c r="G960" s="18"/>
    </row>
    <row r="961" spans="1:7" ht="14.25" customHeight="1">
      <c r="A961" s="17"/>
      <c r="G961" s="18"/>
    </row>
    <row r="962" spans="1:7" ht="14.25" customHeight="1">
      <c r="A962" s="17"/>
      <c r="G962" s="18"/>
    </row>
    <row r="963" spans="1:7" ht="14.25" customHeight="1">
      <c r="A963" s="17"/>
      <c r="G963" s="18"/>
    </row>
    <row r="964" spans="1:7" ht="14.25" customHeight="1">
      <c r="A964" s="17"/>
      <c r="G964" s="18"/>
    </row>
    <row r="965" spans="1:7" ht="14.25" customHeight="1">
      <c r="A965" s="17"/>
      <c r="G965" s="18"/>
    </row>
    <row r="966" spans="1:7" ht="14.25" customHeight="1">
      <c r="A966" s="17"/>
      <c r="G966" s="18"/>
    </row>
    <row r="967" spans="1:7" ht="14.25" customHeight="1">
      <c r="A967" s="17"/>
      <c r="G967" s="18"/>
    </row>
    <row r="968" spans="1:7" ht="14.25" customHeight="1">
      <c r="A968" s="17"/>
      <c r="G968" s="18"/>
    </row>
    <row r="969" spans="1:7" ht="14.25" customHeight="1">
      <c r="A969" s="17"/>
      <c r="G969" s="18"/>
    </row>
  </sheetData>
  <mergeCells count="3">
    <mergeCell ref="J1:L1"/>
    <mergeCell ref="Q1:S1"/>
    <mergeCell ref="K31:L32"/>
  </mergeCells>
  <conditionalFormatting sqref="K4:O23">
    <cfRule type="cellIs" dxfId="8" priority="1" operator="lessThan">
      <formula>5</formula>
    </cfRule>
  </conditionalFormatting>
  <pageMargins left="0.7" right="0.7" top="0.75" bottom="0.75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xr:uid="{F57D9D89-042F-4EA4-BDAC-C5EA65FBD789}">
          <x14:formula1>
            <xm:f>DATA!$C:$C</xm:f>
          </x14:formula1>
          <xm:sqref>B2:B369</xm:sqref>
        </x14:dataValidation>
        <x14:dataValidation type="list" allowBlank="1" showErrorMessage="1" xr:uid="{5CCB049B-87A5-4767-A294-BC4C41B55A66}">
          <x14:formula1>
            <xm:f>DATA!$A$1:$A$24</xm:f>
          </x14:formula1>
          <xm:sqref>D2:D369</xm:sqref>
        </x14:dataValidation>
        <x14:dataValidation type="list" allowBlank="1" showErrorMessage="1" xr:uid="{A4D6F86C-07E7-4DA0-B029-A3ACB5B49E32}">
          <x14:formula1>
            <xm:f>DATA!$F:$F</xm:f>
          </x14:formula1>
          <xm:sqref>C2:C369</xm:sqref>
        </x14:dataValidation>
        <x14:dataValidation type="list" allowBlank="1" showInputMessage="1" showErrorMessage="1" xr:uid="{87BACCBF-FB99-4212-B9B5-84CAC53E9AFC}">
          <x14:formula1>
            <xm:f>DATA!$F:$F</xm:f>
          </x14:formula1>
          <xm:sqref>U4:U60</xm:sqref>
        </x14:dataValidation>
        <x14:dataValidation type="list" allowBlank="1" showInputMessage="1" showErrorMessage="1" xr:uid="{CA9A3DDE-6C21-4A6F-B658-A6A5F02D12F9}">
          <x14:formula1>
            <xm:f>DATA!$A:$A</xm:f>
          </x14:formula1>
          <xm:sqref>V4:V60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568F7-D5EB-40BB-8870-8858D0B0D973}">
  <sheetPr codeName="Sheet1"/>
  <dimension ref="A1:O969"/>
  <sheetViews>
    <sheetView zoomScale="72" zoomScaleNormal="72" workbookViewId="0">
      <pane ySplit="1" topLeftCell="A2" activePane="bottomLeft" state="frozen"/>
      <selection pane="bottomLeft" activeCell="F2" sqref="F2"/>
    </sheetView>
  </sheetViews>
  <sheetFormatPr defaultColWidth="14.453125" defaultRowHeight="15" customHeight="1"/>
  <cols>
    <col min="1" max="1" width="20.08984375" style="16" customWidth="1"/>
    <col min="2" max="2" width="17.453125" style="16" customWidth="1"/>
    <col min="3" max="3" width="21.26953125" style="16" customWidth="1"/>
    <col min="4" max="4" width="18.54296875" style="16" customWidth="1"/>
    <col min="5" max="5" width="7.7265625" style="16" customWidth="1"/>
    <col min="6" max="6" width="13.7265625" style="16" customWidth="1"/>
    <col min="7" max="12" width="7.7265625" style="16" customWidth="1"/>
    <col min="13" max="13" width="9.81640625" style="16" customWidth="1"/>
    <col min="16" max="16384" width="14.453125" style="16"/>
  </cols>
  <sheetData>
    <row r="1" spans="1:13" s="12" customFormat="1" ht="33.5" customHeight="1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>
        <v>12</v>
      </c>
      <c r="L1" s="10">
        <v>14</v>
      </c>
      <c r="M1" s="11" t="s">
        <v>10</v>
      </c>
    </row>
    <row r="2" spans="1:13" ht="14.25" customHeight="1">
      <c r="A2" s="51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5">
        <f t="shared" ref="M2:M65" si="0">SUM(F2:L2)</f>
        <v>0</v>
      </c>
    </row>
    <row r="3" spans="1:13" ht="14.25" customHeight="1">
      <c r="A3" s="13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5">
        <f t="shared" si="0"/>
        <v>0</v>
      </c>
    </row>
    <row r="4" spans="1:13" ht="14.25" customHeight="1">
      <c r="A4" s="1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5">
        <f t="shared" si="0"/>
        <v>0</v>
      </c>
    </row>
    <row r="5" spans="1:13" ht="14.25" customHeight="1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5">
        <f t="shared" si="0"/>
        <v>0</v>
      </c>
    </row>
    <row r="6" spans="1:13" ht="14.25" customHeight="1">
      <c r="A6" s="13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5">
        <f t="shared" si="0"/>
        <v>0</v>
      </c>
    </row>
    <row r="7" spans="1:13" ht="14.25" customHeight="1">
      <c r="A7" s="13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5">
        <f t="shared" si="0"/>
        <v>0</v>
      </c>
    </row>
    <row r="8" spans="1:13" ht="14.25" customHeight="1">
      <c r="A8" s="13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5">
        <f t="shared" si="0"/>
        <v>0</v>
      </c>
    </row>
    <row r="9" spans="1:13" ht="14.25" customHeight="1">
      <c r="A9" s="13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5">
        <f t="shared" si="0"/>
        <v>0</v>
      </c>
    </row>
    <row r="10" spans="1:13" ht="14.25" customHeight="1">
      <c r="A10" s="13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5">
        <f t="shared" si="0"/>
        <v>0</v>
      </c>
    </row>
    <row r="11" spans="1:13" ht="14.25" customHeight="1">
      <c r="A11" s="13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5">
        <f t="shared" si="0"/>
        <v>0</v>
      </c>
    </row>
    <row r="12" spans="1:13" ht="14.25" customHeight="1">
      <c r="A12" s="13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5">
        <f t="shared" si="0"/>
        <v>0</v>
      </c>
    </row>
    <row r="13" spans="1:13" ht="14.25" customHeight="1">
      <c r="A13" s="13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5">
        <f t="shared" si="0"/>
        <v>0</v>
      </c>
    </row>
    <row r="14" spans="1:13" ht="14.25" customHeight="1">
      <c r="A14" s="13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5">
        <f t="shared" si="0"/>
        <v>0</v>
      </c>
    </row>
    <row r="15" spans="1:13" ht="14.25" customHeight="1">
      <c r="A15" s="13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5">
        <f t="shared" si="0"/>
        <v>0</v>
      </c>
    </row>
    <row r="16" spans="1:13" ht="14.25" customHeight="1">
      <c r="A16" s="13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5">
        <f t="shared" si="0"/>
        <v>0</v>
      </c>
    </row>
    <row r="17" spans="1:13" ht="14.25" customHeight="1">
      <c r="A17" s="13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5">
        <f t="shared" si="0"/>
        <v>0</v>
      </c>
    </row>
    <row r="18" spans="1:13" ht="14.25" customHeight="1">
      <c r="A18" s="13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5">
        <f t="shared" si="0"/>
        <v>0</v>
      </c>
    </row>
    <row r="19" spans="1:13" ht="14.25" customHeight="1">
      <c r="A19" s="13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5">
        <f t="shared" si="0"/>
        <v>0</v>
      </c>
    </row>
    <row r="20" spans="1:13" ht="14.25" customHeight="1">
      <c r="A20" s="13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5">
        <f t="shared" si="0"/>
        <v>0</v>
      </c>
    </row>
    <row r="21" spans="1:13" ht="14.25" customHeight="1">
      <c r="A21" s="13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5">
        <f t="shared" si="0"/>
        <v>0</v>
      </c>
    </row>
    <row r="22" spans="1:13" ht="14.25" customHeight="1">
      <c r="A22" s="13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5">
        <f t="shared" si="0"/>
        <v>0</v>
      </c>
    </row>
    <row r="23" spans="1:13" ht="14.25" customHeight="1">
      <c r="A23" s="13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5">
        <f t="shared" si="0"/>
        <v>0</v>
      </c>
    </row>
    <row r="24" spans="1:13" ht="14.25" customHeight="1">
      <c r="A24" s="13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5">
        <f t="shared" si="0"/>
        <v>0</v>
      </c>
    </row>
    <row r="25" spans="1:13" ht="14.25" customHeight="1">
      <c r="A25" s="13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5">
        <f t="shared" si="0"/>
        <v>0</v>
      </c>
    </row>
    <row r="26" spans="1:13" ht="14.25" customHeight="1">
      <c r="A26" s="13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5">
        <f t="shared" si="0"/>
        <v>0</v>
      </c>
    </row>
    <row r="27" spans="1:13" ht="14.25" customHeight="1">
      <c r="A27" s="13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5">
        <f t="shared" si="0"/>
        <v>0</v>
      </c>
    </row>
    <row r="28" spans="1:13" ht="14.25" customHeight="1">
      <c r="A28" s="13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5">
        <f t="shared" si="0"/>
        <v>0</v>
      </c>
    </row>
    <row r="29" spans="1:13" ht="14.25" customHeight="1">
      <c r="A29" s="13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5">
        <f t="shared" si="0"/>
        <v>0</v>
      </c>
    </row>
    <row r="30" spans="1:13" ht="14.25" customHeight="1">
      <c r="A30" s="13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5">
        <f t="shared" si="0"/>
        <v>0</v>
      </c>
    </row>
    <row r="31" spans="1:13" ht="14.25" customHeight="1">
      <c r="A31" s="13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5">
        <f t="shared" si="0"/>
        <v>0</v>
      </c>
    </row>
    <row r="32" spans="1:13" ht="14.25" customHeight="1">
      <c r="A32" s="13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5">
        <f t="shared" si="0"/>
        <v>0</v>
      </c>
    </row>
    <row r="33" spans="1:13" ht="14.25" customHeight="1">
      <c r="A33" s="13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5">
        <f t="shared" si="0"/>
        <v>0</v>
      </c>
    </row>
    <row r="34" spans="1:13" ht="14.25" customHeight="1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5">
        <f t="shared" si="0"/>
        <v>0</v>
      </c>
    </row>
    <row r="35" spans="1:13" ht="14.25" customHeight="1">
      <c r="A35" s="13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5">
        <f t="shared" si="0"/>
        <v>0</v>
      </c>
    </row>
    <row r="36" spans="1:13" ht="14.25" customHeight="1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5">
        <f t="shared" si="0"/>
        <v>0</v>
      </c>
    </row>
    <row r="37" spans="1:13" ht="14.25" customHeight="1">
      <c r="A37" s="13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5">
        <f t="shared" si="0"/>
        <v>0</v>
      </c>
    </row>
    <row r="38" spans="1:13" ht="14.25" customHeight="1">
      <c r="A38" s="13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5">
        <f t="shared" si="0"/>
        <v>0</v>
      </c>
    </row>
    <row r="39" spans="1:13" ht="14.25" customHeight="1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5">
        <f t="shared" si="0"/>
        <v>0</v>
      </c>
    </row>
    <row r="40" spans="1:13" ht="14.25" customHeight="1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5">
        <f t="shared" si="0"/>
        <v>0</v>
      </c>
    </row>
    <row r="41" spans="1:13" ht="14.25" customHeight="1">
      <c r="A41" s="13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5">
        <f t="shared" si="0"/>
        <v>0</v>
      </c>
    </row>
    <row r="42" spans="1:13" ht="14.25" customHeight="1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5">
        <f t="shared" si="0"/>
        <v>0</v>
      </c>
    </row>
    <row r="43" spans="1:13" ht="14.25" customHeight="1">
      <c r="A43" s="13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5">
        <f t="shared" si="0"/>
        <v>0</v>
      </c>
    </row>
    <row r="44" spans="1:13" ht="14.25" customHeight="1">
      <c r="A44" s="13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5">
        <f t="shared" si="0"/>
        <v>0</v>
      </c>
    </row>
    <row r="45" spans="1:13" ht="14.25" customHeight="1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5">
        <f t="shared" si="0"/>
        <v>0</v>
      </c>
    </row>
    <row r="46" spans="1:13" ht="14.25" customHeight="1">
      <c r="A46" s="13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5">
        <f t="shared" si="0"/>
        <v>0</v>
      </c>
    </row>
    <row r="47" spans="1:13" ht="14.25" customHeight="1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5">
        <f t="shared" si="0"/>
        <v>0</v>
      </c>
    </row>
    <row r="48" spans="1:13" ht="14.25" customHeight="1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5">
        <f t="shared" si="0"/>
        <v>0</v>
      </c>
    </row>
    <row r="49" spans="1:13" ht="14.25" customHeight="1">
      <c r="A49" s="13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5">
        <f t="shared" si="0"/>
        <v>0</v>
      </c>
    </row>
    <row r="50" spans="1:13" ht="14.25" customHeight="1">
      <c r="A50" s="13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5">
        <f t="shared" si="0"/>
        <v>0</v>
      </c>
    </row>
    <row r="51" spans="1:13" ht="14.25" customHeight="1">
      <c r="A51" s="13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5">
        <f t="shared" si="0"/>
        <v>0</v>
      </c>
    </row>
    <row r="52" spans="1:13" ht="14.25" customHeight="1">
      <c r="A52" s="13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5">
        <f t="shared" si="0"/>
        <v>0</v>
      </c>
    </row>
    <row r="53" spans="1:13" ht="14.25" customHeight="1">
      <c r="A53" s="13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5">
        <f t="shared" si="0"/>
        <v>0</v>
      </c>
    </row>
    <row r="54" spans="1:13" ht="14.25" customHeight="1">
      <c r="A54" s="13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5">
        <f t="shared" si="0"/>
        <v>0</v>
      </c>
    </row>
    <row r="55" spans="1:13" ht="14.25" customHeight="1">
      <c r="A55" s="13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5">
        <f t="shared" si="0"/>
        <v>0</v>
      </c>
    </row>
    <row r="56" spans="1:13" ht="14.25" customHeight="1">
      <c r="A56" s="13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5">
        <f t="shared" si="0"/>
        <v>0</v>
      </c>
    </row>
    <row r="57" spans="1:13" ht="14.25" customHeight="1">
      <c r="A57" s="13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5">
        <f t="shared" si="0"/>
        <v>0</v>
      </c>
    </row>
    <row r="58" spans="1:13" ht="14.25" customHeight="1">
      <c r="A58" s="13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5">
        <f t="shared" si="0"/>
        <v>0</v>
      </c>
    </row>
    <row r="59" spans="1:13" ht="14.25" customHeight="1">
      <c r="A59" s="13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5">
        <f t="shared" si="0"/>
        <v>0</v>
      </c>
    </row>
    <row r="60" spans="1:13" ht="14.25" customHeight="1">
      <c r="A60" s="13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5">
        <f t="shared" si="0"/>
        <v>0</v>
      </c>
    </row>
    <row r="61" spans="1:13" ht="14.25" customHeight="1">
      <c r="A61" s="13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5">
        <f t="shared" si="0"/>
        <v>0</v>
      </c>
    </row>
    <row r="62" spans="1:13" ht="14.25" customHeight="1">
      <c r="A62" s="13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5">
        <f t="shared" si="0"/>
        <v>0</v>
      </c>
    </row>
    <row r="63" spans="1:13" ht="14.25" customHeight="1">
      <c r="A63" s="13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5">
        <f t="shared" si="0"/>
        <v>0</v>
      </c>
    </row>
    <row r="64" spans="1:13" ht="14.25" customHeight="1">
      <c r="A64" s="13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5">
        <f t="shared" si="0"/>
        <v>0</v>
      </c>
    </row>
    <row r="65" spans="1:13" ht="14.25" customHeight="1">
      <c r="A65" s="13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5">
        <f t="shared" si="0"/>
        <v>0</v>
      </c>
    </row>
    <row r="66" spans="1:13" ht="14.25" customHeight="1">
      <c r="A66" s="13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5">
        <f t="shared" ref="M66:M129" si="1">SUM(F66:L66)</f>
        <v>0</v>
      </c>
    </row>
    <row r="67" spans="1:13" ht="14.25" customHeight="1">
      <c r="A67" s="13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5">
        <f t="shared" si="1"/>
        <v>0</v>
      </c>
    </row>
    <row r="68" spans="1:13" ht="14.25" customHeight="1">
      <c r="A68" s="13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5">
        <f t="shared" si="1"/>
        <v>0</v>
      </c>
    </row>
    <row r="69" spans="1:13" ht="14.25" customHeight="1">
      <c r="A69" s="13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5">
        <f t="shared" si="1"/>
        <v>0</v>
      </c>
    </row>
    <row r="70" spans="1:13" ht="14.25" customHeight="1">
      <c r="A70" s="13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5">
        <f t="shared" si="1"/>
        <v>0</v>
      </c>
    </row>
    <row r="71" spans="1:13" ht="14.25" customHeight="1">
      <c r="A71" s="13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5">
        <f t="shared" si="1"/>
        <v>0</v>
      </c>
    </row>
    <row r="72" spans="1:13" ht="14.25" customHeight="1">
      <c r="A72" s="13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5">
        <f t="shared" si="1"/>
        <v>0</v>
      </c>
    </row>
    <row r="73" spans="1:13" ht="14.25" customHeight="1">
      <c r="A73" s="13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5">
        <f t="shared" si="1"/>
        <v>0</v>
      </c>
    </row>
    <row r="74" spans="1:13" ht="14.25" customHeight="1">
      <c r="A74" s="13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5">
        <f t="shared" si="1"/>
        <v>0</v>
      </c>
    </row>
    <row r="75" spans="1:13" ht="14.25" customHeight="1">
      <c r="A75" s="13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5">
        <f t="shared" si="1"/>
        <v>0</v>
      </c>
    </row>
    <row r="76" spans="1:13" ht="14.25" customHeight="1">
      <c r="A76" s="13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5">
        <f t="shared" si="1"/>
        <v>0</v>
      </c>
    </row>
    <row r="77" spans="1:13" ht="14.25" customHeight="1">
      <c r="A77" s="13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5">
        <f t="shared" si="1"/>
        <v>0</v>
      </c>
    </row>
    <row r="78" spans="1:13" ht="14.25" customHeight="1">
      <c r="A78" s="13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5">
        <f t="shared" si="1"/>
        <v>0</v>
      </c>
    </row>
    <row r="79" spans="1:13" ht="14.25" customHeight="1">
      <c r="A79" s="13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5">
        <f t="shared" si="1"/>
        <v>0</v>
      </c>
    </row>
    <row r="80" spans="1:13" ht="14.25" customHeight="1">
      <c r="A80" s="13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5">
        <f t="shared" si="1"/>
        <v>0</v>
      </c>
    </row>
    <row r="81" spans="1:13" ht="14.25" customHeight="1">
      <c r="A81" s="13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5">
        <f t="shared" si="1"/>
        <v>0</v>
      </c>
    </row>
    <row r="82" spans="1:13" ht="14.25" customHeight="1">
      <c r="A82" s="13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5">
        <f t="shared" si="1"/>
        <v>0</v>
      </c>
    </row>
    <row r="83" spans="1:13" ht="14.25" customHeight="1">
      <c r="A83" s="13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5">
        <f t="shared" si="1"/>
        <v>0</v>
      </c>
    </row>
    <row r="84" spans="1:13" ht="14.25" customHeight="1">
      <c r="A84" s="13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5">
        <f t="shared" si="1"/>
        <v>0</v>
      </c>
    </row>
    <row r="85" spans="1:13" ht="14.25" customHeight="1">
      <c r="A85" s="13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5">
        <f t="shared" si="1"/>
        <v>0</v>
      </c>
    </row>
    <row r="86" spans="1:13" ht="14.25" customHeight="1">
      <c r="A86" s="13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5">
        <f t="shared" si="1"/>
        <v>0</v>
      </c>
    </row>
    <row r="87" spans="1:13" ht="14.25" customHeight="1">
      <c r="A87" s="13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5">
        <f t="shared" si="1"/>
        <v>0</v>
      </c>
    </row>
    <row r="88" spans="1:13" ht="14.25" customHeight="1">
      <c r="A88" s="13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5">
        <f t="shared" si="1"/>
        <v>0</v>
      </c>
    </row>
    <row r="89" spans="1:13" ht="14.25" customHeight="1">
      <c r="A89" s="13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5">
        <f t="shared" si="1"/>
        <v>0</v>
      </c>
    </row>
    <row r="90" spans="1:13" ht="14.25" customHeight="1">
      <c r="A90" s="13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5">
        <f t="shared" si="1"/>
        <v>0</v>
      </c>
    </row>
    <row r="91" spans="1:13" ht="14.25" customHeight="1">
      <c r="A91" s="13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5">
        <f t="shared" si="1"/>
        <v>0</v>
      </c>
    </row>
    <row r="92" spans="1:13" ht="14.25" customHeight="1">
      <c r="A92" s="13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5">
        <f t="shared" si="1"/>
        <v>0</v>
      </c>
    </row>
    <row r="93" spans="1:13" ht="14.25" customHeight="1">
      <c r="A93" s="13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5">
        <f t="shared" si="1"/>
        <v>0</v>
      </c>
    </row>
    <row r="94" spans="1:13" ht="14.25" customHeight="1">
      <c r="A94" s="13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5">
        <f t="shared" si="1"/>
        <v>0</v>
      </c>
    </row>
    <row r="95" spans="1:13" ht="14.25" customHeight="1">
      <c r="A95" s="13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5">
        <f t="shared" si="1"/>
        <v>0</v>
      </c>
    </row>
    <row r="96" spans="1:13" ht="14.25" customHeight="1">
      <c r="A96" s="13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5">
        <f t="shared" si="1"/>
        <v>0</v>
      </c>
    </row>
    <row r="97" spans="1:13" ht="14.25" customHeight="1">
      <c r="A97" s="13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5">
        <f t="shared" si="1"/>
        <v>0</v>
      </c>
    </row>
    <row r="98" spans="1:13" ht="14.25" customHeight="1">
      <c r="A98" s="13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5">
        <f t="shared" si="1"/>
        <v>0</v>
      </c>
    </row>
    <row r="99" spans="1:13" ht="14.25" customHeight="1">
      <c r="A99" s="13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5">
        <f t="shared" si="1"/>
        <v>0</v>
      </c>
    </row>
    <row r="100" spans="1:13" ht="14.25" customHeight="1">
      <c r="A100" s="13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5">
        <f t="shared" si="1"/>
        <v>0</v>
      </c>
    </row>
    <row r="101" spans="1:13" ht="14.25" customHeight="1">
      <c r="A101" s="13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5">
        <f t="shared" si="1"/>
        <v>0</v>
      </c>
    </row>
    <row r="102" spans="1:13" ht="14.25" customHeight="1">
      <c r="A102" s="13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5">
        <f t="shared" si="1"/>
        <v>0</v>
      </c>
    </row>
    <row r="103" spans="1:13" ht="14.25" customHeight="1">
      <c r="A103" s="13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5">
        <f t="shared" si="1"/>
        <v>0</v>
      </c>
    </row>
    <row r="104" spans="1:13" ht="14.25" customHeight="1">
      <c r="A104" s="13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5">
        <f t="shared" si="1"/>
        <v>0</v>
      </c>
    </row>
    <row r="105" spans="1:13" ht="14.25" customHeight="1">
      <c r="A105" s="13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5">
        <f t="shared" si="1"/>
        <v>0</v>
      </c>
    </row>
    <row r="106" spans="1:13" ht="14.25" customHeight="1">
      <c r="A106" s="13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5">
        <f t="shared" si="1"/>
        <v>0</v>
      </c>
    </row>
    <row r="107" spans="1:13" ht="14.25" customHeight="1">
      <c r="A107" s="13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5">
        <f t="shared" si="1"/>
        <v>0</v>
      </c>
    </row>
    <row r="108" spans="1:13" ht="14.25" customHeight="1">
      <c r="A108" s="13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5">
        <f t="shared" si="1"/>
        <v>0</v>
      </c>
    </row>
    <row r="109" spans="1:13" ht="14.25" customHeight="1">
      <c r="A109" s="13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5">
        <f t="shared" si="1"/>
        <v>0</v>
      </c>
    </row>
    <row r="110" spans="1:13" ht="14.25" customHeight="1">
      <c r="A110" s="13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5">
        <f t="shared" si="1"/>
        <v>0</v>
      </c>
    </row>
    <row r="111" spans="1:13" ht="14.25" customHeight="1">
      <c r="A111" s="13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5">
        <f t="shared" si="1"/>
        <v>0</v>
      </c>
    </row>
    <row r="112" spans="1:13" ht="14.25" customHeight="1">
      <c r="A112" s="13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5">
        <f t="shared" si="1"/>
        <v>0</v>
      </c>
    </row>
    <row r="113" spans="1:13" ht="14.25" customHeight="1">
      <c r="A113" s="13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5">
        <f t="shared" si="1"/>
        <v>0</v>
      </c>
    </row>
    <row r="114" spans="1:13" ht="14.25" customHeight="1">
      <c r="A114" s="13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5">
        <f t="shared" si="1"/>
        <v>0</v>
      </c>
    </row>
    <row r="115" spans="1:13" ht="14.25" customHeight="1">
      <c r="A115" s="13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5">
        <f t="shared" si="1"/>
        <v>0</v>
      </c>
    </row>
    <row r="116" spans="1:13" ht="14.25" customHeight="1">
      <c r="A116" s="13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5">
        <f t="shared" si="1"/>
        <v>0</v>
      </c>
    </row>
    <row r="117" spans="1:13" ht="14.25" customHeight="1">
      <c r="A117" s="13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5">
        <f t="shared" si="1"/>
        <v>0</v>
      </c>
    </row>
    <row r="118" spans="1:13" ht="14.25" customHeight="1">
      <c r="A118" s="13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5">
        <f t="shared" si="1"/>
        <v>0</v>
      </c>
    </row>
    <row r="119" spans="1:13" ht="14.25" customHeight="1">
      <c r="A119" s="13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5">
        <f t="shared" si="1"/>
        <v>0</v>
      </c>
    </row>
    <row r="120" spans="1:13" ht="14.25" customHeight="1">
      <c r="A120" s="13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5">
        <f t="shared" si="1"/>
        <v>0</v>
      </c>
    </row>
    <row r="121" spans="1:13" ht="14.25" customHeight="1">
      <c r="A121" s="13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5">
        <f t="shared" si="1"/>
        <v>0</v>
      </c>
    </row>
    <row r="122" spans="1:13" ht="14.25" customHeight="1">
      <c r="A122" s="13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5">
        <f t="shared" si="1"/>
        <v>0</v>
      </c>
    </row>
    <row r="123" spans="1:13" ht="14.25" customHeight="1">
      <c r="A123" s="13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5">
        <f t="shared" si="1"/>
        <v>0</v>
      </c>
    </row>
    <row r="124" spans="1:13" ht="14.25" customHeight="1">
      <c r="A124" s="13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5">
        <f t="shared" si="1"/>
        <v>0</v>
      </c>
    </row>
    <row r="125" spans="1:13" ht="14.25" customHeight="1">
      <c r="A125" s="13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5">
        <f t="shared" si="1"/>
        <v>0</v>
      </c>
    </row>
    <row r="126" spans="1:13" ht="14.25" customHeight="1">
      <c r="A126" s="13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5">
        <f t="shared" si="1"/>
        <v>0</v>
      </c>
    </row>
    <row r="127" spans="1:13" ht="14.25" customHeight="1">
      <c r="A127" s="13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5">
        <f t="shared" si="1"/>
        <v>0</v>
      </c>
    </row>
    <row r="128" spans="1:13" ht="14.25" customHeight="1">
      <c r="A128" s="13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5">
        <f t="shared" si="1"/>
        <v>0</v>
      </c>
    </row>
    <row r="129" spans="1:13" ht="14.25" customHeight="1">
      <c r="A129" s="13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5">
        <f t="shared" si="1"/>
        <v>0</v>
      </c>
    </row>
    <row r="130" spans="1:13" ht="14.25" customHeight="1">
      <c r="A130" s="13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5">
        <f t="shared" ref="M130:M193" si="2">SUM(F130:L130)</f>
        <v>0</v>
      </c>
    </row>
    <row r="131" spans="1:13" ht="14.25" customHeight="1">
      <c r="A131" s="13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5">
        <f t="shared" si="2"/>
        <v>0</v>
      </c>
    </row>
    <row r="132" spans="1:13" ht="14.25" customHeight="1">
      <c r="A132" s="13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5">
        <f t="shared" si="2"/>
        <v>0</v>
      </c>
    </row>
    <row r="133" spans="1:13" ht="14.25" customHeight="1">
      <c r="A133" s="13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5">
        <f t="shared" si="2"/>
        <v>0</v>
      </c>
    </row>
    <row r="134" spans="1:13" ht="14.25" customHeight="1">
      <c r="A134" s="13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5">
        <f t="shared" si="2"/>
        <v>0</v>
      </c>
    </row>
    <row r="135" spans="1:13" ht="14.25" customHeight="1">
      <c r="A135" s="13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5">
        <f t="shared" si="2"/>
        <v>0</v>
      </c>
    </row>
    <row r="136" spans="1:13" ht="14.25" customHeight="1">
      <c r="A136" s="13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5">
        <f t="shared" si="2"/>
        <v>0</v>
      </c>
    </row>
    <row r="137" spans="1:13" ht="14.25" customHeight="1">
      <c r="A137" s="13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5">
        <f t="shared" si="2"/>
        <v>0</v>
      </c>
    </row>
    <row r="138" spans="1:13" ht="14.25" customHeight="1">
      <c r="A138" s="13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5">
        <f t="shared" si="2"/>
        <v>0</v>
      </c>
    </row>
    <row r="139" spans="1:13" ht="14.25" customHeight="1">
      <c r="A139" s="13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5">
        <f t="shared" si="2"/>
        <v>0</v>
      </c>
    </row>
    <row r="140" spans="1:13" ht="14.25" customHeight="1">
      <c r="A140" s="13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5">
        <f t="shared" si="2"/>
        <v>0</v>
      </c>
    </row>
    <row r="141" spans="1:13" ht="14.25" customHeight="1">
      <c r="A141" s="13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5">
        <f t="shared" si="2"/>
        <v>0</v>
      </c>
    </row>
    <row r="142" spans="1:13" ht="14.25" customHeight="1">
      <c r="A142" s="13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5">
        <f t="shared" si="2"/>
        <v>0</v>
      </c>
    </row>
    <row r="143" spans="1:13" ht="14.25" customHeight="1">
      <c r="A143" s="13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5">
        <f t="shared" si="2"/>
        <v>0</v>
      </c>
    </row>
    <row r="144" spans="1:13" ht="14.25" customHeight="1">
      <c r="A144" s="13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5">
        <f t="shared" si="2"/>
        <v>0</v>
      </c>
    </row>
    <row r="145" spans="1:13" ht="14.25" customHeight="1">
      <c r="A145" s="13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5">
        <f t="shared" si="2"/>
        <v>0</v>
      </c>
    </row>
    <row r="146" spans="1:13" ht="14.25" customHeight="1">
      <c r="A146" s="13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5">
        <f t="shared" si="2"/>
        <v>0</v>
      </c>
    </row>
    <row r="147" spans="1:13" ht="14.25" customHeight="1">
      <c r="A147" s="13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5">
        <f t="shared" si="2"/>
        <v>0</v>
      </c>
    </row>
    <row r="148" spans="1:13" ht="14.25" customHeight="1">
      <c r="A148" s="13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5">
        <f t="shared" si="2"/>
        <v>0</v>
      </c>
    </row>
    <row r="149" spans="1:13" ht="14.25" customHeight="1">
      <c r="A149" s="13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5">
        <f t="shared" si="2"/>
        <v>0</v>
      </c>
    </row>
    <row r="150" spans="1:13" ht="14.25" customHeight="1">
      <c r="A150" s="13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5">
        <f t="shared" si="2"/>
        <v>0</v>
      </c>
    </row>
    <row r="151" spans="1:13" ht="14.25" customHeight="1">
      <c r="A151" s="13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5">
        <f t="shared" si="2"/>
        <v>0</v>
      </c>
    </row>
    <row r="152" spans="1:13" ht="14.25" customHeight="1">
      <c r="A152" s="13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5">
        <f t="shared" si="2"/>
        <v>0</v>
      </c>
    </row>
    <row r="153" spans="1:13" ht="14.25" customHeight="1">
      <c r="A153" s="13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5">
        <f t="shared" si="2"/>
        <v>0</v>
      </c>
    </row>
    <row r="154" spans="1:13" ht="14.25" customHeight="1">
      <c r="A154" s="13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5">
        <f t="shared" si="2"/>
        <v>0</v>
      </c>
    </row>
    <row r="155" spans="1:13" ht="14.25" customHeight="1">
      <c r="A155" s="13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5">
        <f t="shared" si="2"/>
        <v>0</v>
      </c>
    </row>
    <row r="156" spans="1:13" ht="14.25" customHeight="1">
      <c r="A156" s="13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5">
        <f t="shared" si="2"/>
        <v>0</v>
      </c>
    </row>
    <row r="157" spans="1:13" ht="14.25" customHeight="1">
      <c r="A157" s="13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5">
        <f t="shared" si="2"/>
        <v>0</v>
      </c>
    </row>
    <row r="158" spans="1:13" ht="14.25" customHeight="1">
      <c r="A158" s="13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5">
        <f t="shared" si="2"/>
        <v>0</v>
      </c>
    </row>
    <row r="159" spans="1:13" ht="14.25" customHeight="1">
      <c r="A159" s="13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5">
        <f t="shared" si="2"/>
        <v>0</v>
      </c>
    </row>
    <row r="160" spans="1:13" ht="14.25" customHeight="1">
      <c r="A160" s="13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5">
        <f t="shared" si="2"/>
        <v>0</v>
      </c>
    </row>
    <row r="161" spans="1:13" ht="14.25" customHeight="1">
      <c r="A161" s="13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5">
        <f t="shared" si="2"/>
        <v>0</v>
      </c>
    </row>
    <row r="162" spans="1:13" ht="14.25" customHeight="1">
      <c r="A162" s="13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5">
        <f t="shared" si="2"/>
        <v>0</v>
      </c>
    </row>
    <row r="163" spans="1:13" ht="14.25" customHeight="1">
      <c r="A163" s="13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5">
        <f t="shared" si="2"/>
        <v>0</v>
      </c>
    </row>
    <row r="164" spans="1:13" ht="14.25" customHeight="1">
      <c r="A164" s="13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5">
        <f t="shared" si="2"/>
        <v>0</v>
      </c>
    </row>
    <row r="165" spans="1:13" ht="14.25" customHeight="1">
      <c r="A165" s="13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5">
        <f t="shared" si="2"/>
        <v>0</v>
      </c>
    </row>
    <row r="166" spans="1:13" ht="14.25" customHeight="1">
      <c r="A166" s="13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5">
        <f t="shared" si="2"/>
        <v>0</v>
      </c>
    </row>
    <row r="167" spans="1:13" ht="14.25" customHeight="1">
      <c r="A167" s="13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5">
        <f t="shared" si="2"/>
        <v>0</v>
      </c>
    </row>
    <row r="168" spans="1:13" ht="14.25" customHeight="1">
      <c r="A168" s="13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5">
        <f t="shared" si="2"/>
        <v>0</v>
      </c>
    </row>
    <row r="169" spans="1:13" ht="14.25" customHeight="1">
      <c r="A169" s="13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5">
        <f t="shared" si="2"/>
        <v>0</v>
      </c>
    </row>
    <row r="170" spans="1:13" ht="14.25" customHeight="1">
      <c r="A170" s="13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5">
        <f t="shared" si="2"/>
        <v>0</v>
      </c>
    </row>
    <row r="171" spans="1:13" ht="14.25" customHeight="1">
      <c r="A171" s="13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5">
        <f t="shared" si="2"/>
        <v>0</v>
      </c>
    </row>
    <row r="172" spans="1:13" ht="14.25" customHeight="1">
      <c r="A172" s="13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5">
        <f t="shared" si="2"/>
        <v>0</v>
      </c>
    </row>
    <row r="173" spans="1:13" ht="14.25" customHeight="1">
      <c r="A173" s="13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5">
        <f t="shared" si="2"/>
        <v>0</v>
      </c>
    </row>
    <row r="174" spans="1:13" ht="14.25" customHeight="1">
      <c r="A174" s="13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5">
        <f t="shared" si="2"/>
        <v>0</v>
      </c>
    </row>
    <row r="175" spans="1:13" ht="14.25" customHeight="1">
      <c r="A175" s="13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5">
        <f t="shared" si="2"/>
        <v>0</v>
      </c>
    </row>
    <row r="176" spans="1:13" ht="14.25" customHeight="1">
      <c r="A176" s="13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5">
        <f t="shared" si="2"/>
        <v>0</v>
      </c>
    </row>
    <row r="177" spans="1:13" ht="14.25" customHeight="1">
      <c r="A177" s="13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5">
        <f t="shared" si="2"/>
        <v>0</v>
      </c>
    </row>
    <row r="178" spans="1:13" ht="14.25" customHeight="1">
      <c r="A178" s="13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5">
        <f t="shared" si="2"/>
        <v>0</v>
      </c>
    </row>
    <row r="179" spans="1:13" ht="14.25" customHeight="1">
      <c r="A179" s="13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5">
        <f t="shared" si="2"/>
        <v>0</v>
      </c>
    </row>
    <row r="180" spans="1:13" ht="14.25" customHeight="1">
      <c r="A180" s="13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5">
        <f t="shared" si="2"/>
        <v>0</v>
      </c>
    </row>
    <row r="181" spans="1:13" ht="14.25" customHeight="1">
      <c r="A181" s="13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5">
        <f t="shared" si="2"/>
        <v>0</v>
      </c>
    </row>
    <row r="182" spans="1:13" ht="14.25" customHeight="1">
      <c r="A182" s="13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5">
        <f t="shared" si="2"/>
        <v>0</v>
      </c>
    </row>
    <row r="183" spans="1:13" ht="14.25" customHeight="1">
      <c r="A183" s="13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5">
        <f t="shared" si="2"/>
        <v>0</v>
      </c>
    </row>
    <row r="184" spans="1:13" ht="14.25" customHeight="1">
      <c r="A184" s="13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5">
        <f t="shared" si="2"/>
        <v>0</v>
      </c>
    </row>
    <row r="185" spans="1:13" ht="14.25" customHeight="1">
      <c r="A185" s="13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5">
        <f t="shared" si="2"/>
        <v>0</v>
      </c>
    </row>
    <row r="186" spans="1:13" ht="14.25" customHeight="1">
      <c r="A186" s="13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5">
        <f t="shared" si="2"/>
        <v>0</v>
      </c>
    </row>
    <row r="187" spans="1:13" ht="14.25" customHeight="1">
      <c r="A187" s="13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5">
        <f t="shared" si="2"/>
        <v>0</v>
      </c>
    </row>
    <row r="188" spans="1:13" ht="14.25" customHeight="1">
      <c r="A188" s="13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5">
        <f t="shared" si="2"/>
        <v>0</v>
      </c>
    </row>
    <row r="189" spans="1:13" ht="14.25" customHeight="1">
      <c r="A189" s="13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5">
        <f t="shared" si="2"/>
        <v>0</v>
      </c>
    </row>
    <row r="190" spans="1:13" ht="14.25" customHeight="1">
      <c r="A190" s="13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5">
        <f t="shared" si="2"/>
        <v>0</v>
      </c>
    </row>
    <row r="191" spans="1:13" ht="14.25" customHeight="1">
      <c r="A191" s="13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5">
        <f t="shared" si="2"/>
        <v>0</v>
      </c>
    </row>
    <row r="192" spans="1:13" ht="14.25" customHeight="1">
      <c r="A192" s="13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5">
        <f t="shared" si="2"/>
        <v>0</v>
      </c>
    </row>
    <row r="193" spans="1:13" ht="14.25" customHeight="1">
      <c r="A193" s="13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5">
        <f t="shared" si="2"/>
        <v>0</v>
      </c>
    </row>
    <row r="194" spans="1:13" ht="14.25" customHeight="1">
      <c r="A194" s="13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5">
        <f t="shared" ref="M194:M257" si="3">SUM(F194:L194)</f>
        <v>0</v>
      </c>
    </row>
    <row r="195" spans="1:13" ht="14.25" customHeight="1">
      <c r="A195" s="13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5">
        <f t="shared" si="3"/>
        <v>0</v>
      </c>
    </row>
    <row r="196" spans="1:13" ht="14.25" customHeight="1">
      <c r="A196" s="13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5">
        <f t="shared" si="3"/>
        <v>0</v>
      </c>
    </row>
    <row r="197" spans="1:13" ht="14.25" customHeight="1">
      <c r="A197" s="13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5">
        <f t="shared" si="3"/>
        <v>0</v>
      </c>
    </row>
    <row r="198" spans="1:13" ht="14.25" customHeight="1">
      <c r="A198" s="13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5">
        <f t="shared" si="3"/>
        <v>0</v>
      </c>
    </row>
    <row r="199" spans="1:13" ht="14.25" customHeight="1">
      <c r="A199" s="13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5">
        <f t="shared" si="3"/>
        <v>0</v>
      </c>
    </row>
    <row r="200" spans="1:13" ht="14.25" customHeight="1">
      <c r="A200" s="13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5">
        <f t="shared" si="3"/>
        <v>0</v>
      </c>
    </row>
    <row r="201" spans="1:13" ht="14.25" customHeight="1">
      <c r="A201" s="13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5">
        <f t="shared" si="3"/>
        <v>0</v>
      </c>
    </row>
    <row r="202" spans="1:13" ht="14.25" customHeight="1">
      <c r="A202" s="13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5">
        <f t="shared" si="3"/>
        <v>0</v>
      </c>
    </row>
    <row r="203" spans="1:13" ht="14.25" customHeight="1">
      <c r="A203" s="13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5">
        <f t="shared" si="3"/>
        <v>0</v>
      </c>
    </row>
    <row r="204" spans="1:13" ht="14.25" customHeight="1">
      <c r="A204" s="13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5">
        <f t="shared" si="3"/>
        <v>0</v>
      </c>
    </row>
    <row r="205" spans="1:13" ht="14.25" customHeight="1">
      <c r="A205" s="13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5">
        <f t="shared" si="3"/>
        <v>0</v>
      </c>
    </row>
    <row r="206" spans="1:13" ht="14.25" customHeight="1">
      <c r="A206" s="13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5">
        <f t="shared" si="3"/>
        <v>0</v>
      </c>
    </row>
    <row r="207" spans="1:13" ht="14.25" customHeight="1">
      <c r="A207" s="13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5">
        <f t="shared" si="3"/>
        <v>0</v>
      </c>
    </row>
    <row r="208" spans="1:13" ht="14.25" customHeight="1">
      <c r="A208" s="13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5">
        <f t="shared" si="3"/>
        <v>0</v>
      </c>
    </row>
    <row r="209" spans="1:13" ht="14.25" customHeight="1">
      <c r="A209" s="13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5">
        <f t="shared" si="3"/>
        <v>0</v>
      </c>
    </row>
    <row r="210" spans="1:13" ht="14.25" customHeight="1">
      <c r="A210" s="13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5">
        <f t="shared" si="3"/>
        <v>0</v>
      </c>
    </row>
    <row r="211" spans="1:13" ht="14.25" customHeight="1">
      <c r="A211" s="13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5">
        <f t="shared" si="3"/>
        <v>0</v>
      </c>
    </row>
    <row r="212" spans="1:13" ht="14.25" customHeight="1">
      <c r="A212" s="13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5">
        <f t="shared" si="3"/>
        <v>0</v>
      </c>
    </row>
    <row r="213" spans="1:13" ht="14.25" customHeight="1">
      <c r="A213" s="13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5">
        <f t="shared" si="3"/>
        <v>0</v>
      </c>
    </row>
    <row r="214" spans="1:13" ht="14.25" customHeight="1">
      <c r="A214" s="13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5">
        <f t="shared" si="3"/>
        <v>0</v>
      </c>
    </row>
    <row r="215" spans="1:13" ht="14.25" customHeight="1">
      <c r="A215" s="13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5">
        <f t="shared" si="3"/>
        <v>0</v>
      </c>
    </row>
    <row r="216" spans="1:13" ht="14.25" customHeight="1">
      <c r="A216" s="13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5">
        <f t="shared" si="3"/>
        <v>0</v>
      </c>
    </row>
    <row r="217" spans="1:13" ht="14.25" customHeight="1">
      <c r="A217" s="13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5">
        <f t="shared" si="3"/>
        <v>0</v>
      </c>
    </row>
    <row r="218" spans="1:13" ht="14.25" customHeight="1">
      <c r="A218" s="13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5">
        <f t="shared" si="3"/>
        <v>0</v>
      </c>
    </row>
    <row r="219" spans="1:13" ht="14.25" customHeight="1">
      <c r="A219" s="13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5">
        <f t="shared" si="3"/>
        <v>0</v>
      </c>
    </row>
    <row r="220" spans="1:13" ht="14.25" customHeight="1">
      <c r="A220" s="13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5">
        <f t="shared" si="3"/>
        <v>0</v>
      </c>
    </row>
    <row r="221" spans="1:13" ht="14.25" customHeight="1">
      <c r="A221" s="13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5">
        <f t="shared" si="3"/>
        <v>0</v>
      </c>
    </row>
    <row r="222" spans="1:13" ht="14.25" customHeight="1">
      <c r="A222" s="13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5">
        <f t="shared" si="3"/>
        <v>0</v>
      </c>
    </row>
    <row r="223" spans="1:13" ht="14.25" customHeight="1">
      <c r="A223" s="13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5">
        <f t="shared" si="3"/>
        <v>0</v>
      </c>
    </row>
    <row r="224" spans="1:13" ht="14.25" customHeight="1">
      <c r="A224" s="13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5">
        <f t="shared" si="3"/>
        <v>0</v>
      </c>
    </row>
    <row r="225" spans="1:13" ht="14.25" customHeight="1">
      <c r="A225" s="13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5">
        <f t="shared" si="3"/>
        <v>0</v>
      </c>
    </row>
    <row r="226" spans="1:13" ht="14.25" customHeight="1">
      <c r="A226" s="13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5">
        <f t="shared" si="3"/>
        <v>0</v>
      </c>
    </row>
    <row r="227" spans="1:13" ht="14.25" customHeight="1">
      <c r="A227" s="13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5">
        <f t="shared" si="3"/>
        <v>0</v>
      </c>
    </row>
    <row r="228" spans="1:13" ht="14.25" customHeight="1">
      <c r="A228" s="13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5">
        <f t="shared" si="3"/>
        <v>0</v>
      </c>
    </row>
    <row r="229" spans="1:13" ht="14.25" customHeight="1">
      <c r="A229" s="13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5">
        <f t="shared" si="3"/>
        <v>0</v>
      </c>
    </row>
    <row r="230" spans="1:13" ht="14.25" customHeight="1">
      <c r="A230" s="13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5">
        <f t="shared" si="3"/>
        <v>0</v>
      </c>
    </row>
    <row r="231" spans="1:13" ht="14.25" customHeight="1">
      <c r="A231" s="13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5">
        <f t="shared" si="3"/>
        <v>0</v>
      </c>
    </row>
    <row r="232" spans="1:13" ht="14.25" customHeight="1">
      <c r="A232" s="13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5">
        <f t="shared" si="3"/>
        <v>0</v>
      </c>
    </row>
    <row r="233" spans="1:13" ht="14.25" customHeight="1">
      <c r="A233" s="13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5">
        <f t="shared" si="3"/>
        <v>0</v>
      </c>
    </row>
    <row r="234" spans="1:13" ht="14.25" customHeight="1">
      <c r="A234" s="13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5">
        <f t="shared" si="3"/>
        <v>0</v>
      </c>
    </row>
    <row r="235" spans="1:13" ht="14.25" customHeight="1">
      <c r="A235" s="13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5">
        <f t="shared" si="3"/>
        <v>0</v>
      </c>
    </row>
    <row r="236" spans="1:13" ht="14.25" customHeight="1">
      <c r="A236" s="13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5">
        <f t="shared" si="3"/>
        <v>0</v>
      </c>
    </row>
    <row r="237" spans="1:13" ht="14.25" customHeight="1">
      <c r="A237" s="13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5">
        <f t="shared" si="3"/>
        <v>0</v>
      </c>
    </row>
    <row r="238" spans="1:13" ht="14.25" customHeight="1">
      <c r="A238" s="13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5">
        <f t="shared" si="3"/>
        <v>0</v>
      </c>
    </row>
    <row r="239" spans="1:13" ht="14.25" customHeight="1">
      <c r="A239" s="13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5">
        <f t="shared" si="3"/>
        <v>0</v>
      </c>
    </row>
    <row r="240" spans="1:13" ht="14.25" customHeight="1">
      <c r="A240" s="13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5">
        <f t="shared" si="3"/>
        <v>0</v>
      </c>
    </row>
    <row r="241" spans="1:13" ht="14.25" customHeight="1">
      <c r="A241" s="13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5">
        <f t="shared" si="3"/>
        <v>0</v>
      </c>
    </row>
    <row r="242" spans="1:13" ht="14.25" customHeight="1">
      <c r="A242" s="13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5">
        <f t="shared" si="3"/>
        <v>0</v>
      </c>
    </row>
    <row r="243" spans="1:13" ht="14.25" customHeight="1">
      <c r="A243" s="13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5">
        <f t="shared" si="3"/>
        <v>0</v>
      </c>
    </row>
    <row r="244" spans="1:13" ht="14.25" customHeight="1">
      <c r="A244" s="13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5">
        <f t="shared" si="3"/>
        <v>0</v>
      </c>
    </row>
    <row r="245" spans="1:13" ht="14.25" customHeight="1">
      <c r="A245" s="13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5">
        <f t="shared" si="3"/>
        <v>0</v>
      </c>
    </row>
    <row r="246" spans="1:13" ht="14.25" customHeight="1">
      <c r="A246" s="13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5">
        <f t="shared" si="3"/>
        <v>0</v>
      </c>
    </row>
    <row r="247" spans="1:13" ht="14.25" customHeight="1">
      <c r="A247" s="13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5">
        <f t="shared" si="3"/>
        <v>0</v>
      </c>
    </row>
    <row r="248" spans="1:13" ht="14.25" customHeight="1">
      <c r="A248" s="13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5">
        <f t="shared" si="3"/>
        <v>0</v>
      </c>
    </row>
    <row r="249" spans="1:13" ht="14.25" customHeight="1">
      <c r="A249" s="13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5">
        <f t="shared" si="3"/>
        <v>0</v>
      </c>
    </row>
    <row r="250" spans="1:13" ht="14.25" customHeight="1">
      <c r="A250" s="13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5">
        <f t="shared" si="3"/>
        <v>0</v>
      </c>
    </row>
    <row r="251" spans="1:13" ht="14.25" customHeight="1">
      <c r="A251" s="13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5">
        <f t="shared" si="3"/>
        <v>0</v>
      </c>
    </row>
    <row r="252" spans="1:13" ht="14.25" customHeight="1">
      <c r="A252" s="13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5">
        <f t="shared" si="3"/>
        <v>0</v>
      </c>
    </row>
    <row r="253" spans="1:13" ht="14.25" customHeight="1">
      <c r="A253" s="13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5">
        <f t="shared" si="3"/>
        <v>0</v>
      </c>
    </row>
    <row r="254" spans="1:13" ht="14.25" customHeight="1">
      <c r="A254" s="13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5">
        <f t="shared" si="3"/>
        <v>0</v>
      </c>
    </row>
    <row r="255" spans="1:13" ht="14.25" customHeight="1">
      <c r="A255" s="13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5">
        <f t="shared" si="3"/>
        <v>0</v>
      </c>
    </row>
    <row r="256" spans="1:13" ht="14.25" customHeight="1">
      <c r="A256" s="13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5">
        <f t="shared" si="3"/>
        <v>0</v>
      </c>
    </row>
    <row r="257" spans="1:13" ht="14.25" customHeight="1">
      <c r="A257" s="13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5">
        <f t="shared" si="3"/>
        <v>0</v>
      </c>
    </row>
    <row r="258" spans="1:13" ht="14.25" customHeight="1">
      <c r="A258" s="13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5">
        <f t="shared" ref="M258:M321" si="4">SUM(F258:L258)</f>
        <v>0</v>
      </c>
    </row>
    <row r="259" spans="1:13" ht="14.25" customHeight="1">
      <c r="A259" s="13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5">
        <f t="shared" si="4"/>
        <v>0</v>
      </c>
    </row>
    <row r="260" spans="1:13" ht="14.25" customHeight="1">
      <c r="A260" s="13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5">
        <f t="shared" si="4"/>
        <v>0</v>
      </c>
    </row>
    <row r="261" spans="1:13" ht="14.25" customHeight="1">
      <c r="A261" s="13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5">
        <f t="shared" si="4"/>
        <v>0</v>
      </c>
    </row>
    <row r="262" spans="1:13" ht="14.25" customHeight="1">
      <c r="A262" s="13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5">
        <f t="shared" si="4"/>
        <v>0</v>
      </c>
    </row>
    <row r="263" spans="1:13" ht="14.25" customHeight="1">
      <c r="A263" s="13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5">
        <f t="shared" si="4"/>
        <v>0</v>
      </c>
    </row>
    <row r="264" spans="1:13" ht="14.25" customHeight="1">
      <c r="A264" s="13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5">
        <f t="shared" si="4"/>
        <v>0</v>
      </c>
    </row>
    <row r="265" spans="1:13" ht="14.25" customHeight="1">
      <c r="A265" s="13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5">
        <f t="shared" si="4"/>
        <v>0</v>
      </c>
    </row>
    <row r="266" spans="1:13" ht="14.25" customHeight="1">
      <c r="A266" s="13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5">
        <f t="shared" si="4"/>
        <v>0</v>
      </c>
    </row>
    <row r="267" spans="1:13" ht="14.25" customHeight="1">
      <c r="A267" s="13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5">
        <f t="shared" si="4"/>
        <v>0</v>
      </c>
    </row>
    <row r="268" spans="1:13" ht="14.25" customHeight="1">
      <c r="A268" s="13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5">
        <f t="shared" si="4"/>
        <v>0</v>
      </c>
    </row>
    <row r="269" spans="1:13" ht="14.25" customHeight="1">
      <c r="A269" s="13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5">
        <f t="shared" si="4"/>
        <v>0</v>
      </c>
    </row>
    <row r="270" spans="1:13" ht="14.25" customHeight="1">
      <c r="A270" s="13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5">
        <f t="shared" si="4"/>
        <v>0</v>
      </c>
    </row>
    <row r="271" spans="1:13" ht="14.25" customHeight="1">
      <c r="A271" s="13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5">
        <f t="shared" si="4"/>
        <v>0</v>
      </c>
    </row>
    <row r="272" spans="1:13" ht="14.25" customHeight="1">
      <c r="A272" s="13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5">
        <f t="shared" si="4"/>
        <v>0</v>
      </c>
    </row>
    <row r="273" spans="1:13" ht="14.25" customHeight="1">
      <c r="A273" s="13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5">
        <f t="shared" si="4"/>
        <v>0</v>
      </c>
    </row>
    <row r="274" spans="1:13" ht="14.25" customHeight="1">
      <c r="A274" s="13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5">
        <f t="shared" si="4"/>
        <v>0</v>
      </c>
    </row>
    <row r="275" spans="1:13" ht="14.25" customHeight="1">
      <c r="A275" s="13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5">
        <f t="shared" si="4"/>
        <v>0</v>
      </c>
    </row>
    <row r="276" spans="1:13" ht="14.25" customHeight="1">
      <c r="A276" s="13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5">
        <f t="shared" si="4"/>
        <v>0</v>
      </c>
    </row>
    <row r="277" spans="1:13" ht="14.25" customHeight="1">
      <c r="A277" s="13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5">
        <f t="shared" si="4"/>
        <v>0</v>
      </c>
    </row>
    <row r="278" spans="1:13" ht="14.25" customHeight="1">
      <c r="A278" s="13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5">
        <f t="shared" si="4"/>
        <v>0</v>
      </c>
    </row>
    <row r="279" spans="1:13" ht="14.25" customHeight="1">
      <c r="A279" s="13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5">
        <f t="shared" si="4"/>
        <v>0</v>
      </c>
    </row>
    <row r="280" spans="1:13" ht="14.25" customHeight="1">
      <c r="A280" s="13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5">
        <f t="shared" si="4"/>
        <v>0</v>
      </c>
    </row>
    <row r="281" spans="1:13" ht="14.25" customHeight="1">
      <c r="A281" s="13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5">
        <f t="shared" si="4"/>
        <v>0</v>
      </c>
    </row>
    <row r="282" spans="1:13" ht="14.25" customHeight="1">
      <c r="A282" s="13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5">
        <f t="shared" si="4"/>
        <v>0</v>
      </c>
    </row>
    <row r="283" spans="1:13" ht="14.25" customHeight="1">
      <c r="A283" s="13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5">
        <f t="shared" si="4"/>
        <v>0</v>
      </c>
    </row>
    <row r="284" spans="1:13" ht="14.25" customHeight="1">
      <c r="A284" s="13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5">
        <f t="shared" si="4"/>
        <v>0</v>
      </c>
    </row>
    <row r="285" spans="1:13" ht="14.25" customHeight="1">
      <c r="A285" s="13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5">
        <f t="shared" si="4"/>
        <v>0</v>
      </c>
    </row>
    <row r="286" spans="1:13" ht="14.25" customHeight="1">
      <c r="A286" s="13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5">
        <f t="shared" si="4"/>
        <v>0</v>
      </c>
    </row>
    <row r="287" spans="1:13" ht="14.25" customHeight="1">
      <c r="A287" s="13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5">
        <f t="shared" si="4"/>
        <v>0</v>
      </c>
    </row>
    <row r="288" spans="1:13" ht="14.25" customHeight="1">
      <c r="A288" s="13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5">
        <f t="shared" si="4"/>
        <v>0</v>
      </c>
    </row>
    <row r="289" spans="1:13" ht="14.25" customHeight="1">
      <c r="A289" s="13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5">
        <f t="shared" si="4"/>
        <v>0</v>
      </c>
    </row>
    <row r="290" spans="1:13" ht="14.25" customHeight="1">
      <c r="A290" s="13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5">
        <f t="shared" si="4"/>
        <v>0</v>
      </c>
    </row>
    <row r="291" spans="1:13" ht="14.25" customHeight="1">
      <c r="A291" s="13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5">
        <f t="shared" si="4"/>
        <v>0</v>
      </c>
    </row>
    <row r="292" spans="1:13" ht="14.25" customHeight="1">
      <c r="A292" s="13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5">
        <f t="shared" si="4"/>
        <v>0</v>
      </c>
    </row>
    <row r="293" spans="1:13" ht="14.25" customHeight="1">
      <c r="A293" s="13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5">
        <f t="shared" si="4"/>
        <v>0</v>
      </c>
    </row>
    <row r="294" spans="1:13" ht="14.25" customHeight="1">
      <c r="A294" s="13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5">
        <f t="shared" si="4"/>
        <v>0</v>
      </c>
    </row>
    <row r="295" spans="1:13" ht="14.25" customHeight="1">
      <c r="A295" s="13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5">
        <f t="shared" si="4"/>
        <v>0</v>
      </c>
    </row>
    <row r="296" spans="1:13" ht="14.25" customHeight="1">
      <c r="A296" s="13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5">
        <f t="shared" si="4"/>
        <v>0</v>
      </c>
    </row>
    <row r="297" spans="1:13" ht="14.25" customHeight="1">
      <c r="A297" s="13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5">
        <f t="shared" si="4"/>
        <v>0</v>
      </c>
    </row>
    <row r="298" spans="1:13" ht="14.25" customHeight="1">
      <c r="A298" s="13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5">
        <f t="shared" si="4"/>
        <v>0</v>
      </c>
    </row>
    <row r="299" spans="1:13" ht="14.25" customHeight="1">
      <c r="A299" s="13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5">
        <f t="shared" si="4"/>
        <v>0</v>
      </c>
    </row>
    <row r="300" spans="1:13" ht="14.25" customHeight="1">
      <c r="A300" s="13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5">
        <f t="shared" si="4"/>
        <v>0</v>
      </c>
    </row>
    <row r="301" spans="1:13" ht="14.25" customHeight="1">
      <c r="A301" s="13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5">
        <f t="shared" si="4"/>
        <v>0</v>
      </c>
    </row>
    <row r="302" spans="1:13" ht="14.25" customHeight="1">
      <c r="A302" s="13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5">
        <f t="shared" si="4"/>
        <v>0</v>
      </c>
    </row>
    <row r="303" spans="1:13" ht="14.25" customHeight="1">
      <c r="A303" s="13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5">
        <f t="shared" si="4"/>
        <v>0</v>
      </c>
    </row>
    <row r="304" spans="1:13" ht="14.25" customHeight="1">
      <c r="A304" s="13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5">
        <f t="shared" si="4"/>
        <v>0</v>
      </c>
    </row>
    <row r="305" spans="1:13" ht="14.25" customHeight="1">
      <c r="A305" s="13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5">
        <f t="shared" si="4"/>
        <v>0</v>
      </c>
    </row>
    <row r="306" spans="1:13" ht="14.25" customHeight="1">
      <c r="A306" s="13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5">
        <f t="shared" si="4"/>
        <v>0</v>
      </c>
    </row>
    <row r="307" spans="1:13" ht="14.25" customHeight="1">
      <c r="A307" s="13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5">
        <f t="shared" si="4"/>
        <v>0</v>
      </c>
    </row>
    <row r="308" spans="1:13" ht="14.25" customHeight="1">
      <c r="A308" s="13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5">
        <f t="shared" si="4"/>
        <v>0</v>
      </c>
    </row>
    <row r="309" spans="1:13" ht="14.25" customHeight="1">
      <c r="A309" s="13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5">
        <f t="shared" si="4"/>
        <v>0</v>
      </c>
    </row>
    <row r="310" spans="1:13" ht="14.25" customHeight="1">
      <c r="A310" s="13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5">
        <f t="shared" si="4"/>
        <v>0</v>
      </c>
    </row>
    <row r="311" spans="1:13" ht="14.25" customHeight="1">
      <c r="A311" s="13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5">
        <f t="shared" si="4"/>
        <v>0</v>
      </c>
    </row>
    <row r="312" spans="1:13" ht="14.25" customHeight="1">
      <c r="A312" s="13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5">
        <f t="shared" si="4"/>
        <v>0</v>
      </c>
    </row>
    <row r="313" spans="1:13" ht="14.25" customHeight="1">
      <c r="A313" s="13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5">
        <f t="shared" si="4"/>
        <v>0</v>
      </c>
    </row>
    <row r="314" spans="1:13" ht="14.25" customHeight="1">
      <c r="A314" s="13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5">
        <f t="shared" si="4"/>
        <v>0</v>
      </c>
    </row>
    <row r="315" spans="1:13" ht="14.25" customHeight="1">
      <c r="A315" s="13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5">
        <f t="shared" si="4"/>
        <v>0</v>
      </c>
    </row>
    <row r="316" spans="1:13" ht="14.25" customHeight="1">
      <c r="A316" s="13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5">
        <f t="shared" si="4"/>
        <v>0</v>
      </c>
    </row>
    <row r="317" spans="1:13" ht="14.25" customHeight="1">
      <c r="A317" s="13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5">
        <f t="shared" si="4"/>
        <v>0</v>
      </c>
    </row>
    <row r="318" spans="1:13" ht="14.25" customHeight="1">
      <c r="A318" s="13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5">
        <f t="shared" si="4"/>
        <v>0</v>
      </c>
    </row>
    <row r="319" spans="1:13" ht="14.25" customHeight="1">
      <c r="A319" s="13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5">
        <f t="shared" si="4"/>
        <v>0</v>
      </c>
    </row>
    <row r="320" spans="1:13" ht="14.25" customHeight="1">
      <c r="A320" s="13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5">
        <f t="shared" si="4"/>
        <v>0</v>
      </c>
    </row>
    <row r="321" spans="1:13" ht="14.25" customHeight="1">
      <c r="A321" s="13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5">
        <f t="shared" si="4"/>
        <v>0</v>
      </c>
    </row>
    <row r="322" spans="1:13" ht="14.25" customHeight="1">
      <c r="A322" s="13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5">
        <f t="shared" ref="M322:M369" si="5">SUM(F322:L322)</f>
        <v>0</v>
      </c>
    </row>
    <row r="323" spans="1:13" ht="14.25" customHeight="1">
      <c r="A323" s="13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5">
        <f t="shared" si="5"/>
        <v>0</v>
      </c>
    </row>
    <row r="324" spans="1:13" ht="14.25" customHeight="1">
      <c r="A324" s="13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5">
        <f t="shared" si="5"/>
        <v>0</v>
      </c>
    </row>
    <row r="325" spans="1:13" ht="14.25" customHeight="1">
      <c r="A325" s="13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5">
        <f t="shared" si="5"/>
        <v>0</v>
      </c>
    </row>
    <row r="326" spans="1:13" ht="14.25" customHeight="1">
      <c r="A326" s="13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5">
        <f t="shared" si="5"/>
        <v>0</v>
      </c>
    </row>
    <row r="327" spans="1:13" ht="14.25" customHeight="1">
      <c r="A327" s="13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5">
        <f t="shared" si="5"/>
        <v>0</v>
      </c>
    </row>
    <row r="328" spans="1:13" ht="14.25" customHeight="1">
      <c r="A328" s="13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5">
        <f t="shared" si="5"/>
        <v>0</v>
      </c>
    </row>
    <row r="329" spans="1:13" ht="14.25" customHeight="1">
      <c r="A329" s="13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5">
        <f t="shared" si="5"/>
        <v>0</v>
      </c>
    </row>
    <row r="330" spans="1:13" ht="14.25" customHeight="1">
      <c r="A330" s="13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5">
        <f t="shared" si="5"/>
        <v>0</v>
      </c>
    </row>
    <row r="331" spans="1:13" ht="14.25" customHeight="1">
      <c r="A331" s="13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5">
        <f t="shared" si="5"/>
        <v>0</v>
      </c>
    </row>
    <row r="332" spans="1:13" ht="14.25" customHeight="1">
      <c r="A332" s="13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5">
        <f t="shared" si="5"/>
        <v>0</v>
      </c>
    </row>
    <row r="333" spans="1:13" ht="14.25" customHeight="1">
      <c r="A333" s="13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5">
        <f t="shared" si="5"/>
        <v>0</v>
      </c>
    </row>
    <row r="334" spans="1:13" ht="14.25" customHeight="1">
      <c r="A334" s="13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5">
        <f t="shared" si="5"/>
        <v>0</v>
      </c>
    </row>
    <row r="335" spans="1:13" ht="14.25" customHeight="1">
      <c r="A335" s="13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5">
        <f t="shared" si="5"/>
        <v>0</v>
      </c>
    </row>
    <row r="336" spans="1:13" ht="14.25" customHeight="1">
      <c r="A336" s="13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5">
        <f t="shared" si="5"/>
        <v>0</v>
      </c>
    </row>
    <row r="337" spans="1:13" ht="14.25" customHeight="1">
      <c r="A337" s="13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5">
        <f t="shared" si="5"/>
        <v>0</v>
      </c>
    </row>
    <row r="338" spans="1:13" ht="14.25" customHeight="1">
      <c r="A338" s="13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5">
        <f t="shared" si="5"/>
        <v>0</v>
      </c>
    </row>
    <row r="339" spans="1:13" ht="14.25" customHeight="1">
      <c r="A339" s="13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5">
        <f t="shared" si="5"/>
        <v>0</v>
      </c>
    </row>
    <row r="340" spans="1:13" ht="14.25" customHeight="1">
      <c r="A340" s="13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5">
        <f t="shared" si="5"/>
        <v>0</v>
      </c>
    </row>
    <row r="341" spans="1:13" ht="14.25" customHeight="1">
      <c r="A341" s="13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5">
        <f t="shared" si="5"/>
        <v>0</v>
      </c>
    </row>
    <row r="342" spans="1:13" ht="14.25" customHeight="1">
      <c r="A342" s="13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5">
        <f t="shared" si="5"/>
        <v>0</v>
      </c>
    </row>
    <row r="343" spans="1:13" ht="14.25" customHeight="1">
      <c r="A343" s="13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5">
        <f t="shared" si="5"/>
        <v>0</v>
      </c>
    </row>
    <row r="344" spans="1:13" ht="14.25" customHeight="1">
      <c r="A344" s="13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5">
        <f t="shared" si="5"/>
        <v>0</v>
      </c>
    </row>
    <row r="345" spans="1:13" ht="14.25" customHeight="1">
      <c r="A345" s="13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5">
        <f t="shared" si="5"/>
        <v>0</v>
      </c>
    </row>
    <row r="346" spans="1:13" ht="14.25" customHeight="1">
      <c r="A346" s="13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5">
        <f t="shared" si="5"/>
        <v>0</v>
      </c>
    </row>
    <row r="347" spans="1:13" ht="14.25" customHeight="1">
      <c r="A347" s="13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5">
        <f t="shared" si="5"/>
        <v>0</v>
      </c>
    </row>
    <row r="348" spans="1:13" ht="14.25" customHeight="1">
      <c r="A348" s="13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5">
        <f t="shared" si="5"/>
        <v>0</v>
      </c>
    </row>
    <row r="349" spans="1:13" ht="14.25" customHeight="1">
      <c r="A349" s="13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5">
        <f t="shared" si="5"/>
        <v>0</v>
      </c>
    </row>
    <row r="350" spans="1:13" ht="14.25" customHeight="1">
      <c r="A350" s="13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5">
        <f t="shared" si="5"/>
        <v>0</v>
      </c>
    </row>
    <row r="351" spans="1:13" ht="14.25" customHeight="1">
      <c r="A351" s="13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5">
        <f t="shared" si="5"/>
        <v>0</v>
      </c>
    </row>
    <row r="352" spans="1:13" ht="14.25" customHeight="1">
      <c r="A352" s="13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5">
        <f t="shared" si="5"/>
        <v>0</v>
      </c>
    </row>
    <row r="353" spans="1:13" ht="14.25" customHeight="1">
      <c r="A353" s="13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5">
        <f t="shared" si="5"/>
        <v>0</v>
      </c>
    </row>
    <row r="354" spans="1:13" ht="14.25" customHeight="1">
      <c r="A354" s="13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5">
        <f t="shared" si="5"/>
        <v>0</v>
      </c>
    </row>
    <row r="355" spans="1:13" ht="14.25" customHeight="1">
      <c r="A355" s="13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5">
        <f t="shared" si="5"/>
        <v>0</v>
      </c>
    </row>
    <row r="356" spans="1:13" ht="14.25" customHeight="1">
      <c r="A356" s="13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5">
        <f t="shared" si="5"/>
        <v>0</v>
      </c>
    </row>
    <row r="357" spans="1:13" ht="14.25" customHeight="1">
      <c r="A357" s="13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5">
        <f t="shared" si="5"/>
        <v>0</v>
      </c>
    </row>
    <row r="358" spans="1:13" ht="14.25" customHeight="1">
      <c r="A358" s="13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5">
        <f t="shared" si="5"/>
        <v>0</v>
      </c>
    </row>
    <row r="359" spans="1:13" ht="14.25" customHeight="1">
      <c r="A359" s="13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5">
        <f t="shared" si="5"/>
        <v>0</v>
      </c>
    </row>
    <row r="360" spans="1:13" ht="14.25" customHeight="1">
      <c r="A360" s="13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5">
        <f t="shared" si="5"/>
        <v>0</v>
      </c>
    </row>
    <row r="361" spans="1:13" ht="14.25" customHeight="1">
      <c r="A361" s="13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5">
        <f t="shared" si="5"/>
        <v>0</v>
      </c>
    </row>
    <row r="362" spans="1:13" ht="14.25" customHeight="1">
      <c r="A362" s="13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5">
        <f t="shared" si="5"/>
        <v>0</v>
      </c>
    </row>
    <row r="363" spans="1:13" ht="14.25" customHeight="1">
      <c r="A363" s="13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5">
        <f t="shared" si="5"/>
        <v>0</v>
      </c>
    </row>
    <row r="364" spans="1:13" ht="14.25" customHeight="1">
      <c r="A364" s="13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5">
        <f t="shared" si="5"/>
        <v>0</v>
      </c>
    </row>
    <row r="365" spans="1:13" ht="14.25" customHeight="1">
      <c r="A365" s="13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5">
        <f t="shared" si="5"/>
        <v>0</v>
      </c>
    </row>
    <row r="366" spans="1:13" ht="14.25" customHeight="1">
      <c r="A366" s="13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5">
        <f t="shared" si="5"/>
        <v>0</v>
      </c>
    </row>
    <row r="367" spans="1:13" ht="14.25" customHeight="1">
      <c r="A367" s="13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5">
        <f t="shared" si="5"/>
        <v>0</v>
      </c>
    </row>
    <row r="368" spans="1:13" ht="14.25" customHeight="1">
      <c r="A368" s="13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5">
        <f t="shared" si="5"/>
        <v>0</v>
      </c>
    </row>
    <row r="369" spans="1:13" ht="14.25" customHeight="1">
      <c r="A369" s="13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5">
        <f t="shared" si="5"/>
        <v>0</v>
      </c>
    </row>
    <row r="370" spans="1:13" ht="14.25" customHeight="1">
      <c r="A370" s="17"/>
      <c r="M370" s="18"/>
    </row>
    <row r="371" spans="1:13" ht="14.25" customHeight="1">
      <c r="A371" s="17"/>
      <c r="M371" s="18"/>
    </row>
    <row r="372" spans="1:13" ht="14.25" customHeight="1">
      <c r="A372" s="17"/>
      <c r="M372" s="18"/>
    </row>
    <row r="373" spans="1:13" ht="14.25" customHeight="1">
      <c r="A373" s="17"/>
      <c r="M373" s="18"/>
    </row>
    <row r="374" spans="1:13" ht="14.25" customHeight="1">
      <c r="A374" s="17"/>
      <c r="M374" s="18"/>
    </row>
    <row r="375" spans="1:13" ht="14.25" customHeight="1">
      <c r="A375" s="17"/>
      <c r="M375" s="18"/>
    </row>
    <row r="376" spans="1:13" ht="14.25" customHeight="1">
      <c r="A376" s="17"/>
      <c r="M376" s="18"/>
    </row>
    <row r="377" spans="1:13" ht="14.25" customHeight="1">
      <c r="A377" s="17"/>
      <c r="M377" s="18"/>
    </row>
    <row r="378" spans="1:13" ht="14.25" customHeight="1">
      <c r="A378" s="17"/>
      <c r="M378" s="18"/>
    </row>
    <row r="379" spans="1:13" ht="14.25" customHeight="1">
      <c r="A379" s="17"/>
      <c r="M379" s="18"/>
    </row>
    <row r="380" spans="1:13" ht="14.25" customHeight="1">
      <c r="A380" s="17"/>
      <c r="M380" s="18"/>
    </row>
    <row r="381" spans="1:13" ht="14.25" customHeight="1">
      <c r="A381" s="17"/>
      <c r="M381" s="18"/>
    </row>
    <row r="382" spans="1:13" ht="14.25" customHeight="1">
      <c r="A382" s="17"/>
      <c r="M382" s="18"/>
    </row>
    <row r="383" spans="1:13" ht="14.25" customHeight="1">
      <c r="A383" s="17"/>
      <c r="M383" s="18"/>
    </row>
    <row r="384" spans="1:13" ht="14.25" customHeight="1">
      <c r="A384" s="17"/>
      <c r="M384" s="18"/>
    </row>
    <row r="385" spans="1:13" ht="14.25" customHeight="1">
      <c r="A385" s="17"/>
      <c r="M385" s="18"/>
    </row>
    <row r="386" spans="1:13" ht="14.25" customHeight="1">
      <c r="A386" s="17"/>
      <c r="M386" s="18"/>
    </row>
    <row r="387" spans="1:13" ht="14.25" customHeight="1">
      <c r="A387" s="17"/>
      <c r="M387" s="18"/>
    </row>
    <row r="388" spans="1:13" ht="14.25" customHeight="1">
      <c r="A388" s="17"/>
      <c r="M388" s="18"/>
    </row>
    <row r="389" spans="1:13" ht="14.25" customHeight="1">
      <c r="A389" s="17"/>
      <c r="M389" s="18"/>
    </row>
    <row r="390" spans="1:13" ht="14.25" customHeight="1">
      <c r="A390" s="17"/>
      <c r="M390" s="18"/>
    </row>
    <row r="391" spans="1:13" ht="14.25" customHeight="1">
      <c r="A391" s="17"/>
      <c r="M391" s="18"/>
    </row>
    <row r="392" spans="1:13" ht="14.25" customHeight="1">
      <c r="A392" s="17"/>
      <c r="M392" s="18"/>
    </row>
    <row r="393" spans="1:13" ht="14.25" customHeight="1">
      <c r="A393" s="17"/>
      <c r="M393" s="18"/>
    </row>
    <row r="394" spans="1:13" ht="14.25" customHeight="1">
      <c r="A394" s="17"/>
      <c r="M394" s="18"/>
    </row>
    <row r="395" spans="1:13" ht="14.25" customHeight="1">
      <c r="A395" s="17"/>
      <c r="M395" s="18"/>
    </row>
    <row r="396" spans="1:13" ht="14.25" customHeight="1">
      <c r="A396" s="17"/>
      <c r="M396" s="18"/>
    </row>
    <row r="397" spans="1:13" ht="14.25" customHeight="1">
      <c r="A397" s="17"/>
      <c r="M397" s="18"/>
    </row>
    <row r="398" spans="1:13" ht="14.25" customHeight="1">
      <c r="A398" s="17"/>
      <c r="M398" s="18"/>
    </row>
    <row r="399" spans="1:13" ht="14.25" customHeight="1">
      <c r="A399" s="17"/>
      <c r="M399" s="18"/>
    </row>
    <row r="400" spans="1:13" ht="14.25" customHeight="1">
      <c r="A400" s="17"/>
      <c r="M400" s="18"/>
    </row>
    <row r="401" spans="1:13" ht="14.25" customHeight="1">
      <c r="A401" s="17"/>
      <c r="M401" s="18"/>
    </row>
    <row r="402" spans="1:13" ht="14.25" customHeight="1">
      <c r="A402" s="17"/>
      <c r="M402" s="18"/>
    </row>
    <row r="403" spans="1:13" ht="14.25" customHeight="1">
      <c r="A403" s="17"/>
      <c r="M403" s="18"/>
    </row>
    <row r="404" spans="1:13" ht="14.25" customHeight="1">
      <c r="A404" s="17"/>
      <c r="M404" s="18"/>
    </row>
    <row r="405" spans="1:13" ht="14.25" customHeight="1">
      <c r="A405" s="17"/>
      <c r="M405" s="18"/>
    </row>
    <row r="406" spans="1:13" ht="14.25" customHeight="1">
      <c r="A406" s="17"/>
      <c r="M406" s="18"/>
    </row>
    <row r="407" spans="1:13" ht="14.25" customHeight="1">
      <c r="A407" s="17"/>
      <c r="M407" s="18"/>
    </row>
    <row r="408" spans="1:13" ht="14.25" customHeight="1">
      <c r="A408" s="17"/>
      <c r="M408" s="18"/>
    </row>
    <row r="409" spans="1:13" ht="14.25" customHeight="1">
      <c r="A409" s="17"/>
      <c r="M409" s="18"/>
    </row>
    <row r="410" spans="1:13" ht="14.25" customHeight="1">
      <c r="A410" s="17"/>
      <c r="M410" s="18"/>
    </row>
    <row r="411" spans="1:13" ht="14.25" customHeight="1">
      <c r="A411" s="17"/>
      <c r="M411" s="18"/>
    </row>
    <row r="412" spans="1:13" ht="14.25" customHeight="1">
      <c r="A412" s="17"/>
      <c r="M412" s="18"/>
    </row>
    <row r="413" spans="1:13" ht="14.25" customHeight="1">
      <c r="A413" s="17"/>
      <c r="M413" s="18"/>
    </row>
    <row r="414" spans="1:13" ht="14.25" customHeight="1">
      <c r="A414" s="17"/>
      <c r="M414" s="18"/>
    </row>
    <row r="415" spans="1:13" ht="14.25" customHeight="1">
      <c r="A415" s="17"/>
      <c r="M415" s="18"/>
    </row>
    <row r="416" spans="1:13" ht="14.25" customHeight="1">
      <c r="A416" s="17"/>
      <c r="M416" s="18"/>
    </row>
    <row r="417" spans="1:13" ht="14.25" customHeight="1">
      <c r="A417" s="17"/>
      <c r="M417" s="18"/>
    </row>
    <row r="418" spans="1:13" ht="14.25" customHeight="1">
      <c r="A418" s="17"/>
      <c r="M418" s="18"/>
    </row>
    <row r="419" spans="1:13" ht="14.25" customHeight="1">
      <c r="A419" s="17"/>
      <c r="M419" s="18"/>
    </row>
    <row r="420" spans="1:13" ht="14.25" customHeight="1">
      <c r="A420" s="17"/>
      <c r="M420" s="18"/>
    </row>
    <row r="421" spans="1:13" ht="14.25" customHeight="1">
      <c r="A421" s="17"/>
      <c r="M421" s="18"/>
    </row>
    <row r="422" spans="1:13" ht="14.25" customHeight="1">
      <c r="A422" s="17"/>
      <c r="M422" s="18"/>
    </row>
    <row r="423" spans="1:13" ht="14.25" customHeight="1">
      <c r="A423" s="17"/>
      <c r="M423" s="18"/>
    </row>
    <row r="424" spans="1:13" ht="14.25" customHeight="1">
      <c r="A424" s="17"/>
      <c r="M424" s="18"/>
    </row>
    <row r="425" spans="1:13" ht="14.25" customHeight="1">
      <c r="A425" s="17"/>
      <c r="M425" s="18"/>
    </row>
    <row r="426" spans="1:13" ht="14.25" customHeight="1">
      <c r="A426" s="17"/>
      <c r="M426" s="18"/>
    </row>
    <row r="427" spans="1:13" ht="14.25" customHeight="1">
      <c r="A427" s="17"/>
      <c r="M427" s="18"/>
    </row>
    <row r="428" spans="1:13" ht="14.25" customHeight="1">
      <c r="A428" s="17"/>
      <c r="M428" s="18"/>
    </row>
    <row r="429" spans="1:13" ht="14.25" customHeight="1">
      <c r="A429" s="17"/>
      <c r="M429" s="18"/>
    </row>
    <row r="430" spans="1:13" ht="14.25" customHeight="1">
      <c r="A430" s="17"/>
      <c r="M430" s="18"/>
    </row>
    <row r="431" spans="1:13" ht="14.25" customHeight="1">
      <c r="A431" s="17"/>
      <c r="M431" s="18"/>
    </row>
    <row r="432" spans="1:13" ht="14.25" customHeight="1">
      <c r="A432" s="17"/>
      <c r="M432" s="18"/>
    </row>
    <row r="433" spans="1:13" ht="14.25" customHeight="1">
      <c r="A433" s="17"/>
      <c r="M433" s="18"/>
    </row>
    <row r="434" spans="1:13" ht="14.25" customHeight="1">
      <c r="A434" s="17"/>
      <c r="M434" s="18"/>
    </row>
    <row r="435" spans="1:13" ht="14.25" customHeight="1">
      <c r="A435" s="17"/>
      <c r="M435" s="18"/>
    </row>
    <row r="436" spans="1:13" ht="14.25" customHeight="1">
      <c r="A436" s="17"/>
      <c r="M436" s="18"/>
    </row>
    <row r="437" spans="1:13" ht="14.25" customHeight="1">
      <c r="A437" s="17"/>
      <c r="M437" s="18"/>
    </row>
    <row r="438" spans="1:13" ht="14.25" customHeight="1">
      <c r="A438" s="17"/>
      <c r="M438" s="18"/>
    </row>
    <row r="439" spans="1:13" ht="14.25" customHeight="1">
      <c r="A439" s="17"/>
      <c r="M439" s="18"/>
    </row>
    <row r="440" spans="1:13" ht="14.25" customHeight="1">
      <c r="A440" s="17"/>
      <c r="M440" s="18"/>
    </row>
    <row r="441" spans="1:13" ht="14.25" customHeight="1">
      <c r="A441" s="17"/>
      <c r="M441" s="18"/>
    </row>
    <row r="442" spans="1:13" ht="14.25" customHeight="1">
      <c r="A442" s="17"/>
      <c r="M442" s="18"/>
    </row>
    <row r="443" spans="1:13" ht="14.25" customHeight="1">
      <c r="A443" s="17"/>
      <c r="M443" s="18"/>
    </row>
    <row r="444" spans="1:13" ht="14.25" customHeight="1">
      <c r="A444" s="17"/>
      <c r="M444" s="18"/>
    </row>
    <row r="445" spans="1:13" ht="14.25" customHeight="1">
      <c r="A445" s="17"/>
      <c r="M445" s="18"/>
    </row>
    <row r="446" spans="1:13" ht="14.25" customHeight="1">
      <c r="A446" s="17"/>
      <c r="M446" s="18"/>
    </row>
    <row r="447" spans="1:13" ht="14.25" customHeight="1">
      <c r="A447" s="17"/>
      <c r="M447" s="18"/>
    </row>
    <row r="448" spans="1:13" ht="14.25" customHeight="1">
      <c r="A448" s="17"/>
      <c r="M448" s="18"/>
    </row>
    <row r="449" spans="1:13" ht="14.25" customHeight="1">
      <c r="A449" s="17"/>
      <c r="M449" s="18"/>
    </row>
    <row r="450" spans="1:13" ht="14.25" customHeight="1">
      <c r="A450" s="17"/>
      <c r="M450" s="18"/>
    </row>
    <row r="451" spans="1:13" ht="14.25" customHeight="1">
      <c r="A451" s="17"/>
      <c r="M451" s="18"/>
    </row>
    <row r="452" spans="1:13" ht="14.25" customHeight="1">
      <c r="A452" s="17"/>
      <c r="M452" s="18"/>
    </row>
    <row r="453" spans="1:13" ht="14.25" customHeight="1">
      <c r="A453" s="17"/>
      <c r="M453" s="18"/>
    </row>
    <row r="454" spans="1:13" ht="14.25" customHeight="1">
      <c r="A454" s="17"/>
      <c r="M454" s="18"/>
    </row>
    <row r="455" spans="1:13" ht="14.25" customHeight="1">
      <c r="A455" s="17"/>
      <c r="M455" s="18"/>
    </row>
    <row r="456" spans="1:13" ht="14.25" customHeight="1">
      <c r="A456" s="17"/>
      <c r="M456" s="18"/>
    </row>
    <row r="457" spans="1:13" ht="14.25" customHeight="1">
      <c r="A457" s="17"/>
      <c r="M457" s="18"/>
    </row>
    <row r="458" spans="1:13" ht="14.25" customHeight="1">
      <c r="A458" s="17"/>
      <c r="M458" s="18"/>
    </row>
    <row r="459" spans="1:13" ht="14.25" customHeight="1">
      <c r="A459" s="17"/>
      <c r="M459" s="18"/>
    </row>
    <row r="460" spans="1:13" ht="14.25" customHeight="1">
      <c r="A460" s="17"/>
      <c r="M460" s="18"/>
    </row>
    <row r="461" spans="1:13" ht="14.25" customHeight="1">
      <c r="A461" s="17"/>
      <c r="M461" s="18"/>
    </row>
    <row r="462" spans="1:13" ht="14.25" customHeight="1">
      <c r="A462" s="17"/>
      <c r="M462" s="18"/>
    </row>
    <row r="463" spans="1:13" ht="14.25" customHeight="1">
      <c r="A463" s="17"/>
      <c r="M463" s="18"/>
    </row>
    <row r="464" spans="1:13" ht="14.25" customHeight="1">
      <c r="A464" s="17"/>
      <c r="M464" s="18"/>
    </row>
    <row r="465" spans="1:13" ht="14.25" customHeight="1">
      <c r="A465" s="17"/>
      <c r="M465" s="18"/>
    </row>
    <row r="466" spans="1:13" ht="14.25" customHeight="1">
      <c r="A466" s="17"/>
      <c r="M466" s="18"/>
    </row>
    <row r="467" spans="1:13" ht="14.25" customHeight="1">
      <c r="A467" s="17"/>
      <c r="M467" s="18"/>
    </row>
    <row r="468" spans="1:13" ht="14.25" customHeight="1">
      <c r="A468" s="17"/>
      <c r="M468" s="18"/>
    </row>
    <row r="469" spans="1:13" ht="14.25" customHeight="1">
      <c r="A469" s="17"/>
      <c r="M469" s="18"/>
    </row>
    <row r="470" spans="1:13" ht="14.25" customHeight="1">
      <c r="A470" s="17"/>
      <c r="M470" s="18"/>
    </row>
    <row r="471" spans="1:13" ht="14.25" customHeight="1">
      <c r="A471" s="17"/>
      <c r="M471" s="18"/>
    </row>
    <row r="472" spans="1:13" ht="14.25" customHeight="1">
      <c r="A472" s="17"/>
      <c r="M472" s="18"/>
    </row>
    <row r="473" spans="1:13" ht="14.25" customHeight="1">
      <c r="A473" s="17"/>
      <c r="M473" s="18"/>
    </row>
    <row r="474" spans="1:13" ht="14.25" customHeight="1">
      <c r="A474" s="17"/>
      <c r="M474" s="18"/>
    </row>
    <row r="475" spans="1:13" ht="14.25" customHeight="1">
      <c r="A475" s="17"/>
      <c r="M475" s="18"/>
    </row>
    <row r="476" spans="1:13" ht="14.25" customHeight="1">
      <c r="A476" s="17"/>
      <c r="M476" s="18"/>
    </row>
    <row r="477" spans="1:13" ht="14.25" customHeight="1">
      <c r="A477" s="17"/>
      <c r="M477" s="18"/>
    </row>
    <row r="478" spans="1:13" ht="14.25" customHeight="1">
      <c r="A478" s="17"/>
      <c r="M478" s="18"/>
    </row>
    <row r="479" spans="1:13" ht="14.25" customHeight="1">
      <c r="A479" s="17"/>
      <c r="M479" s="18"/>
    </row>
    <row r="480" spans="1:13" ht="14.25" customHeight="1">
      <c r="A480" s="17"/>
      <c r="M480" s="18"/>
    </row>
    <row r="481" spans="1:13" ht="14.25" customHeight="1">
      <c r="A481" s="17"/>
      <c r="M481" s="18"/>
    </row>
    <row r="482" spans="1:13" ht="14.25" customHeight="1">
      <c r="A482" s="17"/>
      <c r="M482" s="18"/>
    </row>
    <row r="483" spans="1:13" ht="14.25" customHeight="1">
      <c r="A483" s="17"/>
      <c r="M483" s="18"/>
    </row>
    <row r="484" spans="1:13" ht="14.25" customHeight="1">
      <c r="A484" s="17"/>
      <c r="M484" s="18"/>
    </row>
    <row r="485" spans="1:13" ht="14.25" customHeight="1">
      <c r="A485" s="17"/>
      <c r="M485" s="18"/>
    </row>
    <row r="486" spans="1:13" ht="14.25" customHeight="1">
      <c r="A486" s="17"/>
      <c r="M486" s="18"/>
    </row>
    <row r="487" spans="1:13" ht="14.25" customHeight="1">
      <c r="A487" s="17"/>
      <c r="M487" s="18"/>
    </row>
    <row r="488" spans="1:13" ht="14.25" customHeight="1">
      <c r="A488" s="17"/>
      <c r="M488" s="18"/>
    </row>
    <row r="489" spans="1:13" ht="14.25" customHeight="1">
      <c r="A489" s="17"/>
      <c r="M489" s="18"/>
    </row>
    <row r="490" spans="1:13" ht="14.25" customHeight="1">
      <c r="A490" s="17"/>
      <c r="M490" s="18"/>
    </row>
    <row r="491" spans="1:13" ht="14.25" customHeight="1">
      <c r="A491" s="17"/>
      <c r="M491" s="18"/>
    </row>
    <row r="492" spans="1:13" ht="14.25" customHeight="1">
      <c r="A492" s="17"/>
      <c r="M492" s="18"/>
    </row>
    <row r="493" spans="1:13" ht="14.25" customHeight="1">
      <c r="A493" s="17"/>
      <c r="M493" s="18"/>
    </row>
    <row r="494" spans="1:13" ht="14.25" customHeight="1">
      <c r="A494" s="17"/>
      <c r="M494" s="18"/>
    </row>
    <row r="495" spans="1:13" ht="14.25" customHeight="1">
      <c r="A495" s="17"/>
      <c r="M495" s="18"/>
    </row>
    <row r="496" spans="1:13" ht="14.25" customHeight="1">
      <c r="A496" s="17"/>
      <c r="M496" s="18"/>
    </row>
    <row r="497" spans="1:13" ht="14.25" customHeight="1">
      <c r="A497" s="17"/>
      <c r="M497" s="18"/>
    </row>
    <row r="498" spans="1:13" ht="14.25" customHeight="1">
      <c r="A498" s="17"/>
      <c r="M498" s="18"/>
    </row>
    <row r="499" spans="1:13" ht="14.25" customHeight="1">
      <c r="A499" s="17"/>
      <c r="M499" s="18"/>
    </row>
    <row r="500" spans="1:13" ht="14.25" customHeight="1">
      <c r="A500" s="17"/>
      <c r="M500" s="18"/>
    </row>
    <row r="501" spans="1:13" ht="14.25" customHeight="1">
      <c r="A501" s="17"/>
      <c r="M501" s="18"/>
    </row>
    <row r="502" spans="1:13" ht="14.25" customHeight="1">
      <c r="A502" s="17"/>
      <c r="M502" s="18"/>
    </row>
    <row r="503" spans="1:13" ht="14.25" customHeight="1">
      <c r="A503" s="17"/>
      <c r="M503" s="18"/>
    </row>
    <row r="504" spans="1:13" ht="14.25" customHeight="1">
      <c r="A504" s="17"/>
      <c r="M504" s="18"/>
    </row>
    <row r="505" spans="1:13" ht="14.25" customHeight="1">
      <c r="A505" s="17"/>
      <c r="M505" s="18"/>
    </row>
    <row r="506" spans="1:13" ht="14.25" customHeight="1">
      <c r="A506" s="17"/>
      <c r="M506" s="18"/>
    </row>
    <row r="507" spans="1:13" ht="14.25" customHeight="1">
      <c r="A507" s="17"/>
      <c r="M507" s="18"/>
    </row>
    <row r="508" spans="1:13" ht="14.25" customHeight="1">
      <c r="A508" s="17"/>
      <c r="M508" s="18"/>
    </row>
    <row r="509" spans="1:13" ht="14.25" customHeight="1">
      <c r="A509" s="17"/>
      <c r="M509" s="18"/>
    </row>
    <row r="510" spans="1:13" ht="14.25" customHeight="1">
      <c r="A510" s="17"/>
      <c r="M510" s="18"/>
    </row>
    <row r="511" spans="1:13" ht="14.25" customHeight="1">
      <c r="A511" s="17"/>
      <c r="M511" s="18"/>
    </row>
    <row r="512" spans="1:13" ht="14.25" customHeight="1">
      <c r="A512" s="17"/>
      <c r="M512" s="18"/>
    </row>
    <row r="513" spans="1:13" ht="14.25" customHeight="1">
      <c r="A513" s="17"/>
      <c r="M513" s="18"/>
    </row>
    <row r="514" spans="1:13" ht="14.25" customHeight="1">
      <c r="A514" s="17"/>
      <c r="M514" s="18"/>
    </row>
    <row r="515" spans="1:13" ht="14.25" customHeight="1">
      <c r="A515" s="17"/>
      <c r="M515" s="18"/>
    </row>
    <row r="516" spans="1:13" ht="14.25" customHeight="1">
      <c r="A516" s="17"/>
      <c r="M516" s="18"/>
    </row>
    <row r="517" spans="1:13" ht="14.25" customHeight="1">
      <c r="A517" s="17"/>
      <c r="M517" s="18"/>
    </row>
    <row r="518" spans="1:13" ht="14.25" customHeight="1">
      <c r="A518" s="17"/>
      <c r="M518" s="18"/>
    </row>
    <row r="519" spans="1:13" ht="14.25" customHeight="1">
      <c r="A519" s="17"/>
      <c r="M519" s="18"/>
    </row>
    <row r="520" spans="1:13" ht="14.25" customHeight="1">
      <c r="A520" s="17"/>
      <c r="M520" s="18"/>
    </row>
    <row r="521" spans="1:13" ht="14.25" customHeight="1">
      <c r="A521" s="17"/>
      <c r="M521" s="18"/>
    </row>
    <row r="522" spans="1:13" ht="14.25" customHeight="1">
      <c r="A522" s="17"/>
      <c r="M522" s="18"/>
    </row>
    <row r="523" spans="1:13" ht="14.25" customHeight="1">
      <c r="A523" s="17"/>
      <c r="M523" s="18"/>
    </row>
    <row r="524" spans="1:13" ht="14.25" customHeight="1">
      <c r="A524" s="17"/>
      <c r="M524" s="18"/>
    </row>
    <row r="525" spans="1:13" ht="14.25" customHeight="1">
      <c r="A525" s="17"/>
      <c r="M525" s="18"/>
    </row>
    <row r="526" spans="1:13" ht="14.25" customHeight="1">
      <c r="A526" s="17"/>
      <c r="M526" s="18"/>
    </row>
    <row r="527" spans="1:13" ht="14.25" customHeight="1">
      <c r="A527" s="17"/>
      <c r="M527" s="18"/>
    </row>
    <row r="528" spans="1:13" ht="14.25" customHeight="1">
      <c r="A528" s="17"/>
      <c r="M528" s="18"/>
    </row>
    <row r="529" spans="1:13" ht="14.25" customHeight="1">
      <c r="A529" s="17"/>
      <c r="M529" s="18"/>
    </row>
    <row r="530" spans="1:13" ht="14.25" customHeight="1">
      <c r="A530" s="17"/>
      <c r="M530" s="18"/>
    </row>
    <row r="531" spans="1:13" ht="14.25" customHeight="1">
      <c r="A531" s="17"/>
      <c r="M531" s="18"/>
    </row>
    <row r="532" spans="1:13" ht="14.25" customHeight="1">
      <c r="A532" s="17"/>
      <c r="M532" s="18"/>
    </row>
    <row r="533" spans="1:13" ht="14.25" customHeight="1">
      <c r="A533" s="17"/>
      <c r="M533" s="18"/>
    </row>
    <row r="534" spans="1:13" ht="14.25" customHeight="1">
      <c r="A534" s="17"/>
      <c r="M534" s="18"/>
    </row>
    <row r="535" spans="1:13" ht="14.25" customHeight="1">
      <c r="A535" s="17"/>
      <c r="M535" s="18"/>
    </row>
    <row r="536" spans="1:13" ht="14.25" customHeight="1">
      <c r="A536" s="17"/>
      <c r="M536" s="18"/>
    </row>
    <row r="537" spans="1:13" ht="14.25" customHeight="1">
      <c r="A537" s="17"/>
      <c r="M537" s="18"/>
    </row>
    <row r="538" spans="1:13" ht="14.25" customHeight="1">
      <c r="A538" s="17"/>
      <c r="M538" s="18"/>
    </row>
    <row r="539" spans="1:13" ht="14.25" customHeight="1">
      <c r="A539" s="17"/>
      <c r="M539" s="18"/>
    </row>
    <row r="540" spans="1:13" ht="14.25" customHeight="1">
      <c r="A540" s="17"/>
      <c r="M540" s="18"/>
    </row>
    <row r="541" spans="1:13" ht="14.25" customHeight="1">
      <c r="A541" s="17"/>
      <c r="M541" s="18"/>
    </row>
    <row r="542" spans="1:13" ht="14.25" customHeight="1">
      <c r="A542" s="17"/>
      <c r="M542" s="18"/>
    </row>
    <row r="543" spans="1:13" ht="14.25" customHeight="1">
      <c r="A543" s="17"/>
      <c r="M543" s="18"/>
    </row>
    <row r="544" spans="1:13" ht="14.25" customHeight="1">
      <c r="A544" s="17"/>
      <c r="M544" s="18"/>
    </row>
    <row r="545" spans="1:13" ht="14.25" customHeight="1">
      <c r="A545" s="17"/>
      <c r="M545" s="18"/>
    </row>
    <row r="546" spans="1:13" ht="14.25" customHeight="1">
      <c r="A546" s="17"/>
      <c r="M546" s="18"/>
    </row>
    <row r="547" spans="1:13" ht="14.25" customHeight="1">
      <c r="A547" s="17"/>
      <c r="M547" s="18"/>
    </row>
    <row r="548" spans="1:13" ht="14.25" customHeight="1">
      <c r="A548" s="17"/>
      <c r="M548" s="18"/>
    </row>
    <row r="549" spans="1:13" ht="14.25" customHeight="1">
      <c r="A549" s="17"/>
      <c r="M549" s="18"/>
    </row>
    <row r="550" spans="1:13" ht="14.25" customHeight="1">
      <c r="A550" s="17"/>
      <c r="M550" s="18"/>
    </row>
    <row r="551" spans="1:13" ht="14.25" customHeight="1">
      <c r="A551" s="17"/>
      <c r="M551" s="18"/>
    </row>
    <row r="552" spans="1:13" ht="14.25" customHeight="1">
      <c r="A552" s="17"/>
      <c r="M552" s="18"/>
    </row>
    <row r="553" spans="1:13" ht="14.25" customHeight="1">
      <c r="A553" s="17"/>
      <c r="M553" s="18"/>
    </row>
    <row r="554" spans="1:13" ht="14.25" customHeight="1">
      <c r="A554" s="17"/>
      <c r="M554" s="18"/>
    </row>
    <row r="555" spans="1:13" ht="14.25" customHeight="1">
      <c r="A555" s="17"/>
      <c r="M555" s="18"/>
    </row>
    <row r="556" spans="1:13" ht="14.25" customHeight="1">
      <c r="A556" s="17"/>
      <c r="M556" s="18"/>
    </row>
    <row r="557" spans="1:13" ht="14.25" customHeight="1">
      <c r="A557" s="17"/>
      <c r="M557" s="18"/>
    </row>
    <row r="558" spans="1:13" ht="14.25" customHeight="1">
      <c r="A558" s="17"/>
      <c r="M558" s="18"/>
    </row>
    <row r="559" spans="1:13" ht="14.25" customHeight="1">
      <c r="A559" s="17"/>
      <c r="M559" s="18"/>
    </row>
    <row r="560" spans="1:13" ht="14.25" customHeight="1">
      <c r="A560" s="17"/>
      <c r="M560" s="18"/>
    </row>
    <row r="561" spans="1:13" ht="14.25" customHeight="1">
      <c r="A561" s="17"/>
      <c r="M561" s="18"/>
    </row>
    <row r="562" spans="1:13" ht="14.25" customHeight="1">
      <c r="A562" s="17"/>
      <c r="M562" s="18"/>
    </row>
    <row r="563" spans="1:13" ht="14.25" customHeight="1">
      <c r="A563" s="17"/>
      <c r="M563" s="18"/>
    </row>
    <row r="564" spans="1:13" ht="14.25" customHeight="1">
      <c r="A564" s="17"/>
      <c r="M564" s="18"/>
    </row>
    <row r="565" spans="1:13" ht="14.25" customHeight="1">
      <c r="A565" s="17"/>
      <c r="M565" s="18"/>
    </row>
    <row r="566" spans="1:13" ht="14.25" customHeight="1">
      <c r="A566" s="17"/>
      <c r="M566" s="18"/>
    </row>
    <row r="567" spans="1:13" ht="14.25" customHeight="1">
      <c r="A567" s="17"/>
      <c r="M567" s="18"/>
    </row>
    <row r="568" spans="1:13" ht="14.25" customHeight="1">
      <c r="A568" s="17"/>
      <c r="M568" s="18"/>
    </row>
    <row r="569" spans="1:13" ht="14.25" customHeight="1">
      <c r="A569" s="17"/>
      <c r="M569" s="18"/>
    </row>
    <row r="570" spans="1:13" ht="14.25" customHeight="1">
      <c r="A570" s="17"/>
      <c r="M570" s="18"/>
    </row>
    <row r="571" spans="1:13" ht="14.25" customHeight="1">
      <c r="A571" s="17"/>
      <c r="M571" s="18"/>
    </row>
    <row r="572" spans="1:13" ht="14.25" customHeight="1">
      <c r="A572" s="17"/>
      <c r="M572" s="18"/>
    </row>
    <row r="573" spans="1:13" ht="14.25" customHeight="1">
      <c r="A573" s="17"/>
      <c r="M573" s="18"/>
    </row>
    <row r="574" spans="1:13" ht="14.25" customHeight="1">
      <c r="A574" s="17"/>
      <c r="M574" s="18"/>
    </row>
    <row r="575" spans="1:13" ht="14.25" customHeight="1">
      <c r="A575" s="17"/>
      <c r="M575" s="18"/>
    </row>
    <row r="576" spans="1:13" ht="14.25" customHeight="1">
      <c r="A576" s="17"/>
      <c r="M576" s="18"/>
    </row>
    <row r="577" spans="1:13" ht="14.25" customHeight="1">
      <c r="A577" s="17"/>
      <c r="M577" s="18"/>
    </row>
    <row r="578" spans="1:13" ht="14.25" customHeight="1">
      <c r="A578" s="17"/>
      <c r="M578" s="18"/>
    </row>
    <row r="579" spans="1:13" ht="14.25" customHeight="1">
      <c r="A579" s="17"/>
      <c r="M579" s="18"/>
    </row>
    <row r="580" spans="1:13" ht="14.25" customHeight="1">
      <c r="A580" s="17"/>
      <c r="M580" s="18"/>
    </row>
    <row r="581" spans="1:13" ht="14.25" customHeight="1">
      <c r="A581" s="17"/>
      <c r="M581" s="18"/>
    </row>
    <row r="582" spans="1:13" ht="14.25" customHeight="1">
      <c r="A582" s="17"/>
      <c r="M582" s="18"/>
    </row>
    <row r="583" spans="1:13" ht="14.25" customHeight="1">
      <c r="A583" s="17"/>
      <c r="M583" s="18"/>
    </row>
    <row r="584" spans="1:13" ht="14.25" customHeight="1">
      <c r="A584" s="17"/>
      <c r="M584" s="18"/>
    </row>
    <row r="585" spans="1:13" ht="14.25" customHeight="1">
      <c r="A585" s="17"/>
      <c r="M585" s="18"/>
    </row>
    <row r="586" spans="1:13" ht="14.25" customHeight="1">
      <c r="A586" s="17"/>
      <c r="M586" s="18"/>
    </row>
    <row r="587" spans="1:13" ht="14.25" customHeight="1">
      <c r="A587" s="17"/>
      <c r="M587" s="18"/>
    </row>
    <row r="588" spans="1:13" ht="14.25" customHeight="1">
      <c r="A588" s="17"/>
      <c r="M588" s="18"/>
    </row>
    <row r="589" spans="1:13" ht="14.25" customHeight="1">
      <c r="A589" s="17"/>
      <c r="M589" s="18"/>
    </row>
    <row r="590" spans="1:13" ht="14.25" customHeight="1">
      <c r="A590" s="17"/>
      <c r="M590" s="18"/>
    </row>
    <row r="591" spans="1:13" ht="14.25" customHeight="1">
      <c r="A591" s="17"/>
      <c r="M591" s="18"/>
    </row>
    <row r="592" spans="1:13" ht="14.25" customHeight="1">
      <c r="A592" s="17"/>
      <c r="M592" s="18"/>
    </row>
    <row r="593" spans="1:13" ht="14.25" customHeight="1">
      <c r="A593" s="17"/>
      <c r="M593" s="18"/>
    </row>
    <row r="594" spans="1:13" ht="14.25" customHeight="1">
      <c r="A594" s="17"/>
      <c r="M594" s="18"/>
    </row>
    <row r="595" spans="1:13" ht="14.25" customHeight="1">
      <c r="A595" s="17"/>
      <c r="M595" s="18"/>
    </row>
    <row r="596" spans="1:13" ht="14.25" customHeight="1">
      <c r="A596" s="17"/>
      <c r="M596" s="18"/>
    </row>
    <row r="597" spans="1:13" ht="14.25" customHeight="1">
      <c r="A597" s="17"/>
      <c r="M597" s="18"/>
    </row>
    <row r="598" spans="1:13" ht="14.25" customHeight="1">
      <c r="A598" s="17"/>
      <c r="M598" s="18"/>
    </row>
    <row r="599" spans="1:13" ht="14.25" customHeight="1">
      <c r="A599" s="17"/>
      <c r="M599" s="18"/>
    </row>
    <row r="600" spans="1:13" ht="14.25" customHeight="1">
      <c r="A600" s="17"/>
      <c r="M600" s="18"/>
    </row>
    <row r="601" spans="1:13" ht="14.25" customHeight="1">
      <c r="A601" s="17"/>
      <c r="M601" s="18"/>
    </row>
    <row r="602" spans="1:13" ht="14.25" customHeight="1">
      <c r="A602" s="17"/>
      <c r="M602" s="18"/>
    </row>
    <row r="603" spans="1:13" ht="14.25" customHeight="1">
      <c r="A603" s="17"/>
      <c r="M603" s="18"/>
    </row>
    <row r="604" spans="1:13" ht="14.25" customHeight="1">
      <c r="A604" s="17"/>
      <c r="M604" s="18"/>
    </row>
    <row r="605" spans="1:13" ht="14.25" customHeight="1">
      <c r="A605" s="17"/>
      <c r="M605" s="18"/>
    </row>
    <row r="606" spans="1:13" ht="14.25" customHeight="1">
      <c r="A606" s="17"/>
      <c r="M606" s="18"/>
    </row>
    <row r="607" spans="1:13" ht="14.25" customHeight="1">
      <c r="A607" s="17"/>
      <c r="M607" s="18"/>
    </row>
    <row r="608" spans="1:13" ht="14.25" customHeight="1">
      <c r="A608" s="17"/>
      <c r="M608" s="18"/>
    </row>
    <row r="609" spans="1:13" ht="14.25" customHeight="1">
      <c r="A609" s="17"/>
      <c r="M609" s="18"/>
    </row>
    <row r="610" spans="1:13" ht="14.25" customHeight="1">
      <c r="A610" s="17"/>
      <c r="M610" s="18"/>
    </row>
    <row r="611" spans="1:13" ht="14.25" customHeight="1">
      <c r="A611" s="17"/>
      <c r="M611" s="18"/>
    </row>
    <row r="612" spans="1:13" ht="14.25" customHeight="1">
      <c r="A612" s="17"/>
      <c r="M612" s="18"/>
    </row>
    <row r="613" spans="1:13" ht="14.25" customHeight="1">
      <c r="A613" s="17"/>
      <c r="M613" s="18"/>
    </row>
    <row r="614" spans="1:13" ht="14.25" customHeight="1">
      <c r="A614" s="17"/>
      <c r="M614" s="18"/>
    </row>
    <row r="615" spans="1:13" ht="14.25" customHeight="1">
      <c r="A615" s="17"/>
      <c r="M615" s="18"/>
    </row>
    <row r="616" spans="1:13" ht="14.25" customHeight="1">
      <c r="A616" s="17"/>
      <c r="M616" s="18"/>
    </row>
    <row r="617" spans="1:13" ht="14.25" customHeight="1">
      <c r="A617" s="17"/>
      <c r="M617" s="18"/>
    </row>
    <row r="618" spans="1:13" ht="14.25" customHeight="1">
      <c r="A618" s="17"/>
      <c r="M618" s="18"/>
    </row>
    <row r="619" spans="1:13" ht="14.25" customHeight="1">
      <c r="A619" s="17"/>
      <c r="M619" s="18"/>
    </row>
    <row r="620" spans="1:13" ht="14.25" customHeight="1">
      <c r="A620" s="17"/>
      <c r="M620" s="18"/>
    </row>
    <row r="621" spans="1:13" ht="14.25" customHeight="1">
      <c r="A621" s="17"/>
      <c r="M621" s="18"/>
    </row>
    <row r="622" spans="1:13" ht="14.25" customHeight="1">
      <c r="A622" s="17"/>
      <c r="M622" s="18"/>
    </row>
    <row r="623" spans="1:13" ht="14.25" customHeight="1">
      <c r="A623" s="17"/>
      <c r="M623" s="18"/>
    </row>
    <row r="624" spans="1:13" ht="14.25" customHeight="1">
      <c r="A624" s="17"/>
      <c r="M624" s="18"/>
    </row>
    <row r="625" spans="1:13" ht="14.25" customHeight="1">
      <c r="A625" s="17"/>
      <c r="M625" s="18"/>
    </row>
    <row r="626" spans="1:13" ht="14.25" customHeight="1">
      <c r="A626" s="17"/>
      <c r="M626" s="18"/>
    </row>
    <row r="627" spans="1:13" ht="14.25" customHeight="1">
      <c r="A627" s="17"/>
      <c r="M627" s="18"/>
    </row>
    <row r="628" spans="1:13" ht="14.25" customHeight="1">
      <c r="A628" s="17"/>
      <c r="M628" s="18"/>
    </row>
    <row r="629" spans="1:13" ht="14.25" customHeight="1">
      <c r="A629" s="17"/>
      <c r="M629" s="18"/>
    </row>
    <row r="630" spans="1:13" ht="14.25" customHeight="1">
      <c r="A630" s="17"/>
      <c r="M630" s="18"/>
    </row>
    <row r="631" spans="1:13" ht="14.25" customHeight="1">
      <c r="A631" s="17"/>
      <c r="M631" s="18"/>
    </row>
    <row r="632" spans="1:13" ht="14.25" customHeight="1">
      <c r="A632" s="17"/>
      <c r="M632" s="18"/>
    </row>
    <row r="633" spans="1:13" ht="14.25" customHeight="1">
      <c r="A633" s="17"/>
      <c r="M633" s="18"/>
    </row>
    <row r="634" spans="1:13" ht="14.25" customHeight="1">
      <c r="A634" s="17"/>
      <c r="M634" s="18"/>
    </row>
    <row r="635" spans="1:13" ht="14.25" customHeight="1">
      <c r="A635" s="17"/>
      <c r="M635" s="18"/>
    </row>
    <row r="636" spans="1:13" ht="14.25" customHeight="1">
      <c r="A636" s="17"/>
      <c r="M636" s="18"/>
    </row>
    <row r="637" spans="1:13" ht="14.25" customHeight="1">
      <c r="A637" s="17"/>
      <c r="M637" s="18"/>
    </row>
    <row r="638" spans="1:13" ht="14.25" customHeight="1">
      <c r="A638" s="17"/>
      <c r="M638" s="18"/>
    </row>
    <row r="639" spans="1:13" ht="14.25" customHeight="1">
      <c r="A639" s="17"/>
      <c r="M639" s="18"/>
    </row>
    <row r="640" spans="1:13" ht="14.25" customHeight="1">
      <c r="A640" s="17"/>
      <c r="M640" s="18"/>
    </row>
    <row r="641" spans="1:13" ht="14.25" customHeight="1">
      <c r="A641" s="17"/>
      <c r="M641" s="18"/>
    </row>
    <row r="642" spans="1:13" ht="14.25" customHeight="1">
      <c r="A642" s="17"/>
      <c r="M642" s="18"/>
    </row>
    <row r="643" spans="1:13" ht="14.25" customHeight="1">
      <c r="A643" s="17"/>
      <c r="M643" s="18"/>
    </row>
    <row r="644" spans="1:13" ht="14.25" customHeight="1">
      <c r="A644" s="17"/>
      <c r="M644" s="18"/>
    </row>
    <row r="645" spans="1:13" ht="14.25" customHeight="1">
      <c r="A645" s="17"/>
      <c r="M645" s="18"/>
    </row>
    <row r="646" spans="1:13" ht="14.25" customHeight="1">
      <c r="A646" s="17"/>
      <c r="M646" s="18"/>
    </row>
    <row r="647" spans="1:13" ht="14.25" customHeight="1">
      <c r="A647" s="17"/>
      <c r="M647" s="18"/>
    </row>
    <row r="648" spans="1:13" ht="14.25" customHeight="1">
      <c r="A648" s="17"/>
      <c r="M648" s="18"/>
    </row>
    <row r="649" spans="1:13" ht="14.25" customHeight="1">
      <c r="A649" s="17"/>
      <c r="M649" s="18"/>
    </row>
    <row r="650" spans="1:13" ht="14.25" customHeight="1">
      <c r="A650" s="17"/>
      <c r="M650" s="18"/>
    </row>
    <row r="651" spans="1:13" ht="14.25" customHeight="1">
      <c r="A651" s="17"/>
      <c r="M651" s="18"/>
    </row>
    <row r="652" spans="1:13" ht="14.25" customHeight="1">
      <c r="A652" s="17"/>
      <c r="M652" s="18"/>
    </row>
    <row r="653" spans="1:13" ht="14.25" customHeight="1">
      <c r="A653" s="17"/>
      <c r="M653" s="18"/>
    </row>
    <row r="654" spans="1:13" ht="14.25" customHeight="1">
      <c r="A654" s="17"/>
      <c r="M654" s="18"/>
    </row>
    <row r="655" spans="1:13" ht="14.25" customHeight="1">
      <c r="A655" s="17"/>
      <c r="M655" s="18"/>
    </row>
    <row r="656" spans="1:13" ht="14.25" customHeight="1">
      <c r="A656" s="17"/>
      <c r="M656" s="18"/>
    </row>
    <row r="657" spans="1:13" ht="14.25" customHeight="1">
      <c r="A657" s="17"/>
      <c r="M657" s="18"/>
    </row>
    <row r="658" spans="1:13" ht="14.25" customHeight="1">
      <c r="A658" s="17"/>
      <c r="M658" s="18"/>
    </row>
    <row r="659" spans="1:13" ht="14.25" customHeight="1">
      <c r="A659" s="17"/>
      <c r="M659" s="18"/>
    </row>
    <row r="660" spans="1:13" ht="14.25" customHeight="1">
      <c r="A660" s="17"/>
      <c r="M660" s="18"/>
    </row>
    <row r="661" spans="1:13" ht="14.25" customHeight="1">
      <c r="A661" s="17"/>
      <c r="M661" s="18"/>
    </row>
    <row r="662" spans="1:13" ht="14.25" customHeight="1">
      <c r="A662" s="17"/>
      <c r="M662" s="18"/>
    </row>
    <row r="663" spans="1:13" ht="14.25" customHeight="1">
      <c r="A663" s="17"/>
      <c r="M663" s="18"/>
    </row>
    <row r="664" spans="1:13" ht="14.25" customHeight="1">
      <c r="A664" s="17"/>
      <c r="M664" s="18"/>
    </row>
    <row r="665" spans="1:13" ht="14.25" customHeight="1">
      <c r="A665" s="17"/>
      <c r="M665" s="18"/>
    </row>
    <row r="666" spans="1:13" ht="14.25" customHeight="1">
      <c r="A666" s="17"/>
      <c r="M666" s="18"/>
    </row>
    <row r="667" spans="1:13" ht="14.25" customHeight="1">
      <c r="A667" s="17"/>
      <c r="M667" s="18"/>
    </row>
    <row r="668" spans="1:13" ht="14.25" customHeight="1">
      <c r="A668" s="17"/>
      <c r="M668" s="18"/>
    </row>
    <row r="669" spans="1:13" ht="14.25" customHeight="1">
      <c r="A669" s="17"/>
      <c r="M669" s="18"/>
    </row>
    <row r="670" spans="1:13" ht="14.25" customHeight="1">
      <c r="A670" s="17"/>
      <c r="M670" s="18"/>
    </row>
    <row r="671" spans="1:13" ht="14.25" customHeight="1">
      <c r="A671" s="17"/>
      <c r="M671" s="18"/>
    </row>
    <row r="672" spans="1:13" ht="14.25" customHeight="1">
      <c r="A672" s="17"/>
      <c r="M672" s="18"/>
    </row>
    <row r="673" spans="1:13" ht="14.25" customHeight="1">
      <c r="A673" s="17"/>
      <c r="M673" s="18"/>
    </row>
    <row r="674" spans="1:13" ht="14.25" customHeight="1">
      <c r="A674" s="17"/>
      <c r="M674" s="18"/>
    </row>
    <row r="675" spans="1:13" ht="14.25" customHeight="1">
      <c r="A675" s="17"/>
      <c r="M675" s="18"/>
    </row>
    <row r="676" spans="1:13" ht="14.25" customHeight="1">
      <c r="A676" s="17"/>
      <c r="M676" s="18"/>
    </row>
    <row r="677" spans="1:13" ht="14.25" customHeight="1">
      <c r="A677" s="17"/>
      <c r="M677" s="18"/>
    </row>
    <row r="678" spans="1:13" ht="14.25" customHeight="1">
      <c r="A678" s="17"/>
      <c r="M678" s="18"/>
    </row>
    <row r="679" spans="1:13" ht="14.25" customHeight="1">
      <c r="A679" s="17"/>
      <c r="M679" s="18"/>
    </row>
    <row r="680" spans="1:13" ht="14.25" customHeight="1">
      <c r="A680" s="17"/>
      <c r="M680" s="18"/>
    </row>
    <row r="681" spans="1:13" ht="14.25" customHeight="1">
      <c r="A681" s="17"/>
      <c r="M681" s="18"/>
    </row>
    <row r="682" spans="1:13" ht="14.25" customHeight="1">
      <c r="A682" s="17"/>
      <c r="M682" s="18"/>
    </row>
    <row r="683" spans="1:13" ht="14.25" customHeight="1">
      <c r="A683" s="17"/>
      <c r="M683" s="18"/>
    </row>
    <row r="684" spans="1:13" ht="14.25" customHeight="1">
      <c r="A684" s="17"/>
      <c r="M684" s="18"/>
    </row>
    <row r="685" spans="1:13" ht="14.25" customHeight="1">
      <c r="A685" s="17"/>
      <c r="M685" s="18"/>
    </row>
    <row r="686" spans="1:13" ht="14.25" customHeight="1">
      <c r="A686" s="17"/>
      <c r="M686" s="18"/>
    </row>
    <row r="687" spans="1:13" ht="14.25" customHeight="1">
      <c r="A687" s="17"/>
      <c r="M687" s="18"/>
    </row>
    <row r="688" spans="1:13" ht="14.25" customHeight="1">
      <c r="A688" s="17"/>
      <c r="M688" s="18"/>
    </row>
    <row r="689" spans="1:13" ht="14.25" customHeight="1">
      <c r="A689" s="17"/>
      <c r="M689" s="18"/>
    </row>
    <row r="690" spans="1:13" ht="14.25" customHeight="1">
      <c r="A690" s="17"/>
      <c r="M690" s="18"/>
    </row>
    <row r="691" spans="1:13" ht="14.25" customHeight="1">
      <c r="A691" s="17"/>
      <c r="M691" s="18"/>
    </row>
    <row r="692" spans="1:13" ht="14.25" customHeight="1">
      <c r="A692" s="17"/>
      <c r="M692" s="18"/>
    </row>
    <row r="693" spans="1:13" ht="14.25" customHeight="1">
      <c r="A693" s="17"/>
      <c r="M693" s="18"/>
    </row>
    <row r="694" spans="1:13" ht="14.25" customHeight="1">
      <c r="A694" s="17"/>
      <c r="M694" s="18"/>
    </row>
    <row r="695" spans="1:13" ht="14.25" customHeight="1">
      <c r="A695" s="17"/>
      <c r="M695" s="18"/>
    </row>
    <row r="696" spans="1:13" ht="14.25" customHeight="1">
      <c r="A696" s="17"/>
      <c r="M696" s="18"/>
    </row>
    <row r="697" spans="1:13" ht="14.25" customHeight="1">
      <c r="A697" s="17"/>
      <c r="M697" s="18"/>
    </row>
    <row r="698" spans="1:13" ht="14.25" customHeight="1">
      <c r="A698" s="17"/>
      <c r="M698" s="18"/>
    </row>
    <row r="699" spans="1:13" ht="14.25" customHeight="1">
      <c r="A699" s="17"/>
      <c r="M699" s="18"/>
    </row>
    <row r="700" spans="1:13" ht="14.25" customHeight="1">
      <c r="A700" s="17"/>
      <c r="M700" s="18"/>
    </row>
    <row r="701" spans="1:13" ht="14.25" customHeight="1">
      <c r="A701" s="17"/>
      <c r="M701" s="18"/>
    </row>
    <row r="702" spans="1:13" ht="14.25" customHeight="1">
      <c r="A702" s="17"/>
      <c r="M702" s="18"/>
    </row>
    <row r="703" spans="1:13" ht="14.25" customHeight="1">
      <c r="A703" s="17"/>
      <c r="M703" s="18"/>
    </row>
    <row r="704" spans="1:13" ht="14.25" customHeight="1">
      <c r="A704" s="17"/>
      <c r="M704" s="18"/>
    </row>
    <row r="705" spans="1:13" ht="14.25" customHeight="1">
      <c r="A705" s="17"/>
      <c r="M705" s="18"/>
    </row>
    <row r="706" spans="1:13" ht="14.25" customHeight="1">
      <c r="A706" s="17"/>
      <c r="M706" s="18"/>
    </row>
    <row r="707" spans="1:13" ht="14.25" customHeight="1">
      <c r="A707" s="17"/>
      <c r="M707" s="18"/>
    </row>
    <row r="708" spans="1:13" ht="14.25" customHeight="1">
      <c r="A708" s="17"/>
      <c r="M708" s="18"/>
    </row>
    <row r="709" spans="1:13" ht="14.25" customHeight="1">
      <c r="A709" s="17"/>
      <c r="M709" s="18"/>
    </row>
    <row r="710" spans="1:13" ht="14.25" customHeight="1">
      <c r="A710" s="17"/>
      <c r="M710" s="18"/>
    </row>
    <row r="711" spans="1:13" ht="14.25" customHeight="1">
      <c r="A711" s="17"/>
      <c r="M711" s="18"/>
    </row>
    <row r="712" spans="1:13" ht="14.25" customHeight="1">
      <c r="A712" s="17"/>
      <c r="M712" s="18"/>
    </row>
    <row r="713" spans="1:13" ht="14.25" customHeight="1">
      <c r="A713" s="17"/>
      <c r="M713" s="18"/>
    </row>
    <row r="714" spans="1:13" ht="14.25" customHeight="1">
      <c r="A714" s="17"/>
      <c r="M714" s="18"/>
    </row>
    <row r="715" spans="1:13" ht="14.25" customHeight="1">
      <c r="A715" s="17"/>
      <c r="M715" s="18"/>
    </row>
    <row r="716" spans="1:13" ht="14.25" customHeight="1">
      <c r="A716" s="17"/>
      <c r="M716" s="18"/>
    </row>
    <row r="717" spans="1:13" ht="14.25" customHeight="1">
      <c r="A717" s="17"/>
      <c r="M717" s="18"/>
    </row>
    <row r="718" spans="1:13" ht="14.25" customHeight="1">
      <c r="A718" s="17"/>
      <c r="M718" s="18"/>
    </row>
    <row r="719" spans="1:13" ht="14.25" customHeight="1">
      <c r="A719" s="17"/>
      <c r="M719" s="18"/>
    </row>
    <row r="720" spans="1:13" ht="14.25" customHeight="1">
      <c r="A720" s="17"/>
      <c r="M720" s="18"/>
    </row>
    <row r="721" spans="1:13" ht="14.25" customHeight="1">
      <c r="A721" s="17"/>
      <c r="M721" s="18"/>
    </row>
    <row r="722" spans="1:13" ht="14.25" customHeight="1">
      <c r="A722" s="17"/>
      <c r="M722" s="18"/>
    </row>
    <row r="723" spans="1:13" ht="14.25" customHeight="1">
      <c r="A723" s="17"/>
      <c r="M723" s="18"/>
    </row>
    <row r="724" spans="1:13" ht="14.25" customHeight="1">
      <c r="A724" s="17"/>
      <c r="M724" s="18"/>
    </row>
    <row r="725" spans="1:13" ht="14.25" customHeight="1">
      <c r="A725" s="17"/>
      <c r="M725" s="18"/>
    </row>
    <row r="726" spans="1:13" ht="14.25" customHeight="1">
      <c r="A726" s="17"/>
      <c r="M726" s="18"/>
    </row>
    <row r="727" spans="1:13" ht="14.25" customHeight="1">
      <c r="A727" s="17"/>
      <c r="M727" s="18"/>
    </row>
    <row r="728" spans="1:13" ht="14.25" customHeight="1">
      <c r="A728" s="17"/>
      <c r="M728" s="18"/>
    </row>
    <row r="729" spans="1:13" ht="14.25" customHeight="1">
      <c r="A729" s="17"/>
      <c r="M729" s="18"/>
    </row>
    <row r="730" spans="1:13" ht="14.25" customHeight="1">
      <c r="A730" s="17"/>
      <c r="M730" s="18"/>
    </row>
    <row r="731" spans="1:13" ht="14.25" customHeight="1">
      <c r="A731" s="17"/>
      <c r="M731" s="18"/>
    </row>
    <row r="732" spans="1:13" ht="14.25" customHeight="1">
      <c r="A732" s="17"/>
      <c r="M732" s="18"/>
    </row>
    <row r="733" spans="1:13" ht="14.25" customHeight="1">
      <c r="A733" s="17"/>
      <c r="M733" s="18"/>
    </row>
    <row r="734" spans="1:13" ht="14.25" customHeight="1">
      <c r="A734" s="17"/>
      <c r="M734" s="18"/>
    </row>
    <row r="735" spans="1:13" ht="14.25" customHeight="1">
      <c r="A735" s="17"/>
      <c r="M735" s="18"/>
    </row>
    <row r="736" spans="1:13" ht="14.25" customHeight="1">
      <c r="A736" s="17"/>
      <c r="M736" s="18"/>
    </row>
    <row r="737" spans="1:13" ht="14.25" customHeight="1">
      <c r="A737" s="17"/>
      <c r="M737" s="18"/>
    </row>
    <row r="738" spans="1:13" ht="14.25" customHeight="1">
      <c r="A738" s="17"/>
      <c r="M738" s="18"/>
    </row>
    <row r="739" spans="1:13" ht="14.25" customHeight="1">
      <c r="A739" s="17"/>
      <c r="M739" s="18"/>
    </row>
    <row r="740" spans="1:13" ht="14.25" customHeight="1">
      <c r="A740" s="17"/>
      <c r="M740" s="18"/>
    </row>
    <row r="741" spans="1:13" ht="14.25" customHeight="1">
      <c r="A741" s="17"/>
      <c r="M741" s="18"/>
    </row>
    <row r="742" spans="1:13" ht="14.25" customHeight="1">
      <c r="A742" s="17"/>
      <c r="M742" s="18"/>
    </row>
    <row r="743" spans="1:13" ht="14.25" customHeight="1">
      <c r="A743" s="17"/>
      <c r="M743" s="18"/>
    </row>
    <row r="744" spans="1:13" ht="14.25" customHeight="1">
      <c r="A744" s="17"/>
      <c r="M744" s="18"/>
    </row>
    <row r="745" spans="1:13" ht="14.25" customHeight="1">
      <c r="A745" s="17"/>
      <c r="M745" s="18"/>
    </row>
    <row r="746" spans="1:13" ht="14.25" customHeight="1">
      <c r="A746" s="17"/>
      <c r="M746" s="18"/>
    </row>
    <row r="747" spans="1:13" ht="14.25" customHeight="1">
      <c r="A747" s="17"/>
      <c r="M747" s="18"/>
    </row>
    <row r="748" spans="1:13" ht="14.25" customHeight="1">
      <c r="A748" s="17"/>
      <c r="M748" s="18"/>
    </row>
    <row r="749" spans="1:13" ht="14.25" customHeight="1">
      <c r="A749" s="17"/>
      <c r="M749" s="18"/>
    </row>
    <row r="750" spans="1:13" ht="14.25" customHeight="1">
      <c r="A750" s="17"/>
      <c r="M750" s="18"/>
    </row>
    <row r="751" spans="1:13" ht="14.25" customHeight="1">
      <c r="A751" s="17"/>
      <c r="M751" s="18"/>
    </row>
    <row r="752" spans="1:13" ht="14.25" customHeight="1">
      <c r="A752" s="17"/>
      <c r="M752" s="18"/>
    </row>
    <row r="753" spans="1:13" ht="14.25" customHeight="1">
      <c r="A753" s="17"/>
      <c r="M753" s="18"/>
    </row>
    <row r="754" spans="1:13" ht="14.25" customHeight="1">
      <c r="A754" s="17"/>
      <c r="M754" s="18"/>
    </row>
    <row r="755" spans="1:13" ht="14.25" customHeight="1">
      <c r="A755" s="17"/>
      <c r="M755" s="18"/>
    </row>
    <row r="756" spans="1:13" ht="14.25" customHeight="1">
      <c r="A756" s="17"/>
      <c r="M756" s="18"/>
    </row>
    <row r="757" spans="1:13" ht="14.25" customHeight="1">
      <c r="A757" s="17"/>
      <c r="M757" s="18"/>
    </row>
    <row r="758" spans="1:13" ht="14.25" customHeight="1">
      <c r="A758" s="17"/>
      <c r="M758" s="18"/>
    </row>
    <row r="759" spans="1:13" ht="14.25" customHeight="1">
      <c r="A759" s="17"/>
      <c r="M759" s="18"/>
    </row>
    <row r="760" spans="1:13" ht="14.25" customHeight="1">
      <c r="A760" s="17"/>
      <c r="M760" s="18"/>
    </row>
    <row r="761" spans="1:13" ht="14.25" customHeight="1">
      <c r="A761" s="17"/>
      <c r="M761" s="18"/>
    </row>
    <row r="762" spans="1:13" ht="14.25" customHeight="1">
      <c r="A762" s="17"/>
      <c r="M762" s="18"/>
    </row>
    <row r="763" spans="1:13" ht="14.25" customHeight="1">
      <c r="A763" s="17"/>
      <c r="M763" s="18"/>
    </row>
    <row r="764" spans="1:13" ht="14.25" customHeight="1">
      <c r="A764" s="17"/>
      <c r="M764" s="18"/>
    </row>
    <row r="765" spans="1:13" ht="14.25" customHeight="1">
      <c r="A765" s="17"/>
      <c r="M765" s="18"/>
    </row>
    <row r="766" spans="1:13" ht="14.25" customHeight="1">
      <c r="A766" s="17"/>
      <c r="M766" s="18"/>
    </row>
    <row r="767" spans="1:13" ht="14.25" customHeight="1">
      <c r="A767" s="17"/>
      <c r="M767" s="18"/>
    </row>
    <row r="768" spans="1:13" ht="14.25" customHeight="1">
      <c r="A768" s="17"/>
      <c r="M768" s="18"/>
    </row>
    <row r="769" spans="1:13" ht="14.25" customHeight="1">
      <c r="A769" s="17"/>
      <c r="M769" s="18"/>
    </row>
    <row r="770" spans="1:13" ht="14.25" customHeight="1">
      <c r="A770" s="17"/>
      <c r="M770" s="18"/>
    </row>
    <row r="771" spans="1:13" ht="14.25" customHeight="1">
      <c r="A771" s="17"/>
      <c r="M771" s="18"/>
    </row>
    <row r="772" spans="1:13" ht="14.25" customHeight="1">
      <c r="A772" s="17"/>
      <c r="M772" s="18"/>
    </row>
    <row r="773" spans="1:13" ht="14.25" customHeight="1">
      <c r="A773" s="17"/>
      <c r="M773" s="18"/>
    </row>
    <row r="774" spans="1:13" ht="14.25" customHeight="1">
      <c r="A774" s="17"/>
      <c r="M774" s="18"/>
    </row>
    <row r="775" spans="1:13" ht="14.25" customHeight="1">
      <c r="A775" s="17"/>
      <c r="M775" s="18"/>
    </row>
    <row r="776" spans="1:13" ht="14.25" customHeight="1">
      <c r="A776" s="17"/>
      <c r="M776" s="18"/>
    </row>
    <row r="777" spans="1:13" ht="14.25" customHeight="1">
      <c r="A777" s="17"/>
      <c r="M777" s="18"/>
    </row>
    <row r="778" spans="1:13" ht="14.25" customHeight="1">
      <c r="A778" s="17"/>
      <c r="M778" s="18"/>
    </row>
    <row r="779" spans="1:13" ht="14.25" customHeight="1">
      <c r="A779" s="17"/>
      <c r="M779" s="18"/>
    </row>
    <row r="780" spans="1:13" ht="14.25" customHeight="1">
      <c r="A780" s="17"/>
      <c r="M780" s="18"/>
    </row>
    <row r="781" spans="1:13" ht="14.25" customHeight="1">
      <c r="A781" s="17"/>
      <c r="M781" s="18"/>
    </row>
    <row r="782" spans="1:13" ht="14.25" customHeight="1">
      <c r="A782" s="17"/>
      <c r="M782" s="18"/>
    </row>
    <row r="783" spans="1:13" ht="14.25" customHeight="1">
      <c r="A783" s="17"/>
      <c r="M783" s="18"/>
    </row>
    <row r="784" spans="1:13" ht="14.25" customHeight="1">
      <c r="A784" s="17"/>
      <c r="M784" s="18"/>
    </row>
    <row r="785" spans="1:13" ht="14.25" customHeight="1">
      <c r="A785" s="17"/>
      <c r="M785" s="18"/>
    </row>
    <row r="786" spans="1:13" ht="14.25" customHeight="1">
      <c r="A786" s="17"/>
      <c r="M786" s="18"/>
    </row>
    <row r="787" spans="1:13" ht="14.25" customHeight="1">
      <c r="A787" s="17"/>
      <c r="M787" s="18"/>
    </row>
    <row r="788" spans="1:13" ht="14.25" customHeight="1">
      <c r="A788" s="17"/>
      <c r="M788" s="18"/>
    </row>
    <row r="789" spans="1:13" ht="14.25" customHeight="1">
      <c r="A789" s="17"/>
      <c r="M789" s="18"/>
    </row>
    <row r="790" spans="1:13" ht="14.25" customHeight="1">
      <c r="A790" s="17"/>
      <c r="M790" s="18"/>
    </row>
    <row r="791" spans="1:13" ht="14.25" customHeight="1">
      <c r="A791" s="17"/>
      <c r="M791" s="18"/>
    </row>
    <row r="792" spans="1:13" ht="14.25" customHeight="1">
      <c r="A792" s="17"/>
      <c r="M792" s="18"/>
    </row>
    <row r="793" spans="1:13" ht="14.25" customHeight="1">
      <c r="A793" s="17"/>
      <c r="M793" s="18"/>
    </row>
    <row r="794" spans="1:13" ht="14.25" customHeight="1">
      <c r="A794" s="17"/>
      <c r="M794" s="18"/>
    </row>
    <row r="795" spans="1:13" ht="14.25" customHeight="1">
      <c r="A795" s="17"/>
      <c r="M795" s="18"/>
    </row>
    <row r="796" spans="1:13" ht="14.25" customHeight="1">
      <c r="A796" s="17"/>
      <c r="M796" s="18"/>
    </row>
    <row r="797" spans="1:13" ht="14.25" customHeight="1">
      <c r="A797" s="17"/>
      <c r="M797" s="18"/>
    </row>
    <row r="798" spans="1:13" ht="14.25" customHeight="1">
      <c r="A798" s="17"/>
      <c r="M798" s="18"/>
    </row>
    <row r="799" spans="1:13" ht="14.25" customHeight="1">
      <c r="A799" s="17"/>
      <c r="M799" s="18"/>
    </row>
    <row r="800" spans="1:13" ht="14.25" customHeight="1">
      <c r="A800" s="17"/>
      <c r="M800" s="18"/>
    </row>
    <row r="801" spans="1:13" ht="14.25" customHeight="1">
      <c r="A801" s="17"/>
      <c r="M801" s="18"/>
    </row>
    <row r="802" spans="1:13" ht="14.25" customHeight="1">
      <c r="A802" s="17"/>
      <c r="M802" s="18"/>
    </row>
    <row r="803" spans="1:13" ht="14.25" customHeight="1">
      <c r="A803" s="17"/>
      <c r="M803" s="18"/>
    </row>
    <row r="804" spans="1:13" ht="14.25" customHeight="1">
      <c r="A804" s="17"/>
      <c r="M804" s="18"/>
    </row>
    <row r="805" spans="1:13" ht="14.25" customHeight="1">
      <c r="A805" s="17"/>
      <c r="M805" s="18"/>
    </row>
    <row r="806" spans="1:13" ht="14.25" customHeight="1">
      <c r="A806" s="17"/>
      <c r="M806" s="18"/>
    </row>
    <row r="807" spans="1:13" ht="14.25" customHeight="1">
      <c r="A807" s="17"/>
      <c r="M807" s="18"/>
    </row>
    <row r="808" spans="1:13" ht="14.25" customHeight="1">
      <c r="A808" s="17"/>
      <c r="M808" s="18"/>
    </row>
    <row r="809" spans="1:13" ht="14.25" customHeight="1">
      <c r="A809" s="17"/>
      <c r="M809" s="18"/>
    </row>
    <row r="810" spans="1:13" ht="14.25" customHeight="1">
      <c r="A810" s="17"/>
      <c r="M810" s="18"/>
    </row>
    <row r="811" spans="1:13" ht="14.25" customHeight="1">
      <c r="A811" s="17"/>
      <c r="M811" s="18"/>
    </row>
    <row r="812" spans="1:13" ht="14.25" customHeight="1">
      <c r="A812" s="17"/>
      <c r="M812" s="18"/>
    </row>
    <row r="813" spans="1:13" ht="14.25" customHeight="1">
      <c r="A813" s="17"/>
      <c r="M813" s="18"/>
    </row>
    <row r="814" spans="1:13" ht="14.25" customHeight="1">
      <c r="A814" s="17"/>
      <c r="M814" s="18"/>
    </row>
    <row r="815" spans="1:13" ht="14.25" customHeight="1">
      <c r="A815" s="17"/>
      <c r="M815" s="18"/>
    </row>
    <row r="816" spans="1:13" ht="14.25" customHeight="1">
      <c r="A816" s="17"/>
      <c r="M816" s="18"/>
    </row>
    <row r="817" spans="1:13" ht="14.25" customHeight="1">
      <c r="A817" s="17"/>
      <c r="M817" s="18"/>
    </row>
    <row r="818" spans="1:13" ht="14.25" customHeight="1">
      <c r="A818" s="17"/>
      <c r="M818" s="18"/>
    </row>
    <row r="819" spans="1:13" ht="14.25" customHeight="1">
      <c r="A819" s="17"/>
      <c r="M819" s="18"/>
    </row>
    <row r="820" spans="1:13" ht="14.25" customHeight="1">
      <c r="A820" s="17"/>
      <c r="M820" s="18"/>
    </row>
    <row r="821" spans="1:13" ht="14.25" customHeight="1">
      <c r="A821" s="17"/>
      <c r="M821" s="18"/>
    </row>
    <row r="822" spans="1:13" ht="14.25" customHeight="1">
      <c r="A822" s="17"/>
      <c r="M822" s="18"/>
    </row>
    <row r="823" spans="1:13" ht="14.25" customHeight="1">
      <c r="A823" s="17"/>
      <c r="M823" s="18"/>
    </row>
    <row r="824" spans="1:13" ht="14.25" customHeight="1">
      <c r="A824" s="17"/>
      <c r="M824" s="18"/>
    </row>
    <row r="825" spans="1:13" ht="14.25" customHeight="1">
      <c r="A825" s="17"/>
      <c r="M825" s="18"/>
    </row>
    <row r="826" spans="1:13" ht="14.25" customHeight="1">
      <c r="A826" s="17"/>
      <c r="M826" s="18"/>
    </row>
    <row r="827" spans="1:13" ht="14.25" customHeight="1">
      <c r="A827" s="17"/>
      <c r="M827" s="18"/>
    </row>
    <row r="828" spans="1:13" ht="14.25" customHeight="1">
      <c r="A828" s="17"/>
      <c r="M828" s="18"/>
    </row>
    <row r="829" spans="1:13" ht="14.25" customHeight="1">
      <c r="A829" s="17"/>
      <c r="M829" s="18"/>
    </row>
    <row r="830" spans="1:13" ht="14.25" customHeight="1">
      <c r="A830" s="17"/>
      <c r="M830" s="18"/>
    </row>
    <row r="831" spans="1:13" ht="14.25" customHeight="1">
      <c r="A831" s="17"/>
      <c r="M831" s="18"/>
    </row>
    <row r="832" spans="1:13" ht="14.25" customHeight="1">
      <c r="A832" s="17"/>
      <c r="M832" s="18"/>
    </row>
    <row r="833" spans="1:13" ht="14.25" customHeight="1">
      <c r="A833" s="17"/>
      <c r="M833" s="18"/>
    </row>
    <row r="834" spans="1:13" ht="14.25" customHeight="1">
      <c r="A834" s="17"/>
      <c r="M834" s="18"/>
    </row>
    <row r="835" spans="1:13" ht="14.25" customHeight="1">
      <c r="A835" s="17"/>
      <c r="M835" s="18"/>
    </row>
    <row r="836" spans="1:13" ht="14.25" customHeight="1">
      <c r="A836" s="17"/>
      <c r="M836" s="18"/>
    </row>
    <row r="837" spans="1:13" ht="14.25" customHeight="1">
      <c r="A837" s="17"/>
      <c r="M837" s="18"/>
    </row>
    <row r="838" spans="1:13" ht="14.25" customHeight="1">
      <c r="A838" s="17"/>
      <c r="M838" s="18"/>
    </row>
    <row r="839" spans="1:13" ht="14.25" customHeight="1">
      <c r="A839" s="17"/>
      <c r="M839" s="18"/>
    </row>
    <row r="840" spans="1:13" ht="14.25" customHeight="1">
      <c r="A840" s="17"/>
      <c r="M840" s="18"/>
    </row>
    <row r="841" spans="1:13" ht="14.25" customHeight="1">
      <c r="A841" s="17"/>
      <c r="M841" s="18"/>
    </row>
    <row r="842" spans="1:13" ht="14.25" customHeight="1">
      <c r="A842" s="17"/>
      <c r="M842" s="18"/>
    </row>
    <row r="843" spans="1:13" ht="14.25" customHeight="1">
      <c r="A843" s="17"/>
      <c r="M843" s="18"/>
    </row>
    <row r="844" spans="1:13" ht="14.25" customHeight="1">
      <c r="A844" s="17"/>
      <c r="M844" s="18"/>
    </row>
    <row r="845" spans="1:13" ht="14.25" customHeight="1">
      <c r="A845" s="17"/>
      <c r="M845" s="18"/>
    </row>
    <row r="846" spans="1:13" ht="14.25" customHeight="1">
      <c r="A846" s="17"/>
      <c r="M846" s="18"/>
    </row>
    <row r="847" spans="1:13" ht="14.25" customHeight="1">
      <c r="A847" s="17"/>
      <c r="M847" s="18"/>
    </row>
    <row r="848" spans="1:13" ht="14.25" customHeight="1">
      <c r="A848" s="17"/>
      <c r="M848" s="18"/>
    </row>
    <row r="849" spans="1:13" ht="14.25" customHeight="1">
      <c r="A849" s="17"/>
      <c r="M849" s="18"/>
    </row>
    <row r="850" spans="1:13" ht="14.25" customHeight="1">
      <c r="A850" s="17"/>
      <c r="M850" s="18"/>
    </row>
    <row r="851" spans="1:13" ht="14.25" customHeight="1">
      <c r="A851" s="17"/>
      <c r="M851" s="18"/>
    </row>
    <row r="852" spans="1:13" ht="14.25" customHeight="1">
      <c r="A852" s="17"/>
      <c r="M852" s="18"/>
    </row>
    <row r="853" spans="1:13" ht="14.25" customHeight="1">
      <c r="A853" s="17"/>
      <c r="M853" s="18"/>
    </row>
    <row r="854" spans="1:13" ht="14.25" customHeight="1">
      <c r="A854" s="17"/>
      <c r="M854" s="18"/>
    </row>
    <row r="855" spans="1:13" ht="14.25" customHeight="1">
      <c r="A855" s="17"/>
      <c r="M855" s="18"/>
    </row>
    <row r="856" spans="1:13" ht="14.25" customHeight="1">
      <c r="A856" s="17"/>
      <c r="M856" s="18"/>
    </row>
    <row r="857" spans="1:13" ht="14.25" customHeight="1">
      <c r="A857" s="17"/>
      <c r="M857" s="18"/>
    </row>
    <row r="858" spans="1:13" ht="14.25" customHeight="1">
      <c r="A858" s="17"/>
      <c r="M858" s="18"/>
    </row>
    <row r="859" spans="1:13" ht="14.25" customHeight="1">
      <c r="A859" s="17"/>
      <c r="M859" s="18"/>
    </row>
    <row r="860" spans="1:13" ht="14.25" customHeight="1">
      <c r="A860" s="17"/>
      <c r="M860" s="18"/>
    </row>
    <row r="861" spans="1:13" ht="14.25" customHeight="1">
      <c r="A861" s="17"/>
      <c r="M861" s="18"/>
    </row>
    <row r="862" spans="1:13" ht="14.25" customHeight="1">
      <c r="A862" s="17"/>
      <c r="M862" s="18"/>
    </row>
    <row r="863" spans="1:13" ht="14.25" customHeight="1">
      <c r="A863" s="17"/>
      <c r="M863" s="18"/>
    </row>
    <row r="864" spans="1:13" ht="14.25" customHeight="1">
      <c r="A864" s="17"/>
      <c r="M864" s="18"/>
    </row>
    <row r="865" spans="1:13" ht="14.25" customHeight="1">
      <c r="A865" s="17"/>
      <c r="M865" s="18"/>
    </row>
    <row r="866" spans="1:13" ht="14.25" customHeight="1">
      <c r="A866" s="17"/>
      <c r="M866" s="18"/>
    </row>
    <row r="867" spans="1:13" ht="14.25" customHeight="1">
      <c r="A867" s="17"/>
      <c r="M867" s="18"/>
    </row>
    <row r="868" spans="1:13" ht="14.25" customHeight="1">
      <c r="A868" s="17"/>
      <c r="M868" s="18"/>
    </row>
    <row r="869" spans="1:13" ht="14.25" customHeight="1">
      <c r="A869" s="17"/>
      <c r="M869" s="18"/>
    </row>
    <row r="870" spans="1:13" ht="14.25" customHeight="1">
      <c r="A870" s="17"/>
      <c r="M870" s="18"/>
    </row>
    <row r="871" spans="1:13" ht="14.25" customHeight="1">
      <c r="A871" s="17"/>
      <c r="M871" s="18"/>
    </row>
    <row r="872" spans="1:13" ht="14.25" customHeight="1">
      <c r="A872" s="17"/>
      <c r="M872" s="18"/>
    </row>
    <row r="873" spans="1:13" ht="14.25" customHeight="1">
      <c r="A873" s="17"/>
      <c r="M873" s="18"/>
    </row>
    <row r="874" spans="1:13" ht="14.25" customHeight="1">
      <c r="A874" s="17"/>
      <c r="M874" s="18"/>
    </row>
    <row r="875" spans="1:13" ht="14.25" customHeight="1">
      <c r="A875" s="17"/>
      <c r="M875" s="18"/>
    </row>
    <row r="876" spans="1:13" ht="14.25" customHeight="1">
      <c r="A876" s="17"/>
      <c r="M876" s="18"/>
    </row>
    <row r="877" spans="1:13" ht="14.25" customHeight="1">
      <c r="A877" s="17"/>
      <c r="M877" s="18"/>
    </row>
    <row r="878" spans="1:13" ht="14.25" customHeight="1">
      <c r="A878" s="17"/>
      <c r="M878" s="18"/>
    </row>
    <row r="879" spans="1:13" ht="14.25" customHeight="1">
      <c r="A879" s="17"/>
      <c r="M879" s="18"/>
    </row>
    <row r="880" spans="1:13" ht="14.25" customHeight="1">
      <c r="A880" s="17"/>
      <c r="M880" s="18"/>
    </row>
    <row r="881" spans="1:13" ht="14.25" customHeight="1">
      <c r="A881" s="17"/>
      <c r="M881" s="18"/>
    </row>
    <row r="882" spans="1:13" ht="14.25" customHeight="1">
      <c r="A882" s="17"/>
      <c r="M882" s="18"/>
    </row>
    <row r="883" spans="1:13" ht="14.25" customHeight="1">
      <c r="A883" s="17"/>
      <c r="M883" s="18"/>
    </row>
    <row r="884" spans="1:13" ht="14.25" customHeight="1">
      <c r="A884" s="17"/>
      <c r="M884" s="18"/>
    </row>
    <row r="885" spans="1:13" ht="14.25" customHeight="1">
      <c r="A885" s="17"/>
      <c r="M885" s="18"/>
    </row>
    <row r="886" spans="1:13" ht="14.25" customHeight="1">
      <c r="A886" s="17"/>
      <c r="M886" s="18"/>
    </row>
    <row r="887" spans="1:13" ht="14.25" customHeight="1">
      <c r="A887" s="17"/>
      <c r="M887" s="18"/>
    </row>
    <row r="888" spans="1:13" ht="14.25" customHeight="1">
      <c r="A888" s="17"/>
      <c r="M888" s="18"/>
    </row>
    <row r="889" spans="1:13" ht="14.25" customHeight="1">
      <c r="A889" s="17"/>
      <c r="M889" s="18"/>
    </row>
    <row r="890" spans="1:13" ht="14.25" customHeight="1">
      <c r="A890" s="17"/>
      <c r="M890" s="18"/>
    </row>
    <row r="891" spans="1:13" ht="14.25" customHeight="1">
      <c r="A891" s="17"/>
      <c r="M891" s="18"/>
    </row>
    <row r="892" spans="1:13" ht="14.25" customHeight="1">
      <c r="A892" s="17"/>
      <c r="M892" s="18"/>
    </row>
    <row r="893" spans="1:13" ht="14.25" customHeight="1">
      <c r="A893" s="17"/>
      <c r="M893" s="18"/>
    </row>
    <row r="894" spans="1:13" ht="14.25" customHeight="1">
      <c r="A894" s="17"/>
      <c r="M894" s="18"/>
    </row>
    <row r="895" spans="1:13" ht="14.25" customHeight="1">
      <c r="A895" s="17"/>
      <c r="M895" s="18"/>
    </row>
    <row r="896" spans="1:13" ht="14.25" customHeight="1">
      <c r="A896" s="17"/>
      <c r="M896" s="18"/>
    </row>
    <row r="897" spans="1:13" ht="14.25" customHeight="1">
      <c r="A897" s="17"/>
      <c r="M897" s="18"/>
    </row>
    <row r="898" spans="1:13" ht="14.25" customHeight="1">
      <c r="A898" s="17"/>
      <c r="M898" s="18"/>
    </row>
    <row r="899" spans="1:13" ht="14.25" customHeight="1">
      <c r="A899" s="17"/>
      <c r="M899" s="18"/>
    </row>
    <row r="900" spans="1:13" ht="14.25" customHeight="1">
      <c r="A900" s="17"/>
      <c r="M900" s="18"/>
    </row>
    <row r="901" spans="1:13" ht="14.25" customHeight="1">
      <c r="A901" s="17"/>
      <c r="M901" s="18"/>
    </row>
    <row r="902" spans="1:13" ht="14.25" customHeight="1">
      <c r="A902" s="17"/>
      <c r="M902" s="18"/>
    </row>
    <row r="903" spans="1:13" ht="14.25" customHeight="1">
      <c r="A903" s="17"/>
      <c r="M903" s="18"/>
    </row>
    <row r="904" spans="1:13" ht="14.25" customHeight="1">
      <c r="A904" s="17"/>
      <c r="M904" s="18"/>
    </row>
    <row r="905" spans="1:13" ht="14.25" customHeight="1">
      <c r="A905" s="17"/>
      <c r="M905" s="18"/>
    </row>
    <row r="906" spans="1:13" ht="14.25" customHeight="1">
      <c r="A906" s="17"/>
      <c r="M906" s="18"/>
    </row>
    <row r="907" spans="1:13" ht="14.25" customHeight="1">
      <c r="A907" s="17"/>
      <c r="M907" s="18"/>
    </row>
    <row r="908" spans="1:13" ht="14.25" customHeight="1">
      <c r="A908" s="17"/>
      <c r="M908" s="18"/>
    </row>
    <row r="909" spans="1:13" ht="14.25" customHeight="1">
      <c r="A909" s="17"/>
      <c r="M909" s="18"/>
    </row>
    <row r="910" spans="1:13" ht="14.25" customHeight="1">
      <c r="A910" s="17"/>
      <c r="M910" s="18"/>
    </row>
    <row r="911" spans="1:13" ht="14.25" customHeight="1">
      <c r="A911" s="17"/>
      <c r="M911" s="18"/>
    </row>
    <row r="912" spans="1:13" ht="14.25" customHeight="1">
      <c r="A912" s="17"/>
      <c r="M912" s="18"/>
    </row>
    <row r="913" spans="1:13" ht="14.25" customHeight="1">
      <c r="A913" s="17"/>
      <c r="M913" s="18"/>
    </row>
    <row r="914" spans="1:13" ht="14.25" customHeight="1">
      <c r="A914" s="17"/>
      <c r="M914" s="18"/>
    </row>
    <row r="915" spans="1:13" ht="14.25" customHeight="1">
      <c r="A915" s="17"/>
      <c r="M915" s="18"/>
    </row>
    <row r="916" spans="1:13" ht="14.25" customHeight="1">
      <c r="A916" s="17"/>
      <c r="M916" s="18"/>
    </row>
    <row r="917" spans="1:13" ht="14.25" customHeight="1">
      <c r="A917" s="17"/>
      <c r="M917" s="18"/>
    </row>
    <row r="918" spans="1:13" ht="14.25" customHeight="1">
      <c r="A918" s="17"/>
      <c r="M918" s="18"/>
    </row>
    <row r="919" spans="1:13" ht="14.25" customHeight="1">
      <c r="A919" s="17"/>
      <c r="M919" s="18"/>
    </row>
    <row r="920" spans="1:13" ht="14.25" customHeight="1">
      <c r="A920" s="17"/>
      <c r="M920" s="18"/>
    </row>
    <row r="921" spans="1:13" ht="14.25" customHeight="1">
      <c r="A921" s="17"/>
      <c r="M921" s="18"/>
    </row>
    <row r="922" spans="1:13" ht="14.25" customHeight="1">
      <c r="A922" s="17"/>
      <c r="M922" s="18"/>
    </row>
    <row r="923" spans="1:13" ht="14.25" customHeight="1">
      <c r="A923" s="17"/>
      <c r="M923" s="18"/>
    </row>
    <row r="924" spans="1:13" ht="14.25" customHeight="1">
      <c r="A924" s="17"/>
      <c r="M924" s="18"/>
    </row>
    <row r="925" spans="1:13" ht="14.25" customHeight="1">
      <c r="A925" s="17"/>
      <c r="M925" s="18"/>
    </row>
    <row r="926" spans="1:13" ht="14.25" customHeight="1">
      <c r="A926" s="17"/>
      <c r="M926" s="18"/>
    </row>
    <row r="927" spans="1:13" ht="14.25" customHeight="1">
      <c r="A927" s="17"/>
      <c r="M927" s="18"/>
    </row>
    <row r="928" spans="1:13" ht="14.25" customHeight="1">
      <c r="A928" s="17"/>
      <c r="M928" s="18"/>
    </row>
    <row r="929" spans="1:13" ht="14.25" customHeight="1">
      <c r="A929" s="17"/>
      <c r="M929" s="18"/>
    </row>
    <row r="930" spans="1:13" ht="14.25" customHeight="1">
      <c r="A930" s="17"/>
      <c r="M930" s="18"/>
    </row>
    <row r="931" spans="1:13" ht="14.25" customHeight="1">
      <c r="A931" s="17"/>
      <c r="M931" s="18"/>
    </row>
    <row r="932" spans="1:13" ht="14.25" customHeight="1">
      <c r="A932" s="17"/>
      <c r="M932" s="18"/>
    </row>
    <row r="933" spans="1:13" ht="14.25" customHeight="1">
      <c r="A933" s="17"/>
      <c r="M933" s="18"/>
    </row>
    <row r="934" spans="1:13" ht="14.25" customHeight="1">
      <c r="A934" s="17"/>
      <c r="M934" s="18"/>
    </row>
    <row r="935" spans="1:13" ht="14.25" customHeight="1">
      <c r="A935" s="17"/>
      <c r="M935" s="18"/>
    </row>
    <row r="936" spans="1:13" ht="14.25" customHeight="1">
      <c r="A936" s="17"/>
      <c r="M936" s="18"/>
    </row>
    <row r="937" spans="1:13" ht="14.25" customHeight="1">
      <c r="A937" s="17"/>
      <c r="M937" s="18"/>
    </row>
    <row r="938" spans="1:13" ht="14.25" customHeight="1">
      <c r="A938" s="17"/>
      <c r="M938" s="18"/>
    </row>
    <row r="939" spans="1:13" ht="14.25" customHeight="1">
      <c r="A939" s="17"/>
      <c r="M939" s="18"/>
    </row>
    <row r="940" spans="1:13" ht="14.25" customHeight="1">
      <c r="A940" s="17"/>
      <c r="M940" s="18"/>
    </row>
    <row r="941" spans="1:13" ht="14.25" customHeight="1">
      <c r="A941" s="17"/>
      <c r="M941" s="18"/>
    </row>
    <row r="942" spans="1:13" ht="14.25" customHeight="1">
      <c r="A942" s="17"/>
      <c r="M942" s="18"/>
    </row>
    <row r="943" spans="1:13" ht="14.25" customHeight="1">
      <c r="A943" s="17"/>
      <c r="M943" s="18"/>
    </row>
    <row r="944" spans="1:13" ht="14.25" customHeight="1">
      <c r="A944" s="17"/>
      <c r="M944" s="18"/>
    </row>
    <row r="945" spans="1:13" ht="14.25" customHeight="1">
      <c r="A945" s="17"/>
      <c r="M945" s="18"/>
    </row>
    <row r="946" spans="1:13" ht="14.25" customHeight="1">
      <c r="A946" s="17"/>
      <c r="M946" s="18"/>
    </row>
    <row r="947" spans="1:13" ht="14.25" customHeight="1">
      <c r="A947" s="17"/>
      <c r="M947" s="18"/>
    </row>
    <row r="948" spans="1:13" ht="14.25" customHeight="1">
      <c r="A948" s="17"/>
      <c r="M948" s="18"/>
    </row>
    <row r="949" spans="1:13" ht="14.25" customHeight="1">
      <c r="A949" s="17"/>
      <c r="M949" s="18"/>
    </row>
    <row r="950" spans="1:13" ht="14.25" customHeight="1">
      <c r="A950" s="17"/>
      <c r="M950" s="18"/>
    </row>
    <row r="951" spans="1:13" ht="14.25" customHeight="1">
      <c r="A951" s="17"/>
      <c r="M951" s="18"/>
    </row>
    <row r="952" spans="1:13" ht="14.25" customHeight="1">
      <c r="A952" s="17"/>
      <c r="M952" s="18"/>
    </row>
    <row r="953" spans="1:13" ht="14.25" customHeight="1">
      <c r="A953" s="17"/>
      <c r="M953" s="18"/>
    </row>
    <row r="954" spans="1:13" ht="14.25" customHeight="1">
      <c r="A954" s="17"/>
      <c r="M954" s="18"/>
    </row>
    <row r="955" spans="1:13" ht="14.25" customHeight="1">
      <c r="A955" s="17"/>
      <c r="M955" s="18"/>
    </row>
    <row r="956" spans="1:13" ht="14.25" customHeight="1">
      <c r="A956" s="17"/>
      <c r="M956" s="18"/>
    </row>
    <row r="957" spans="1:13" ht="14.25" customHeight="1">
      <c r="A957" s="17"/>
      <c r="M957" s="18"/>
    </row>
    <row r="958" spans="1:13" ht="14.25" customHeight="1">
      <c r="A958" s="17"/>
      <c r="M958" s="18"/>
    </row>
    <row r="959" spans="1:13" ht="14.25" customHeight="1">
      <c r="A959" s="17"/>
      <c r="M959" s="18"/>
    </row>
    <row r="960" spans="1:13" ht="14.25" customHeight="1">
      <c r="A960" s="17"/>
      <c r="M960" s="18"/>
    </row>
    <row r="961" spans="1:13" ht="14.25" customHeight="1">
      <c r="A961" s="17"/>
      <c r="M961" s="18"/>
    </row>
    <row r="962" spans="1:13" ht="14.25" customHeight="1">
      <c r="A962" s="17"/>
      <c r="M962" s="18"/>
    </row>
    <row r="963" spans="1:13" ht="14.25" customHeight="1">
      <c r="A963" s="17"/>
      <c r="M963" s="18"/>
    </row>
    <row r="964" spans="1:13" ht="14.25" customHeight="1">
      <c r="A964" s="17"/>
      <c r="M964" s="18"/>
    </row>
    <row r="965" spans="1:13" ht="14.25" customHeight="1">
      <c r="A965" s="17"/>
      <c r="M965" s="18"/>
    </row>
    <row r="966" spans="1:13" ht="14.25" customHeight="1">
      <c r="A966" s="17"/>
      <c r="M966" s="18"/>
    </row>
    <row r="967" spans="1:13" ht="14.25" customHeight="1">
      <c r="A967" s="17"/>
      <c r="M967" s="18"/>
    </row>
    <row r="968" spans="1:13" ht="14.25" customHeight="1">
      <c r="A968" s="17"/>
      <c r="M968" s="18"/>
    </row>
    <row r="969" spans="1:13" ht="14.25" customHeight="1">
      <c r="A969" s="17"/>
      <c r="M969" s="18"/>
    </row>
  </sheetData>
  <pageMargins left="0.7" right="0.7" top="0.75" bottom="0.75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F3A312B5-B84B-41A4-93A6-27D2E5D9125F}">
          <x14:formula1>
            <xm:f>DATA!$A$1:$A$24</xm:f>
          </x14:formula1>
          <xm:sqref>D2:D369</xm:sqref>
        </x14:dataValidation>
        <x14:dataValidation type="list" allowBlank="1" showErrorMessage="1" xr:uid="{EBE65298-6BAA-4566-BE42-2746162FDF31}">
          <x14:formula1>
            <xm:f>DATA!$B:$B</xm:f>
          </x14:formula1>
          <xm:sqref>C2:C369</xm:sqref>
        </x14:dataValidation>
        <x14:dataValidation type="list" allowBlank="1" showErrorMessage="1" xr:uid="{C1068614-EC80-4EBB-AC7D-8B36A530FF4D}">
          <x14:formula1>
            <xm:f>DATA!$C:$C</xm:f>
          </x14:formula1>
          <xm:sqref>B2:B369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4683E-2E98-4877-882B-52B9B92CF1D2}">
  <sheetPr codeName="Sheet9"/>
  <dimension ref="A1:AV969"/>
  <sheetViews>
    <sheetView tabSelected="1" zoomScale="83" zoomScaleNormal="83" workbookViewId="0">
      <pane ySplit="1" topLeftCell="A5" activePane="bottomLeft" state="frozen"/>
      <selection pane="bottomLeft" activeCell="D16" sqref="D16"/>
    </sheetView>
  </sheetViews>
  <sheetFormatPr defaultColWidth="14.453125" defaultRowHeight="15" customHeight="1"/>
  <cols>
    <col min="1" max="1" width="15.6328125" style="16" customWidth="1"/>
    <col min="2" max="2" width="22.81640625" style="16" customWidth="1"/>
    <col min="3" max="3" width="18.54296875" style="16" customWidth="1"/>
    <col min="4" max="4" width="13.7265625" style="16" customWidth="1"/>
    <col min="5" max="10" width="7.7265625" style="16" customWidth="1"/>
    <col min="11" max="11" width="9.81640625" style="16" customWidth="1"/>
    <col min="12" max="12" width="16.36328125" style="16" bestFit="1" customWidth="1"/>
    <col min="13" max="14" width="14.08984375" style="16" customWidth="1"/>
    <col min="15" max="16" width="8.7265625" style="16" customWidth="1"/>
    <col min="17" max="17" width="18" style="16" bestFit="1" customWidth="1"/>
    <col min="18" max="18" width="11.08984375" style="16" bestFit="1" customWidth="1"/>
    <col min="19" max="19" width="14.08984375" style="16" customWidth="1"/>
    <col min="20" max="21" width="8.7265625" style="16" customWidth="1"/>
    <col min="22" max="22" width="18" style="16" bestFit="1" customWidth="1"/>
    <col min="23" max="26" width="8.7265625" style="16" customWidth="1"/>
    <col min="27" max="27" width="11.81640625" style="16" bestFit="1" customWidth="1"/>
    <col min="28" max="28" width="35.453125" style="16" customWidth="1"/>
    <col min="29" max="29" width="18.36328125" style="16" bestFit="1" customWidth="1"/>
    <col min="30" max="30" width="13.81640625" style="16" bestFit="1" customWidth="1"/>
    <col min="31" max="31" width="4.26953125" style="16" bestFit="1" customWidth="1"/>
    <col min="32" max="32" width="4.7265625" style="16" bestFit="1" customWidth="1"/>
    <col min="33" max="33" width="4.1796875" style="16" bestFit="1" customWidth="1"/>
    <col min="34" max="34" width="6.81640625" style="16" bestFit="1" customWidth="1"/>
    <col min="35" max="36" width="4.26953125" style="16" bestFit="1" customWidth="1"/>
    <col min="37" max="37" width="10.08984375" style="16" bestFit="1" customWidth="1"/>
    <col min="38" max="38" width="16.36328125" style="16" bestFit="1" customWidth="1"/>
    <col min="39" max="39" width="11.7265625" style="16" bestFit="1" customWidth="1"/>
    <col min="40" max="40" width="13.81640625" style="16" bestFit="1" customWidth="1"/>
    <col min="41" max="41" width="4.26953125" style="16" bestFit="1" customWidth="1"/>
    <col min="42" max="42" width="8.26953125" style="16" bestFit="1" customWidth="1"/>
    <col min="43" max="43" width="18" style="16" bestFit="1" customWidth="1"/>
    <col min="44" max="44" width="11.08984375" style="16" bestFit="1" customWidth="1"/>
    <col min="45" max="45" width="13.81640625" style="16" bestFit="1" customWidth="1"/>
    <col min="46" max="46" width="3.7265625" style="16" bestFit="1" customWidth="1"/>
    <col min="47" max="47" width="8.26953125" style="16" bestFit="1" customWidth="1"/>
    <col min="48" max="48" width="18" style="16" bestFit="1" customWidth="1"/>
    <col min="49" max="16384" width="14.453125" style="16"/>
  </cols>
  <sheetData>
    <row r="1" spans="1:48" s="54" customFormat="1" ht="33.5" customHeight="1">
      <c r="A1" s="10" t="s">
        <v>0</v>
      </c>
      <c r="B1" s="53" t="s">
        <v>2</v>
      </c>
      <c r="C1" s="10" t="s">
        <v>3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>
        <v>12</v>
      </c>
      <c r="J1" s="10">
        <v>14</v>
      </c>
      <c r="K1" s="11" t="s">
        <v>10</v>
      </c>
      <c r="L1" s="20" t="s">
        <v>45</v>
      </c>
      <c r="M1" s="10" t="s">
        <v>11</v>
      </c>
      <c r="N1" s="19" t="s">
        <v>52</v>
      </c>
      <c r="O1" s="21" t="s">
        <v>46</v>
      </c>
      <c r="P1" s="22" t="s">
        <v>27</v>
      </c>
      <c r="Q1" s="19" t="s">
        <v>53</v>
      </c>
      <c r="R1" s="22" t="s">
        <v>51</v>
      </c>
      <c r="S1" s="19" t="s">
        <v>52</v>
      </c>
      <c r="T1" s="21" t="s">
        <v>46</v>
      </c>
      <c r="U1" s="22" t="s">
        <v>27</v>
      </c>
      <c r="V1" s="19" t="s">
        <v>53</v>
      </c>
      <c r="AA1" s="55" t="s">
        <v>61</v>
      </c>
      <c r="AB1" s="55" t="s">
        <v>62</v>
      </c>
    </row>
    <row r="2" spans="1:48" ht="14.25" customHeight="1">
      <c r="A2" s="50"/>
      <c r="B2" s="14" t="s">
        <v>16</v>
      </c>
      <c r="C2" s="14" t="s">
        <v>18</v>
      </c>
      <c r="D2" s="14"/>
      <c r="E2" s="14">
        <v>30</v>
      </c>
      <c r="F2" s="14">
        <v>30</v>
      </c>
      <c r="G2" s="14">
        <v>30</v>
      </c>
      <c r="H2" s="14">
        <v>30</v>
      </c>
      <c r="I2" s="14"/>
      <c r="J2" s="14"/>
      <c r="K2" s="15">
        <f t="shared" ref="K2:K225" si="0">SUM(D2:J2)</f>
        <v>120</v>
      </c>
      <c r="L2" s="24"/>
      <c r="M2" s="14" t="s">
        <v>54</v>
      </c>
      <c r="N2" s="52">
        <v>46235</v>
      </c>
      <c r="O2" s="24">
        <v>100</v>
      </c>
      <c r="P2" s="24">
        <f>O2-K2</f>
        <v>-20</v>
      </c>
      <c r="Q2" s="23" t="s">
        <v>87</v>
      </c>
      <c r="R2" s="24" t="s">
        <v>60</v>
      </c>
      <c r="S2" s="52"/>
      <c r="T2" s="24"/>
      <c r="U2" s="24">
        <f>T2-O2</f>
        <v>-100</v>
      </c>
      <c r="V2" s="24"/>
      <c r="AA2" s="20" t="s">
        <v>0</v>
      </c>
      <c r="AB2" s="20" t="s">
        <v>2</v>
      </c>
      <c r="AC2" s="20" t="s">
        <v>3</v>
      </c>
      <c r="AD2" s="20" t="s">
        <v>5</v>
      </c>
      <c r="AE2" s="20" t="s">
        <v>6</v>
      </c>
      <c r="AF2" s="20" t="s">
        <v>7</v>
      </c>
      <c r="AG2" s="20" t="s">
        <v>8</v>
      </c>
      <c r="AH2" s="20" t="s">
        <v>9</v>
      </c>
      <c r="AI2" s="20">
        <v>12</v>
      </c>
      <c r="AJ2" s="20">
        <v>14</v>
      </c>
      <c r="AK2" s="56" t="s">
        <v>10</v>
      </c>
      <c r="AL2" s="20" t="s">
        <v>45</v>
      </c>
      <c r="AM2" s="20" t="s">
        <v>11</v>
      </c>
      <c r="AN2" s="20" t="s">
        <v>52</v>
      </c>
      <c r="AO2" s="21" t="s">
        <v>46</v>
      </c>
      <c r="AP2" s="22" t="s">
        <v>27</v>
      </c>
      <c r="AQ2" s="20" t="s">
        <v>53</v>
      </c>
      <c r="AR2" s="22" t="s">
        <v>51</v>
      </c>
      <c r="AS2" s="20" t="s">
        <v>52</v>
      </c>
      <c r="AT2" s="21" t="s">
        <v>46</v>
      </c>
      <c r="AU2" s="22" t="s">
        <v>27</v>
      </c>
      <c r="AV2" s="20" t="s">
        <v>53</v>
      </c>
    </row>
    <row r="3" spans="1:48" ht="14.25" customHeight="1">
      <c r="A3" s="50"/>
      <c r="B3" s="14"/>
      <c r="C3" s="14"/>
      <c r="D3" s="14"/>
      <c r="E3" s="14"/>
      <c r="F3" s="14"/>
      <c r="G3" s="14"/>
      <c r="H3" s="14"/>
      <c r="I3" s="14"/>
      <c r="J3" s="14"/>
      <c r="K3" s="15">
        <f t="shared" si="0"/>
        <v>0</v>
      </c>
      <c r="L3" s="24"/>
      <c r="M3" s="14" t="s">
        <v>55</v>
      </c>
      <c r="N3" s="52"/>
      <c r="O3" s="24"/>
      <c r="P3" s="24">
        <f t="shared" ref="P3:P66" si="1">O3-K3</f>
        <v>0</v>
      </c>
      <c r="Q3" s="23"/>
      <c r="R3" s="24"/>
      <c r="S3" s="52"/>
      <c r="T3" s="24"/>
      <c r="U3" s="24">
        <f t="shared" ref="U3:U66" si="2">T3-O3</f>
        <v>0</v>
      </c>
      <c r="V3" s="24"/>
      <c r="AA3" s="24" cm="1">
        <f t="array" ref="AA3:AV370">_xlfn._xlws.FILTER(A2:V369,ISNUMBER(SEARCH(AB1,A2:A369&amp;B2:B369&amp;C2:C369&amp;D2:D369&amp;E2:E369&amp;F2:F369&amp;G2:G369&amp;H2:H369&amp;I2:I369&amp;J2:J369&amp;K2:K369&amp;L2:L369&amp;M2:M369&amp;N2:N369&amp;O2:O369&amp;P2:P369&amp;Q2:Q369&amp;R2:R369&amp;S2:S369&amp;T2:T369&amp;U2:U369&amp;V2:V369)),"")</f>
        <v>0</v>
      </c>
      <c r="AB3" s="24" t="str">
        <v>KUTUBARU</v>
      </c>
      <c r="AC3" s="24" t="str">
        <v>MAHOGANY</v>
      </c>
      <c r="AD3" s="24">
        <v>0</v>
      </c>
      <c r="AE3" s="24">
        <v>30</v>
      </c>
      <c r="AF3" s="24">
        <v>30</v>
      </c>
      <c r="AG3" s="24">
        <v>30</v>
      </c>
      <c r="AH3" s="24">
        <v>30</v>
      </c>
      <c r="AI3" s="24">
        <v>0</v>
      </c>
      <c r="AJ3" s="24">
        <v>0</v>
      </c>
      <c r="AK3" s="24">
        <v>120</v>
      </c>
      <c r="AL3" s="24">
        <v>0</v>
      </c>
      <c r="AM3" s="24" t="str">
        <v>ACIL</v>
      </c>
      <c r="AN3" s="24">
        <v>46235</v>
      </c>
      <c r="AO3" s="24">
        <v>100</v>
      </c>
      <c r="AP3" s="24">
        <v>-20</v>
      </c>
      <c r="AQ3" s="24" t="str">
        <v>BELUM SELESAI</v>
      </c>
      <c r="AR3" s="24" t="str">
        <v>BI NUR</v>
      </c>
      <c r="AS3" s="24">
        <v>0</v>
      </c>
      <c r="AT3" s="24">
        <v>0</v>
      </c>
      <c r="AU3" s="24">
        <v>-100</v>
      </c>
      <c r="AV3" s="24">
        <v>0</v>
      </c>
    </row>
    <row r="4" spans="1:48" ht="14.25" customHeight="1">
      <c r="A4" s="50"/>
      <c r="B4" s="14"/>
      <c r="C4" s="14"/>
      <c r="D4" s="14"/>
      <c r="E4" s="14"/>
      <c r="F4" s="14"/>
      <c r="G4" s="14"/>
      <c r="H4" s="14"/>
      <c r="I4" s="14"/>
      <c r="J4" s="14"/>
      <c r="K4" s="15">
        <f t="shared" si="0"/>
        <v>0</v>
      </c>
      <c r="L4" s="24"/>
      <c r="M4" s="14"/>
      <c r="N4" s="52"/>
      <c r="O4" s="24"/>
      <c r="P4" s="24">
        <f t="shared" si="1"/>
        <v>0</v>
      </c>
      <c r="Q4" s="23"/>
      <c r="R4" s="24"/>
      <c r="S4" s="52"/>
      <c r="T4" s="24"/>
      <c r="U4" s="24">
        <f t="shared" si="2"/>
        <v>0</v>
      </c>
      <c r="V4" s="24"/>
      <c r="AA4" s="24">
        <v>0</v>
      </c>
      <c r="AB4" s="24">
        <v>0</v>
      </c>
      <c r="AC4" s="24">
        <v>0</v>
      </c>
      <c r="AD4" s="24">
        <v>0</v>
      </c>
      <c r="AE4" s="24">
        <v>0</v>
      </c>
      <c r="AF4" s="24">
        <v>0</v>
      </c>
      <c r="AG4" s="24">
        <v>0</v>
      </c>
      <c r="AH4" s="24">
        <v>0</v>
      </c>
      <c r="AI4" s="24">
        <v>0</v>
      </c>
      <c r="AJ4" s="24">
        <v>0</v>
      </c>
      <c r="AK4" s="24">
        <v>0</v>
      </c>
      <c r="AL4" s="24">
        <v>0</v>
      </c>
      <c r="AM4" s="24" t="str">
        <v>KANE</v>
      </c>
      <c r="AN4" s="24">
        <v>0</v>
      </c>
      <c r="AO4" s="24">
        <v>0</v>
      </c>
      <c r="AP4" s="24">
        <v>0</v>
      </c>
      <c r="AQ4" s="24">
        <v>0</v>
      </c>
      <c r="AR4" s="24">
        <v>0</v>
      </c>
      <c r="AS4" s="24">
        <v>0</v>
      </c>
      <c r="AT4" s="24">
        <v>0</v>
      </c>
      <c r="AU4" s="24">
        <v>0</v>
      </c>
      <c r="AV4" s="24">
        <v>0</v>
      </c>
    </row>
    <row r="5" spans="1:48" ht="14.25" customHeight="1">
      <c r="A5" s="50"/>
      <c r="B5" s="14"/>
      <c r="C5" s="14"/>
      <c r="D5" s="14"/>
      <c r="E5" s="14"/>
      <c r="F5" s="14"/>
      <c r="G5" s="14"/>
      <c r="H5" s="14"/>
      <c r="I5" s="14"/>
      <c r="J5" s="14"/>
      <c r="K5" s="15">
        <f t="shared" si="0"/>
        <v>0</v>
      </c>
      <c r="L5" s="24"/>
      <c r="M5" s="14"/>
      <c r="N5" s="52"/>
      <c r="O5" s="24"/>
      <c r="P5" s="24">
        <f t="shared" si="1"/>
        <v>0</v>
      </c>
      <c r="Q5" s="23"/>
      <c r="R5" s="24"/>
      <c r="S5" s="52"/>
      <c r="T5" s="24"/>
      <c r="U5" s="24">
        <f t="shared" si="2"/>
        <v>0</v>
      </c>
      <c r="V5" s="24"/>
      <c r="AA5" s="24">
        <v>0</v>
      </c>
      <c r="AB5" s="24">
        <v>0</v>
      </c>
      <c r="AC5" s="24">
        <v>0</v>
      </c>
      <c r="AD5" s="24">
        <v>0</v>
      </c>
      <c r="AE5" s="24">
        <v>0</v>
      </c>
      <c r="AF5" s="24">
        <v>0</v>
      </c>
      <c r="AG5" s="24">
        <v>0</v>
      </c>
      <c r="AH5" s="24">
        <v>0</v>
      </c>
      <c r="AI5" s="24">
        <v>0</v>
      </c>
      <c r="AJ5" s="24">
        <v>0</v>
      </c>
      <c r="AK5" s="24">
        <v>0</v>
      </c>
      <c r="AL5" s="24">
        <v>0</v>
      </c>
      <c r="AM5" s="24">
        <v>0</v>
      </c>
      <c r="AN5" s="24">
        <v>0</v>
      </c>
      <c r="AO5" s="24">
        <v>0</v>
      </c>
      <c r="AP5" s="24">
        <v>0</v>
      </c>
      <c r="AQ5" s="24">
        <v>0</v>
      </c>
      <c r="AR5" s="24">
        <v>0</v>
      </c>
      <c r="AS5" s="24">
        <v>0</v>
      </c>
      <c r="AT5" s="24">
        <v>0</v>
      </c>
      <c r="AU5" s="24">
        <v>0</v>
      </c>
      <c r="AV5" s="24">
        <v>0</v>
      </c>
    </row>
    <row r="6" spans="1:48" ht="14.25" customHeight="1">
      <c r="A6" s="50"/>
      <c r="B6" s="14"/>
      <c r="C6" s="14"/>
      <c r="D6" s="14"/>
      <c r="E6" s="14"/>
      <c r="F6" s="14"/>
      <c r="G6" s="14"/>
      <c r="H6" s="14"/>
      <c r="I6" s="14"/>
      <c r="J6" s="14"/>
      <c r="K6" s="15">
        <f t="shared" si="0"/>
        <v>0</v>
      </c>
      <c r="L6" s="24"/>
      <c r="M6" s="14"/>
      <c r="N6" s="52"/>
      <c r="O6" s="24"/>
      <c r="P6" s="24">
        <f t="shared" si="1"/>
        <v>0</v>
      </c>
      <c r="Q6" s="23"/>
      <c r="R6" s="24"/>
      <c r="S6" s="52"/>
      <c r="T6" s="24"/>
      <c r="U6" s="24">
        <f t="shared" si="2"/>
        <v>0</v>
      </c>
      <c r="V6" s="24"/>
      <c r="AA6" s="24">
        <v>0</v>
      </c>
      <c r="AB6" s="24">
        <v>0</v>
      </c>
      <c r="AC6" s="24">
        <v>0</v>
      </c>
      <c r="AD6" s="24">
        <v>0</v>
      </c>
      <c r="AE6" s="24">
        <v>0</v>
      </c>
      <c r="AF6" s="24">
        <v>0</v>
      </c>
      <c r="AG6" s="24">
        <v>0</v>
      </c>
      <c r="AH6" s="24">
        <v>0</v>
      </c>
      <c r="AI6" s="24">
        <v>0</v>
      </c>
      <c r="AJ6" s="24">
        <v>0</v>
      </c>
      <c r="AK6" s="24">
        <v>0</v>
      </c>
      <c r="AL6" s="24">
        <v>0</v>
      </c>
      <c r="AM6" s="24">
        <v>0</v>
      </c>
      <c r="AN6" s="24">
        <v>0</v>
      </c>
      <c r="AO6" s="24">
        <v>0</v>
      </c>
      <c r="AP6" s="24">
        <v>0</v>
      </c>
      <c r="AQ6" s="24">
        <v>0</v>
      </c>
      <c r="AR6" s="24">
        <v>0</v>
      </c>
      <c r="AS6" s="24">
        <v>0</v>
      </c>
      <c r="AT6" s="24">
        <v>0</v>
      </c>
      <c r="AU6" s="24">
        <v>0</v>
      </c>
      <c r="AV6" s="24">
        <v>0</v>
      </c>
    </row>
    <row r="7" spans="1:48" ht="14.25" customHeight="1">
      <c r="A7" s="13"/>
      <c r="B7" s="14"/>
      <c r="C7" s="14"/>
      <c r="D7" s="14"/>
      <c r="E7" s="14"/>
      <c r="F7" s="14"/>
      <c r="G7" s="14"/>
      <c r="H7" s="14"/>
      <c r="I7" s="14"/>
      <c r="J7" s="14"/>
      <c r="K7" s="15">
        <f t="shared" si="0"/>
        <v>0</v>
      </c>
      <c r="L7" s="24"/>
      <c r="M7" s="14"/>
      <c r="N7" s="49"/>
      <c r="O7" s="24"/>
      <c r="P7" s="24">
        <f t="shared" si="1"/>
        <v>0</v>
      </c>
      <c r="Q7" s="23"/>
      <c r="R7" s="24"/>
      <c r="S7" s="49"/>
      <c r="T7" s="24"/>
      <c r="U7" s="24">
        <f t="shared" si="2"/>
        <v>0</v>
      </c>
      <c r="V7" s="24"/>
      <c r="AA7" s="24">
        <v>0</v>
      </c>
      <c r="AB7" s="24">
        <v>0</v>
      </c>
      <c r="AC7" s="24">
        <v>0</v>
      </c>
      <c r="AD7" s="24">
        <v>0</v>
      </c>
      <c r="AE7" s="24">
        <v>0</v>
      </c>
      <c r="AF7" s="24">
        <v>0</v>
      </c>
      <c r="AG7" s="24">
        <v>0</v>
      </c>
      <c r="AH7" s="24">
        <v>0</v>
      </c>
      <c r="AI7" s="24">
        <v>0</v>
      </c>
      <c r="AJ7" s="24">
        <v>0</v>
      </c>
      <c r="AK7" s="24">
        <v>0</v>
      </c>
      <c r="AL7" s="24">
        <v>0</v>
      </c>
      <c r="AM7" s="24">
        <v>0</v>
      </c>
      <c r="AN7" s="24">
        <v>0</v>
      </c>
      <c r="AO7" s="24">
        <v>0</v>
      </c>
      <c r="AP7" s="24">
        <v>0</v>
      </c>
      <c r="AQ7" s="24">
        <v>0</v>
      </c>
      <c r="AR7" s="24">
        <v>0</v>
      </c>
      <c r="AS7" s="24">
        <v>0</v>
      </c>
      <c r="AT7" s="24">
        <v>0</v>
      </c>
      <c r="AU7" s="24">
        <v>0</v>
      </c>
      <c r="AV7" s="24">
        <v>0</v>
      </c>
    </row>
    <row r="8" spans="1:48" ht="14.25" customHeight="1">
      <c r="A8" s="13"/>
      <c r="B8" s="14"/>
      <c r="C8" s="14"/>
      <c r="D8" s="14"/>
      <c r="E8" s="14"/>
      <c r="F8" s="14"/>
      <c r="G8" s="14"/>
      <c r="H8" s="14"/>
      <c r="I8" s="14"/>
      <c r="J8" s="14"/>
      <c r="K8" s="15">
        <f t="shared" si="0"/>
        <v>0</v>
      </c>
      <c r="L8" s="24"/>
      <c r="M8" s="14"/>
      <c r="N8" s="49"/>
      <c r="O8" s="24"/>
      <c r="P8" s="24">
        <f t="shared" si="1"/>
        <v>0</v>
      </c>
      <c r="Q8" s="23"/>
      <c r="R8" s="24"/>
      <c r="S8" s="49"/>
      <c r="T8" s="24"/>
      <c r="U8" s="24">
        <f t="shared" si="2"/>
        <v>0</v>
      </c>
      <c r="V8" s="24"/>
      <c r="AA8" s="24">
        <v>0</v>
      </c>
      <c r="AB8" s="24">
        <v>0</v>
      </c>
      <c r="AC8" s="24">
        <v>0</v>
      </c>
      <c r="AD8" s="24">
        <v>0</v>
      </c>
      <c r="AE8" s="24">
        <v>0</v>
      </c>
      <c r="AF8" s="24">
        <v>0</v>
      </c>
      <c r="AG8" s="24">
        <v>0</v>
      </c>
      <c r="AH8" s="24">
        <v>0</v>
      </c>
      <c r="AI8" s="24">
        <v>0</v>
      </c>
      <c r="AJ8" s="24">
        <v>0</v>
      </c>
      <c r="AK8" s="24">
        <v>0</v>
      </c>
      <c r="AL8" s="24">
        <v>0</v>
      </c>
      <c r="AM8" s="24">
        <v>0</v>
      </c>
      <c r="AN8" s="24">
        <v>0</v>
      </c>
      <c r="AO8" s="24">
        <v>0</v>
      </c>
      <c r="AP8" s="24">
        <v>0</v>
      </c>
      <c r="AQ8" s="24">
        <v>0</v>
      </c>
      <c r="AR8" s="24">
        <v>0</v>
      </c>
      <c r="AS8" s="24">
        <v>0</v>
      </c>
      <c r="AT8" s="24">
        <v>0</v>
      </c>
      <c r="AU8" s="24">
        <v>0</v>
      </c>
      <c r="AV8" s="24">
        <v>0</v>
      </c>
    </row>
    <row r="9" spans="1:48" ht="14.25" customHeight="1">
      <c r="A9" s="13"/>
      <c r="B9" s="14"/>
      <c r="C9" s="14"/>
      <c r="D9" s="14"/>
      <c r="E9" s="14"/>
      <c r="F9" s="14"/>
      <c r="G9" s="14"/>
      <c r="H9" s="14"/>
      <c r="I9" s="14"/>
      <c r="J9" s="14"/>
      <c r="K9" s="15">
        <f t="shared" si="0"/>
        <v>0</v>
      </c>
      <c r="L9" s="24"/>
      <c r="M9" s="14"/>
      <c r="N9" s="49"/>
      <c r="O9" s="24"/>
      <c r="P9" s="24">
        <f t="shared" si="1"/>
        <v>0</v>
      </c>
      <c r="Q9" s="23"/>
      <c r="R9" s="24"/>
      <c r="S9" s="49"/>
      <c r="T9" s="24"/>
      <c r="U9" s="24">
        <f t="shared" si="2"/>
        <v>0</v>
      </c>
      <c r="V9" s="24"/>
      <c r="AA9" s="24">
        <v>0</v>
      </c>
      <c r="AB9" s="24">
        <v>0</v>
      </c>
      <c r="AC9" s="24">
        <v>0</v>
      </c>
      <c r="AD9" s="24">
        <v>0</v>
      </c>
      <c r="AE9" s="24">
        <v>0</v>
      </c>
      <c r="AF9" s="24">
        <v>0</v>
      </c>
      <c r="AG9" s="24">
        <v>0</v>
      </c>
      <c r="AH9" s="24">
        <v>0</v>
      </c>
      <c r="AI9" s="24">
        <v>0</v>
      </c>
      <c r="AJ9" s="24">
        <v>0</v>
      </c>
      <c r="AK9" s="24">
        <v>0</v>
      </c>
      <c r="AL9" s="24">
        <v>0</v>
      </c>
      <c r="AM9" s="24">
        <v>0</v>
      </c>
      <c r="AN9" s="24">
        <v>0</v>
      </c>
      <c r="AO9" s="24">
        <v>0</v>
      </c>
      <c r="AP9" s="24">
        <v>0</v>
      </c>
      <c r="AQ9" s="24">
        <v>0</v>
      </c>
      <c r="AR9" s="24">
        <v>0</v>
      </c>
      <c r="AS9" s="24">
        <v>0</v>
      </c>
      <c r="AT9" s="24">
        <v>0</v>
      </c>
      <c r="AU9" s="24">
        <v>0</v>
      </c>
      <c r="AV9" s="24">
        <v>0</v>
      </c>
    </row>
    <row r="10" spans="1:48" ht="14.25" customHeight="1">
      <c r="A10" s="13"/>
      <c r="B10" s="14"/>
      <c r="C10" s="14"/>
      <c r="D10" s="14"/>
      <c r="E10" s="14"/>
      <c r="F10" s="14"/>
      <c r="G10" s="14"/>
      <c r="H10" s="14"/>
      <c r="I10" s="14"/>
      <c r="J10" s="14"/>
      <c r="K10" s="15">
        <f t="shared" si="0"/>
        <v>0</v>
      </c>
      <c r="L10" s="24"/>
      <c r="M10" s="14"/>
      <c r="N10" s="49"/>
      <c r="O10" s="24"/>
      <c r="P10" s="24">
        <f t="shared" si="1"/>
        <v>0</v>
      </c>
      <c r="Q10" s="23"/>
      <c r="R10" s="24"/>
      <c r="S10" s="49"/>
      <c r="T10" s="24"/>
      <c r="U10" s="24">
        <f t="shared" si="2"/>
        <v>0</v>
      </c>
      <c r="V10" s="24"/>
      <c r="AA10" s="24">
        <v>0</v>
      </c>
      <c r="AB10" s="24">
        <v>0</v>
      </c>
      <c r="AC10" s="24">
        <v>0</v>
      </c>
      <c r="AD10" s="24">
        <v>0</v>
      </c>
      <c r="AE10" s="24">
        <v>0</v>
      </c>
      <c r="AF10" s="24">
        <v>0</v>
      </c>
      <c r="AG10" s="24">
        <v>0</v>
      </c>
      <c r="AH10" s="24">
        <v>0</v>
      </c>
      <c r="AI10" s="24">
        <v>0</v>
      </c>
      <c r="AJ10" s="24">
        <v>0</v>
      </c>
      <c r="AK10" s="24">
        <v>0</v>
      </c>
      <c r="AL10" s="24">
        <v>0</v>
      </c>
      <c r="AM10" s="24">
        <v>0</v>
      </c>
      <c r="AN10" s="24">
        <v>0</v>
      </c>
      <c r="AO10" s="24">
        <v>0</v>
      </c>
      <c r="AP10" s="24">
        <v>0</v>
      </c>
      <c r="AQ10" s="24">
        <v>0</v>
      </c>
      <c r="AR10" s="24">
        <v>0</v>
      </c>
      <c r="AS10" s="24">
        <v>0</v>
      </c>
      <c r="AT10" s="24">
        <v>0</v>
      </c>
      <c r="AU10" s="24">
        <v>0</v>
      </c>
      <c r="AV10" s="24">
        <v>0</v>
      </c>
    </row>
    <row r="11" spans="1:48" ht="14.25" customHeight="1">
      <c r="A11" s="13"/>
      <c r="B11" s="14"/>
      <c r="C11" s="14"/>
      <c r="D11" s="14"/>
      <c r="E11" s="14"/>
      <c r="F11" s="14"/>
      <c r="G11" s="14"/>
      <c r="H11" s="14"/>
      <c r="I11" s="14"/>
      <c r="J11" s="14"/>
      <c r="K11" s="15">
        <f t="shared" si="0"/>
        <v>0</v>
      </c>
      <c r="L11" s="24"/>
      <c r="M11" s="14"/>
      <c r="N11" s="49"/>
      <c r="O11" s="24"/>
      <c r="P11" s="24">
        <f t="shared" si="1"/>
        <v>0</v>
      </c>
      <c r="Q11" s="23"/>
      <c r="R11" s="24"/>
      <c r="S11" s="49"/>
      <c r="T11" s="24"/>
      <c r="U11" s="24">
        <f t="shared" si="2"/>
        <v>0</v>
      </c>
      <c r="V11" s="24"/>
      <c r="AA11" s="24">
        <v>0</v>
      </c>
      <c r="AB11" s="24">
        <v>0</v>
      </c>
      <c r="AC11" s="24">
        <v>0</v>
      </c>
      <c r="AD11" s="24">
        <v>0</v>
      </c>
      <c r="AE11" s="24">
        <v>0</v>
      </c>
      <c r="AF11" s="24">
        <v>0</v>
      </c>
      <c r="AG11" s="24">
        <v>0</v>
      </c>
      <c r="AH11" s="24">
        <v>0</v>
      </c>
      <c r="AI11" s="24">
        <v>0</v>
      </c>
      <c r="AJ11" s="24">
        <v>0</v>
      </c>
      <c r="AK11" s="24">
        <v>0</v>
      </c>
      <c r="AL11" s="24">
        <v>0</v>
      </c>
      <c r="AM11" s="24">
        <v>0</v>
      </c>
      <c r="AN11" s="24">
        <v>0</v>
      </c>
      <c r="AO11" s="24">
        <v>0</v>
      </c>
      <c r="AP11" s="24">
        <v>0</v>
      </c>
      <c r="AQ11" s="24">
        <v>0</v>
      </c>
      <c r="AR11" s="24">
        <v>0</v>
      </c>
      <c r="AS11" s="24">
        <v>0</v>
      </c>
      <c r="AT11" s="24">
        <v>0</v>
      </c>
      <c r="AU11" s="24">
        <v>0</v>
      </c>
      <c r="AV11" s="24">
        <v>0</v>
      </c>
    </row>
    <row r="12" spans="1:48" ht="14.25" customHeight="1">
      <c r="A12" s="13"/>
      <c r="B12" s="14"/>
      <c r="C12" s="14"/>
      <c r="D12" s="14"/>
      <c r="E12" s="14"/>
      <c r="F12" s="14"/>
      <c r="G12" s="14"/>
      <c r="H12" s="14"/>
      <c r="I12" s="14"/>
      <c r="J12" s="14"/>
      <c r="K12" s="15">
        <f t="shared" si="0"/>
        <v>0</v>
      </c>
      <c r="L12" s="24"/>
      <c r="M12" s="14"/>
      <c r="N12" s="49"/>
      <c r="O12" s="24"/>
      <c r="P12" s="24">
        <f t="shared" si="1"/>
        <v>0</v>
      </c>
      <c r="Q12" s="23"/>
      <c r="R12" s="24"/>
      <c r="S12" s="49"/>
      <c r="T12" s="24"/>
      <c r="U12" s="24">
        <f t="shared" si="2"/>
        <v>0</v>
      </c>
      <c r="V12" s="24"/>
      <c r="AA12" s="24">
        <v>0</v>
      </c>
      <c r="AB12" s="24">
        <v>0</v>
      </c>
      <c r="AC12" s="24">
        <v>0</v>
      </c>
      <c r="AD12" s="24">
        <v>0</v>
      </c>
      <c r="AE12" s="24">
        <v>0</v>
      </c>
      <c r="AF12" s="24">
        <v>0</v>
      </c>
      <c r="AG12" s="24">
        <v>0</v>
      </c>
      <c r="AH12" s="24">
        <v>0</v>
      </c>
      <c r="AI12" s="24">
        <v>0</v>
      </c>
      <c r="AJ12" s="24">
        <v>0</v>
      </c>
      <c r="AK12" s="24">
        <v>0</v>
      </c>
      <c r="AL12" s="24">
        <v>0</v>
      </c>
      <c r="AM12" s="24">
        <v>0</v>
      </c>
      <c r="AN12" s="24">
        <v>0</v>
      </c>
      <c r="AO12" s="24">
        <v>0</v>
      </c>
      <c r="AP12" s="24">
        <v>0</v>
      </c>
      <c r="AQ12" s="24">
        <v>0</v>
      </c>
      <c r="AR12" s="24">
        <v>0</v>
      </c>
      <c r="AS12" s="24">
        <v>0</v>
      </c>
      <c r="AT12" s="24">
        <v>0</v>
      </c>
      <c r="AU12" s="24">
        <v>0</v>
      </c>
      <c r="AV12" s="24">
        <v>0</v>
      </c>
    </row>
    <row r="13" spans="1:48" ht="14.25" customHeight="1">
      <c r="A13" s="13"/>
      <c r="B13" s="14"/>
      <c r="C13" s="14"/>
      <c r="D13" s="14"/>
      <c r="E13" s="14"/>
      <c r="F13" s="14"/>
      <c r="G13" s="14"/>
      <c r="H13" s="14"/>
      <c r="I13" s="14"/>
      <c r="J13" s="14"/>
      <c r="K13" s="15">
        <f t="shared" si="0"/>
        <v>0</v>
      </c>
      <c r="L13" s="24"/>
      <c r="M13" s="14"/>
      <c r="N13" s="49"/>
      <c r="O13" s="24"/>
      <c r="P13" s="24">
        <f t="shared" si="1"/>
        <v>0</v>
      </c>
      <c r="Q13" s="23"/>
      <c r="R13" s="24"/>
      <c r="S13" s="49"/>
      <c r="T13" s="24"/>
      <c r="U13" s="24">
        <f t="shared" si="2"/>
        <v>0</v>
      </c>
      <c r="V13" s="24"/>
      <c r="AA13" s="24">
        <v>0</v>
      </c>
      <c r="AB13" s="24">
        <v>0</v>
      </c>
      <c r="AC13" s="24">
        <v>0</v>
      </c>
      <c r="AD13" s="24">
        <v>0</v>
      </c>
      <c r="AE13" s="24">
        <v>0</v>
      </c>
      <c r="AF13" s="24">
        <v>0</v>
      </c>
      <c r="AG13" s="24">
        <v>0</v>
      </c>
      <c r="AH13" s="24">
        <v>0</v>
      </c>
      <c r="AI13" s="24">
        <v>0</v>
      </c>
      <c r="AJ13" s="24">
        <v>0</v>
      </c>
      <c r="AK13" s="24">
        <v>0</v>
      </c>
      <c r="AL13" s="24">
        <v>0</v>
      </c>
      <c r="AM13" s="24">
        <v>0</v>
      </c>
      <c r="AN13" s="24">
        <v>0</v>
      </c>
      <c r="AO13" s="24">
        <v>0</v>
      </c>
      <c r="AP13" s="24">
        <v>0</v>
      </c>
      <c r="AQ13" s="24">
        <v>0</v>
      </c>
      <c r="AR13" s="24">
        <v>0</v>
      </c>
      <c r="AS13" s="24">
        <v>0</v>
      </c>
      <c r="AT13" s="24">
        <v>0</v>
      </c>
      <c r="AU13" s="24">
        <v>0</v>
      </c>
      <c r="AV13" s="24">
        <v>0</v>
      </c>
    </row>
    <row r="14" spans="1:48" ht="14.25" customHeight="1">
      <c r="A14" s="13"/>
      <c r="B14" s="14"/>
      <c r="C14" s="14"/>
      <c r="D14" s="14"/>
      <c r="E14" s="14"/>
      <c r="F14" s="14"/>
      <c r="G14" s="14"/>
      <c r="H14" s="14"/>
      <c r="I14" s="14"/>
      <c r="J14" s="14"/>
      <c r="K14" s="15">
        <f t="shared" si="0"/>
        <v>0</v>
      </c>
      <c r="L14" s="24"/>
      <c r="M14" s="14"/>
      <c r="N14" s="49"/>
      <c r="O14" s="24"/>
      <c r="P14" s="24">
        <f t="shared" si="1"/>
        <v>0</v>
      </c>
      <c r="Q14" s="23"/>
      <c r="R14" s="24"/>
      <c r="S14" s="49"/>
      <c r="T14" s="24"/>
      <c r="U14" s="24">
        <f t="shared" si="2"/>
        <v>0</v>
      </c>
      <c r="V14" s="24"/>
      <c r="AA14" s="24">
        <v>0</v>
      </c>
      <c r="AB14" s="24">
        <v>0</v>
      </c>
      <c r="AC14" s="24">
        <v>0</v>
      </c>
      <c r="AD14" s="24">
        <v>0</v>
      </c>
      <c r="AE14" s="24">
        <v>0</v>
      </c>
      <c r="AF14" s="24">
        <v>0</v>
      </c>
      <c r="AG14" s="24">
        <v>0</v>
      </c>
      <c r="AH14" s="24">
        <v>0</v>
      </c>
      <c r="AI14" s="24">
        <v>0</v>
      </c>
      <c r="AJ14" s="24">
        <v>0</v>
      </c>
      <c r="AK14" s="24">
        <v>0</v>
      </c>
      <c r="AL14" s="24">
        <v>0</v>
      </c>
      <c r="AM14" s="24">
        <v>0</v>
      </c>
      <c r="AN14" s="24">
        <v>0</v>
      </c>
      <c r="AO14" s="24">
        <v>0</v>
      </c>
      <c r="AP14" s="24">
        <v>0</v>
      </c>
      <c r="AQ14" s="24">
        <v>0</v>
      </c>
      <c r="AR14" s="24">
        <v>0</v>
      </c>
      <c r="AS14" s="24">
        <v>0</v>
      </c>
      <c r="AT14" s="24">
        <v>0</v>
      </c>
      <c r="AU14" s="24">
        <v>0</v>
      </c>
      <c r="AV14" s="24">
        <v>0</v>
      </c>
    </row>
    <row r="15" spans="1:48" ht="14.25" customHeight="1">
      <c r="A15" s="13"/>
      <c r="B15" s="14"/>
      <c r="C15" s="14"/>
      <c r="D15" s="14"/>
      <c r="E15" s="14"/>
      <c r="F15" s="14"/>
      <c r="G15" s="14"/>
      <c r="H15" s="14"/>
      <c r="I15" s="14"/>
      <c r="J15" s="14"/>
      <c r="K15" s="15">
        <f t="shared" si="0"/>
        <v>0</v>
      </c>
      <c r="L15" s="24"/>
      <c r="M15" s="14"/>
      <c r="N15" s="49"/>
      <c r="O15" s="24"/>
      <c r="P15" s="24">
        <f t="shared" si="1"/>
        <v>0</v>
      </c>
      <c r="Q15" s="23"/>
      <c r="R15" s="24"/>
      <c r="S15" s="49"/>
      <c r="T15" s="24"/>
      <c r="U15" s="24">
        <f t="shared" si="2"/>
        <v>0</v>
      </c>
      <c r="V15" s="24"/>
      <c r="AA15" s="24">
        <v>0</v>
      </c>
      <c r="AB15" s="24">
        <v>0</v>
      </c>
      <c r="AC15" s="24">
        <v>0</v>
      </c>
      <c r="AD15" s="24">
        <v>0</v>
      </c>
      <c r="AE15" s="24">
        <v>0</v>
      </c>
      <c r="AF15" s="24">
        <v>0</v>
      </c>
      <c r="AG15" s="24">
        <v>0</v>
      </c>
      <c r="AH15" s="24">
        <v>0</v>
      </c>
      <c r="AI15" s="24">
        <v>0</v>
      </c>
      <c r="AJ15" s="24">
        <v>0</v>
      </c>
      <c r="AK15" s="24">
        <v>0</v>
      </c>
      <c r="AL15" s="24">
        <v>0</v>
      </c>
      <c r="AM15" s="24">
        <v>0</v>
      </c>
      <c r="AN15" s="24">
        <v>0</v>
      </c>
      <c r="AO15" s="24">
        <v>0</v>
      </c>
      <c r="AP15" s="24">
        <v>0</v>
      </c>
      <c r="AQ15" s="24">
        <v>0</v>
      </c>
      <c r="AR15" s="24">
        <v>0</v>
      </c>
      <c r="AS15" s="24">
        <v>0</v>
      </c>
      <c r="AT15" s="24">
        <v>0</v>
      </c>
      <c r="AU15" s="24">
        <v>0</v>
      </c>
      <c r="AV15" s="24">
        <v>0</v>
      </c>
    </row>
    <row r="16" spans="1:48" ht="14.25" customHeight="1">
      <c r="A16" s="13"/>
      <c r="B16" s="14"/>
      <c r="C16" s="14"/>
      <c r="D16" s="14"/>
      <c r="E16" s="14"/>
      <c r="F16" s="14"/>
      <c r="G16" s="14"/>
      <c r="H16" s="14"/>
      <c r="I16" s="14"/>
      <c r="J16" s="14"/>
      <c r="K16" s="15">
        <f t="shared" si="0"/>
        <v>0</v>
      </c>
      <c r="L16" s="24"/>
      <c r="M16" s="14"/>
      <c r="N16" s="49"/>
      <c r="O16" s="24"/>
      <c r="P16" s="24">
        <f t="shared" si="1"/>
        <v>0</v>
      </c>
      <c r="Q16" s="23"/>
      <c r="R16" s="24"/>
      <c r="S16" s="49"/>
      <c r="T16" s="24"/>
      <c r="U16" s="24">
        <f t="shared" si="2"/>
        <v>0</v>
      </c>
      <c r="V16" s="24"/>
      <c r="AA16" s="24">
        <v>0</v>
      </c>
      <c r="AB16" s="24">
        <v>0</v>
      </c>
      <c r="AC16" s="24">
        <v>0</v>
      </c>
      <c r="AD16" s="24">
        <v>0</v>
      </c>
      <c r="AE16" s="24">
        <v>0</v>
      </c>
      <c r="AF16" s="24">
        <v>0</v>
      </c>
      <c r="AG16" s="24">
        <v>0</v>
      </c>
      <c r="AH16" s="24">
        <v>0</v>
      </c>
      <c r="AI16" s="24">
        <v>0</v>
      </c>
      <c r="AJ16" s="24">
        <v>0</v>
      </c>
      <c r="AK16" s="24">
        <v>0</v>
      </c>
      <c r="AL16" s="24">
        <v>0</v>
      </c>
      <c r="AM16" s="24">
        <v>0</v>
      </c>
      <c r="AN16" s="24">
        <v>0</v>
      </c>
      <c r="AO16" s="24">
        <v>0</v>
      </c>
      <c r="AP16" s="24">
        <v>0</v>
      </c>
      <c r="AQ16" s="24">
        <v>0</v>
      </c>
      <c r="AR16" s="24">
        <v>0</v>
      </c>
      <c r="AS16" s="24">
        <v>0</v>
      </c>
      <c r="AT16" s="24">
        <v>0</v>
      </c>
      <c r="AU16" s="24">
        <v>0</v>
      </c>
      <c r="AV16" s="24">
        <v>0</v>
      </c>
    </row>
    <row r="17" spans="1:48" ht="14.25" customHeight="1">
      <c r="A17" s="13"/>
      <c r="B17" s="14"/>
      <c r="C17" s="14"/>
      <c r="D17" s="14"/>
      <c r="E17" s="14"/>
      <c r="F17" s="14"/>
      <c r="G17" s="14"/>
      <c r="H17" s="14"/>
      <c r="I17" s="14"/>
      <c r="J17" s="14"/>
      <c r="K17" s="15">
        <f t="shared" si="0"/>
        <v>0</v>
      </c>
      <c r="L17" s="24"/>
      <c r="M17" s="14"/>
      <c r="N17" s="49"/>
      <c r="O17" s="24"/>
      <c r="P17" s="24">
        <f t="shared" si="1"/>
        <v>0</v>
      </c>
      <c r="Q17" s="23"/>
      <c r="R17" s="24"/>
      <c r="S17" s="49"/>
      <c r="T17" s="24"/>
      <c r="U17" s="24">
        <f t="shared" si="2"/>
        <v>0</v>
      </c>
      <c r="V17" s="24"/>
      <c r="AA17" s="24">
        <v>0</v>
      </c>
      <c r="AB17" s="24">
        <v>0</v>
      </c>
      <c r="AC17" s="24">
        <v>0</v>
      </c>
      <c r="AD17" s="24">
        <v>0</v>
      </c>
      <c r="AE17" s="24">
        <v>0</v>
      </c>
      <c r="AF17" s="24">
        <v>0</v>
      </c>
      <c r="AG17" s="24">
        <v>0</v>
      </c>
      <c r="AH17" s="24">
        <v>0</v>
      </c>
      <c r="AI17" s="24">
        <v>0</v>
      </c>
      <c r="AJ17" s="24">
        <v>0</v>
      </c>
      <c r="AK17" s="24">
        <v>0</v>
      </c>
      <c r="AL17" s="24">
        <v>0</v>
      </c>
      <c r="AM17" s="24">
        <v>0</v>
      </c>
      <c r="AN17" s="24">
        <v>0</v>
      </c>
      <c r="AO17" s="24">
        <v>0</v>
      </c>
      <c r="AP17" s="24">
        <v>0</v>
      </c>
      <c r="AQ17" s="24">
        <v>0</v>
      </c>
      <c r="AR17" s="24">
        <v>0</v>
      </c>
      <c r="AS17" s="24">
        <v>0</v>
      </c>
      <c r="AT17" s="24">
        <v>0</v>
      </c>
      <c r="AU17" s="24">
        <v>0</v>
      </c>
      <c r="AV17" s="24">
        <v>0</v>
      </c>
    </row>
    <row r="18" spans="1:48" ht="14.25" customHeight="1">
      <c r="A18" s="13"/>
      <c r="B18" s="14"/>
      <c r="C18" s="14"/>
      <c r="D18" s="14"/>
      <c r="E18" s="14"/>
      <c r="F18" s="14"/>
      <c r="G18" s="14"/>
      <c r="H18" s="14"/>
      <c r="I18" s="14"/>
      <c r="J18" s="14"/>
      <c r="K18" s="15">
        <f t="shared" si="0"/>
        <v>0</v>
      </c>
      <c r="L18" s="24"/>
      <c r="M18" s="14"/>
      <c r="N18" s="49"/>
      <c r="O18" s="24"/>
      <c r="P18" s="24">
        <f t="shared" si="1"/>
        <v>0</v>
      </c>
      <c r="Q18" s="23"/>
      <c r="R18" s="24"/>
      <c r="S18" s="49"/>
      <c r="T18" s="24"/>
      <c r="U18" s="24">
        <f t="shared" si="2"/>
        <v>0</v>
      </c>
      <c r="V18" s="24"/>
      <c r="AA18" s="24">
        <v>0</v>
      </c>
      <c r="AB18" s="24">
        <v>0</v>
      </c>
      <c r="AC18" s="24">
        <v>0</v>
      </c>
      <c r="AD18" s="24">
        <v>0</v>
      </c>
      <c r="AE18" s="24">
        <v>0</v>
      </c>
      <c r="AF18" s="24">
        <v>0</v>
      </c>
      <c r="AG18" s="24">
        <v>0</v>
      </c>
      <c r="AH18" s="24">
        <v>0</v>
      </c>
      <c r="AI18" s="24">
        <v>0</v>
      </c>
      <c r="AJ18" s="24">
        <v>0</v>
      </c>
      <c r="AK18" s="24">
        <v>0</v>
      </c>
      <c r="AL18" s="24">
        <v>0</v>
      </c>
      <c r="AM18" s="24">
        <v>0</v>
      </c>
      <c r="AN18" s="24">
        <v>0</v>
      </c>
      <c r="AO18" s="24">
        <v>0</v>
      </c>
      <c r="AP18" s="24">
        <v>0</v>
      </c>
      <c r="AQ18" s="24">
        <v>0</v>
      </c>
      <c r="AR18" s="24">
        <v>0</v>
      </c>
      <c r="AS18" s="24">
        <v>0</v>
      </c>
      <c r="AT18" s="24">
        <v>0</v>
      </c>
      <c r="AU18" s="24">
        <v>0</v>
      </c>
      <c r="AV18" s="24">
        <v>0</v>
      </c>
    </row>
    <row r="19" spans="1:48" ht="14.25" customHeight="1">
      <c r="A19" s="13"/>
      <c r="B19" s="14"/>
      <c r="C19" s="14"/>
      <c r="D19" s="14"/>
      <c r="E19" s="14"/>
      <c r="F19" s="14"/>
      <c r="G19" s="14"/>
      <c r="H19" s="14"/>
      <c r="I19" s="14"/>
      <c r="J19" s="14"/>
      <c r="K19" s="15">
        <f t="shared" si="0"/>
        <v>0</v>
      </c>
      <c r="L19" s="24"/>
      <c r="M19" s="14"/>
      <c r="N19" s="49"/>
      <c r="O19" s="24"/>
      <c r="P19" s="24">
        <f t="shared" si="1"/>
        <v>0</v>
      </c>
      <c r="Q19" s="23"/>
      <c r="R19" s="24"/>
      <c r="S19" s="49"/>
      <c r="T19" s="24"/>
      <c r="U19" s="24">
        <f t="shared" si="2"/>
        <v>0</v>
      </c>
      <c r="V19" s="24"/>
      <c r="AA19" s="24">
        <v>0</v>
      </c>
      <c r="AB19" s="24">
        <v>0</v>
      </c>
      <c r="AC19" s="24">
        <v>0</v>
      </c>
      <c r="AD19" s="24">
        <v>0</v>
      </c>
      <c r="AE19" s="24">
        <v>0</v>
      </c>
      <c r="AF19" s="24">
        <v>0</v>
      </c>
      <c r="AG19" s="24">
        <v>0</v>
      </c>
      <c r="AH19" s="24">
        <v>0</v>
      </c>
      <c r="AI19" s="24">
        <v>0</v>
      </c>
      <c r="AJ19" s="24">
        <v>0</v>
      </c>
      <c r="AK19" s="24">
        <v>0</v>
      </c>
      <c r="AL19" s="24">
        <v>0</v>
      </c>
      <c r="AM19" s="24">
        <v>0</v>
      </c>
      <c r="AN19" s="24">
        <v>0</v>
      </c>
      <c r="AO19" s="24">
        <v>0</v>
      </c>
      <c r="AP19" s="24">
        <v>0</v>
      </c>
      <c r="AQ19" s="24">
        <v>0</v>
      </c>
      <c r="AR19" s="24">
        <v>0</v>
      </c>
      <c r="AS19" s="24">
        <v>0</v>
      </c>
      <c r="AT19" s="24">
        <v>0</v>
      </c>
      <c r="AU19" s="24">
        <v>0</v>
      </c>
      <c r="AV19" s="24">
        <v>0</v>
      </c>
    </row>
    <row r="20" spans="1:48" ht="14.25" customHeight="1">
      <c r="A20" s="13"/>
      <c r="B20" s="14"/>
      <c r="C20" s="14"/>
      <c r="D20" s="14"/>
      <c r="E20" s="14"/>
      <c r="F20" s="14"/>
      <c r="G20" s="14"/>
      <c r="H20" s="14"/>
      <c r="I20" s="14"/>
      <c r="J20" s="14"/>
      <c r="K20" s="15">
        <f>SUM(D369:J369)</f>
        <v>0</v>
      </c>
      <c r="L20" s="24"/>
      <c r="M20" s="14"/>
      <c r="N20" s="49"/>
      <c r="O20" s="24"/>
      <c r="P20" s="24">
        <f>O369-K369</f>
        <v>0</v>
      </c>
      <c r="Q20" s="23"/>
      <c r="R20" s="24"/>
      <c r="S20" s="49"/>
      <c r="T20" s="24"/>
      <c r="U20" s="24">
        <f>T369-O369</f>
        <v>0</v>
      </c>
      <c r="V20" s="24"/>
      <c r="AA20" s="24">
        <v>0</v>
      </c>
      <c r="AB20" s="24">
        <v>0</v>
      </c>
      <c r="AC20" s="24">
        <v>0</v>
      </c>
      <c r="AD20" s="24">
        <v>0</v>
      </c>
      <c r="AE20" s="24">
        <v>0</v>
      </c>
      <c r="AF20" s="24">
        <v>0</v>
      </c>
      <c r="AG20" s="24">
        <v>0</v>
      </c>
      <c r="AH20" s="24">
        <v>0</v>
      </c>
      <c r="AI20" s="24">
        <v>0</v>
      </c>
      <c r="AJ20" s="24">
        <v>0</v>
      </c>
      <c r="AK20" s="24">
        <v>0</v>
      </c>
      <c r="AL20" s="24">
        <v>0</v>
      </c>
      <c r="AM20" s="24">
        <v>0</v>
      </c>
      <c r="AN20" s="24">
        <v>0</v>
      </c>
      <c r="AO20" s="24">
        <v>0</v>
      </c>
      <c r="AP20" s="24">
        <v>0</v>
      </c>
      <c r="AQ20" s="24">
        <v>0</v>
      </c>
      <c r="AR20" s="24">
        <v>0</v>
      </c>
      <c r="AS20" s="24">
        <v>0</v>
      </c>
      <c r="AT20" s="24">
        <v>0</v>
      </c>
      <c r="AU20" s="24">
        <v>0</v>
      </c>
      <c r="AV20" s="24">
        <v>0</v>
      </c>
    </row>
    <row r="21" spans="1:48" ht="14.25" customHeight="1">
      <c r="A21" s="13"/>
      <c r="B21" s="14"/>
      <c r="C21" s="14"/>
      <c r="D21" s="14"/>
      <c r="E21" s="14"/>
      <c r="F21" s="14"/>
      <c r="G21" s="14"/>
      <c r="H21" s="14"/>
      <c r="I21" s="14"/>
      <c r="J21" s="14"/>
      <c r="K21" s="15">
        <f t="shared" si="0"/>
        <v>0</v>
      </c>
      <c r="L21" s="24"/>
      <c r="M21" s="14"/>
      <c r="N21" s="49"/>
      <c r="O21" s="24"/>
      <c r="P21" s="24">
        <f t="shared" si="1"/>
        <v>0</v>
      </c>
      <c r="Q21" s="23"/>
      <c r="R21" s="24"/>
      <c r="S21" s="49"/>
      <c r="T21" s="24"/>
      <c r="U21" s="24">
        <f t="shared" si="2"/>
        <v>0</v>
      </c>
      <c r="V21" s="24"/>
      <c r="AA21" s="24">
        <v>0</v>
      </c>
      <c r="AB21" s="24">
        <v>0</v>
      </c>
      <c r="AC21" s="24">
        <v>0</v>
      </c>
      <c r="AD21" s="24">
        <v>0</v>
      </c>
      <c r="AE21" s="24">
        <v>0</v>
      </c>
      <c r="AF21" s="24">
        <v>0</v>
      </c>
      <c r="AG21" s="24">
        <v>0</v>
      </c>
      <c r="AH21" s="24">
        <v>0</v>
      </c>
      <c r="AI21" s="24">
        <v>0</v>
      </c>
      <c r="AJ21" s="24">
        <v>0</v>
      </c>
      <c r="AK21" s="24">
        <v>0</v>
      </c>
      <c r="AL21" s="24">
        <v>0</v>
      </c>
      <c r="AM21" s="24">
        <v>0</v>
      </c>
      <c r="AN21" s="24">
        <v>0</v>
      </c>
      <c r="AO21" s="24">
        <v>0</v>
      </c>
      <c r="AP21" s="24">
        <v>0</v>
      </c>
      <c r="AQ21" s="24">
        <v>0</v>
      </c>
      <c r="AR21" s="24">
        <v>0</v>
      </c>
      <c r="AS21" s="24">
        <v>0</v>
      </c>
      <c r="AT21" s="24">
        <v>0</v>
      </c>
      <c r="AU21" s="24">
        <v>0</v>
      </c>
      <c r="AV21" s="24">
        <v>0</v>
      </c>
    </row>
    <row r="22" spans="1:48" ht="14.25" customHeight="1">
      <c r="A22" s="13"/>
      <c r="B22" s="14"/>
      <c r="C22" s="14"/>
      <c r="D22" s="14"/>
      <c r="E22" s="14"/>
      <c r="F22" s="14"/>
      <c r="G22" s="14"/>
      <c r="H22" s="14"/>
      <c r="I22" s="14"/>
      <c r="J22" s="14"/>
      <c r="K22" s="15">
        <f t="shared" si="0"/>
        <v>0</v>
      </c>
      <c r="L22" s="24"/>
      <c r="M22" s="14"/>
      <c r="N22" s="49"/>
      <c r="O22" s="24"/>
      <c r="P22" s="24">
        <f t="shared" si="1"/>
        <v>0</v>
      </c>
      <c r="Q22" s="23"/>
      <c r="R22" s="24"/>
      <c r="S22" s="49"/>
      <c r="T22" s="24"/>
      <c r="U22" s="24">
        <f t="shared" si="2"/>
        <v>0</v>
      </c>
      <c r="V22" s="24"/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</row>
    <row r="23" spans="1:48" ht="14.25" customHeight="1">
      <c r="A23" s="13"/>
      <c r="B23" s="14"/>
      <c r="C23" s="14"/>
      <c r="D23" s="14"/>
      <c r="E23" s="14"/>
      <c r="F23" s="14"/>
      <c r="G23" s="14"/>
      <c r="H23" s="14"/>
      <c r="I23" s="14"/>
      <c r="J23" s="14"/>
      <c r="K23" s="15">
        <f t="shared" si="0"/>
        <v>0</v>
      </c>
      <c r="L23" s="24"/>
      <c r="M23" s="14"/>
      <c r="N23" s="49"/>
      <c r="O23" s="24"/>
      <c r="P23" s="24">
        <f t="shared" si="1"/>
        <v>0</v>
      </c>
      <c r="Q23" s="23"/>
      <c r="R23" s="24"/>
      <c r="S23" s="49"/>
      <c r="T23" s="24"/>
      <c r="U23" s="24">
        <f t="shared" si="2"/>
        <v>0</v>
      </c>
      <c r="V23" s="24"/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</row>
    <row r="24" spans="1:48" ht="14.25" customHeight="1">
      <c r="A24" s="13"/>
      <c r="B24" s="14"/>
      <c r="C24" s="14"/>
      <c r="D24" s="14"/>
      <c r="E24" s="14"/>
      <c r="F24" s="14"/>
      <c r="G24" s="14"/>
      <c r="H24" s="14"/>
      <c r="I24" s="14"/>
      <c r="J24" s="14"/>
      <c r="K24" s="15">
        <f t="shared" si="0"/>
        <v>0</v>
      </c>
      <c r="L24" s="24"/>
      <c r="M24" s="14"/>
      <c r="N24" s="49"/>
      <c r="O24" s="24"/>
      <c r="P24" s="24">
        <f t="shared" si="1"/>
        <v>0</v>
      </c>
      <c r="Q24" s="23"/>
      <c r="R24" s="24"/>
      <c r="S24" s="49"/>
      <c r="T24" s="24"/>
      <c r="U24" s="24">
        <f t="shared" si="2"/>
        <v>0</v>
      </c>
      <c r="V24" s="24"/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</row>
    <row r="25" spans="1:48" ht="14.25" customHeight="1">
      <c r="A25" s="13"/>
      <c r="B25" s="14"/>
      <c r="C25" s="14"/>
      <c r="D25" s="14"/>
      <c r="E25" s="14"/>
      <c r="F25" s="14"/>
      <c r="G25" s="14"/>
      <c r="H25" s="14"/>
      <c r="I25" s="14"/>
      <c r="J25" s="14"/>
      <c r="K25" s="15">
        <f t="shared" si="0"/>
        <v>0</v>
      </c>
      <c r="L25" s="24"/>
      <c r="M25" s="14"/>
      <c r="N25" s="49"/>
      <c r="O25" s="24"/>
      <c r="P25" s="24">
        <f t="shared" si="1"/>
        <v>0</v>
      </c>
      <c r="Q25" s="23"/>
      <c r="R25" s="24"/>
      <c r="S25" s="49"/>
      <c r="T25" s="24"/>
      <c r="U25" s="24">
        <f t="shared" si="2"/>
        <v>0</v>
      </c>
      <c r="V25" s="24"/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</row>
    <row r="26" spans="1:48" ht="14.25" customHeight="1">
      <c r="A26" s="13"/>
      <c r="B26" s="14"/>
      <c r="C26" s="14"/>
      <c r="D26" s="14"/>
      <c r="E26" s="14"/>
      <c r="F26" s="14"/>
      <c r="G26" s="14"/>
      <c r="H26" s="14"/>
      <c r="I26" s="14"/>
      <c r="J26" s="14"/>
      <c r="K26" s="15">
        <f t="shared" si="0"/>
        <v>0</v>
      </c>
      <c r="L26" s="24"/>
      <c r="M26" s="14"/>
      <c r="N26" s="49"/>
      <c r="O26" s="24"/>
      <c r="P26" s="24">
        <f t="shared" si="1"/>
        <v>0</v>
      </c>
      <c r="Q26" s="23"/>
      <c r="R26" s="24"/>
      <c r="S26" s="49"/>
      <c r="T26" s="24"/>
      <c r="U26" s="24">
        <f t="shared" si="2"/>
        <v>0</v>
      </c>
      <c r="V26" s="24"/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</row>
    <row r="27" spans="1:48" ht="14.25" customHeight="1">
      <c r="A27" s="13"/>
      <c r="B27" s="14"/>
      <c r="C27" s="14"/>
      <c r="D27" s="14"/>
      <c r="E27" s="14"/>
      <c r="F27" s="14"/>
      <c r="G27" s="14"/>
      <c r="H27" s="14"/>
      <c r="I27" s="14"/>
      <c r="J27" s="14"/>
      <c r="K27" s="15">
        <f t="shared" si="0"/>
        <v>0</v>
      </c>
      <c r="L27" s="24"/>
      <c r="M27" s="14"/>
      <c r="N27" s="49"/>
      <c r="O27" s="24"/>
      <c r="P27" s="24">
        <f t="shared" si="1"/>
        <v>0</v>
      </c>
      <c r="Q27" s="23"/>
      <c r="R27" s="24"/>
      <c r="S27" s="49"/>
      <c r="T27" s="24"/>
      <c r="U27" s="24">
        <f t="shared" si="2"/>
        <v>0</v>
      </c>
      <c r="V27" s="24"/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</row>
    <row r="28" spans="1:48" ht="14.25" customHeight="1">
      <c r="A28" s="13"/>
      <c r="B28" s="14"/>
      <c r="C28" s="14"/>
      <c r="D28" s="14"/>
      <c r="E28" s="14"/>
      <c r="F28" s="14"/>
      <c r="G28" s="14"/>
      <c r="H28" s="14"/>
      <c r="I28" s="14"/>
      <c r="J28" s="14"/>
      <c r="K28" s="15">
        <f t="shared" si="0"/>
        <v>0</v>
      </c>
      <c r="L28" s="24"/>
      <c r="M28" s="14"/>
      <c r="N28" s="49"/>
      <c r="O28" s="24"/>
      <c r="P28" s="24">
        <f t="shared" si="1"/>
        <v>0</v>
      </c>
      <c r="Q28" s="23"/>
      <c r="R28" s="24"/>
      <c r="S28" s="49"/>
      <c r="T28" s="24"/>
      <c r="U28" s="24">
        <f t="shared" si="2"/>
        <v>0</v>
      </c>
      <c r="V28" s="24"/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</row>
    <row r="29" spans="1:48" ht="14.25" customHeight="1">
      <c r="A29" s="13"/>
      <c r="B29" s="14"/>
      <c r="C29" s="14"/>
      <c r="D29" s="14"/>
      <c r="E29" s="14"/>
      <c r="F29" s="14"/>
      <c r="G29" s="14"/>
      <c r="H29" s="14"/>
      <c r="I29" s="14"/>
      <c r="J29" s="14"/>
      <c r="K29" s="15">
        <f t="shared" si="0"/>
        <v>0</v>
      </c>
      <c r="L29" s="24"/>
      <c r="M29" s="14"/>
      <c r="N29" s="49"/>
      <c r="O29" s="24"/>
      <c r="P29" s="24">
        <f t="shared" si="1"/>
        <v>0</v>
      </c>
      <c r="Q29" s="23"/>
      <c r="R29" s="24"/>
      <c r="S29" s="49"/>
      <c r="T29" s="24"/>
      <c r="U29" s="24">
        <f t="shared" si="2"/>
        <v>0</v>
      </c>
      <c r="V29" s="24"/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</row>
    <row r="30" spans="1:48" ht="14.25" customHeight="1">
      <c r="A30" s="13"/>
      <c r="B30" s="14"/>
      <c r="C30" s="14"/>
      <c r="D30" s="14"/>
      <c r="E30" s="14"/>
      <c r="F30" s="14"/>
      <c r="G30" s="14"/>
      <c r="H30" s="14"/>
      <c r="I30" s="14"/>
      <c r="J30" s="14"/>
      <c r="K30" s="15">
        <f t="shared" si="0"/>
        <v>0</v>
      </c>
      <c r="L30" s="24"/>
      <c r="M30" s="14"/>
      <c r="N30" s="49"/>
      <c r="O30" s="24"/>
      <c r="P30" s="24">
        <f t="shared" si="1"/>
        <v>0</v>
      </c>
      <c r="Q30" s="23"/>
      <c r="R30" s="24"/>
      <c r="S30" s="49"/>
      <c r="T30" s="24"/>
      <c r="U30" s="24">
        <f t="shared" si="2"/>
        <v>0</v>
      </c>
      <c r="V30" s="24"/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</row>
    <row r="31" spans="1:48" ht="14.25" customHeight="1">
      <c r="A31" s="13"/>
      <c r="B31" s="14"/>
      <c r="C31" s="14"/>
      <c r="D31" s="14"/>
      <c r="E31" s="14"/>
      <c r="F31" s="14"/>
      <c r="G31" s="14"/>
      <c r="H31" s="14"/>
      <c r="I31" s="14"/>
      <c r="J31" s="14"/>
      <c r="K31" s="15">
        <f t="shared" si="0"/>
        <v>0</v>
      </c>
      <c r="L31" s="24"/>
      <c r="M31" s="14"/>
      <c r="N31" s="49"/>
      <c r="O31" s="24"/>
      <c r="P31" s="24">
        <f t="shared" si="1"/>
        <v>0</v>
      </c>
      <c r="Q31" s="23"/>
      <c r="R31" s="24"/>
      <c r="S31" s="49"/>
      <c r="T31" s="24"/>
      <c r="U31" s="24">
        <f t="shared" si="2"/>
        <v>0</v>
      </c>
      <c r="V31" s="24"/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</row>
    <row r="32" spans="1:48" ht="14.25" customHeight="1">
      <c r="A32" s="13"/>
      <c r="B32" s="14"/>
      <c r="C32" s="14"/>
      <c r="D32" s="14"/>
      <c r="E32" s="14"/>
      <c r="F32" s="14"/>
      <c r="G32" s="14"/>
      <c r="H32" s="14"/>
      <c r="I32" s="14"/>
      <c r="J32" s="14"/>
      <c r="K32" s="15">
        <f t="shared" si="0"/>
        <v>0</v>
      </c>
      <c r="L32" s="24"/>
      <c r="M32" s="14"/>
      <c r="N32" s="49"/>
      <c r="O32" s="24"/>
      <c r="P32" s="24">
        <f t="shared" si="1"/>
        <v>0</v>
      </c>
      <c r="Q32" s="23"/>
      <c r="R32" s="24"/>
      <c r="S32" s="49"/>
      <c r="T32" s="24"/>
      <c r="U32" s="24">
        <f t="shared" si="2"/>
        <v>0</v>
      </c>
      <c r="V32" s="24"/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</row>
    <row r="33" spans="1:48" ht="14.25" customHeight="1">
      <c r="A33" s="13"/>
      <c r="B33" s="14"/>
      <c r="C33" s="14"/>
      <c r="D33" s="14"/>
      <c r="E33" s="14"/>
      <c r="F33" s="14"/>
      <c r="G33" s="14"/>
      <c r="H33" s="14"/>
      <c r="I33" s="14"/>
      <c r="J33" s="14"/>
      <c r="K33" s="15">
        <f t="shared" si="0"/>
        <v>0</v>
      </c>
      <c r="L33" s="24"/>
      <c r="M33" s="14"/>
      <c r="N33" s="49"/>
      <c r="O33" s="24"/>
      <c r="P33" s="24">
        <f t="shared" si="1"/>
        <v>0</v>
      </c>
      <c r="Q33" s="23"/>
      <c r="R33" s="24"/>
      <c r="S33" s="49"/>
      <c r="T33" s="24"/>
      <c r="U33" s="24">
        <f t="shared" si="2"/>
        <v>0</v>
      </c>
      <c r="V33" s="24"/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</row>
    <row r="34" spans="1:48" ht="14.25" customHeight="1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5">
        <f t="shared" si="0"/>
        <v>0</v>
      </c>
      <c r="L34" s="24"/>
      <c r="M34" s="14"/>
      <c r="N34" s="49"/>
      <c r="O34" s="24"/>
      <c r="P34" s="24">
        <f t="shared" si="1"/>
        <v>0</v>
      </c>
      <c r="Q34" s="23"/>
      <c r="R34" s="24"/>
      <c r="S34" s="49"/>
      <c r="T34" s="24"/>
      <c r="U34" s="24">
        <f t="shared" si="2"/>
        <v>0</v>
      </c>
      <c r="V34" s="24"/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</row>
    <row r="35" spans="1:48" ht="14.25" customHeight="1">
      <c r="A35" s="13"/>
      <c r="B35" s="14"/>
      <c r="C35" s="14"/>
      <c r="D35" s="14"/>
      <c r="E35" s="14"/>
      <c r="F35" s="14"/>
      <c r="G35" s="14"/>
      <c r="H35" s="14"/>
      <c r="I35" s="14"/>
      <c r="J35" s="14"/>
      <c r="K35" s="15">
        <f t="shared" si="0"/>
        <v>0</v>
      </c>
      <c r="L35" s="24"/>
      <c r="M35" s="14"/>
      <c r="N35" s="49"/>
      <c r="O35" s="24"/>
      <c r="P35" s="24">
        <f t="shared" si="1"/>
        <v>0</v>
      </c>
      <c r="Q35" s="23"/>
      <c r="R35" s="24"/>
      <c r="S35" s="49"/>
      <c r="T35" s="24"/>
      <c r="U35" s="24">
        <f t="shared" si="2"/>
        <v>0</v>
      </c>
      <c r="V35" s="24"/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</row>
    <row r="36" spans="1:48" ht="14.25" customHeight="1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5">
        <f t="shared" si="0"/>
        <v>0</v>
      </c>
      <c r="L36" s="24"/>
      <c r="M36" s="14"/>
      <c r="N36" s="49"/>
      <c r="O36" s="24"/>
      <c r="P36" s="24">
        <f t="shared" si="1"/>
        <v>0</v>
      </c>
      <c r="Q36" s="23"/>
      <c r="R36" s="24"/>
      <c r="S36" s="49"/>
      <c r="T36" s="24"/>
      <c r="U36" s="24">
        <f t="shared" si="2"/>
        <v>0</v>
      </c>
      <c r="V36" s="24"/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</row>
    <row r="37" spans="1:48" ht="14.25" customHeight="1">
      <c r="A37" s="13"/>
      <c r="B37" s="14"/>
      <c r="C37" s="14"/>
      <c r="D37" s="14"/>
      <c r="E37" s="14"/>
      <c r="F37" s="14"/>
      <c r="G37" s="14"/>
      <c r="H37" s="14"/>
      <c r="I37" s="14"/>
      <c r="J37" s="14"/>
      <c r="K37" s="15">
        <f t="shared" si="0"/>
        <v>0</v>
      </c>
      <c r="L37" s="24"/>
      <c r="M37" s="14"/>
      <c r="N37" s="49"/>
      <c r="O37" s="24"/>
      <c r="P37" s="24">
        <f t="shared" si="1"/>
        <v>0</v>
      </c>
      <c r="Q37" s="23"/>
      <c r="R37" s="24"/>
      <c r="S37" s="49"/>
      <c r="T37" s="24"/>
      <c r="U37" s="24">
        <f t="shared" si="2"/>
        <v>0</v>
      </c>
      <c r="V37" s="24"/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</row>
    <row r="38" spans="1:48" ht="14.25" customHeight="1">
      <c r="A38" s="13"/>
      <c r="B38" s="14"/>
      <c r="C38" s="14"/>
      <c r="D38" s="14"/>
      <c r="E38" s="14"/>
      <c r="F38" s="14"/>
      <c r="G38" s="14"/>
      <c r="H38" s="14"/>
      <c r="I38" s="14"/>
      <c r="J38" s="14"/>
      <c r="K38" s="15">
        <f t="shared" si="0"/>
        <v>0</v>
      </c>
      <c r="L38" s="24"/>
      <c r="M38" s="14"/>
      <c r="N38" s="49"/>
      <c r="O38" s="24"/>
      <c r="P38" s="24">
        <f t="shared" si="1"/>
        <v>0</v>
      </c>
      <c r="Q38" s="23"/>
      <c r="R38" s="24"/>
      <c r="S38" s="49"/>
      <c r="T38" s="24"/>
      <c r="U38" s="24">
        <f t="shared" si="2"/>
        <v>0</v>
      </c>
      <c r="V38" s="24"/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</row>
    <row r="39" spans="1:48" ht="14.25" customHeight="1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5">
        <f t="shared" si="0"/>
        <v>0</v>
      </c>
      <c r="L39" s="24"/>
      <c r="M39" s="14"/>
      <c r="N39" s="49"/>
      <c r="O39" s="24"/>
      <c r="P39" s="24">
        <f t="shared" si="1"/>
        <v>0</v>
      </c>
      <c r="Q39" s="23"/>
      <c r="R39" s="24"/>
      <c r="S39" s="49"/>
      <c r="T39" s="24"/>
      <c r="U39" s="24">
        <f t="shared" si="2"/>
        <v>0</v>
      </c>
      <c r="V39" s="24"/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</row>
    <row r="40" spans="1:48" ht="14.25" customHeight="1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5">
        <f t="shared" si="0"/>
        <v>0</v>
      </c>
      <c r="L40" s="24"/>
      <c r="M40" s="14"/>
      <c r="N40" s="49"/>
      <c r="O40" s="24"/>
      <c r="P40" s="24">
        <f t="shared" si="1"/>
        <v>0</v>
      </c>
      <c r="Q40" s="23"/>
      <c r="R40" s="24"/>
      <c r="S40" s="49"/>
      <c r="T40" s="24"/>
      <c r="U40" s="24">
        <f t="shared" si="2"/>
        <v>0</v>
      </c>
      <c r="V40" s="24"/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</row>
    <row r="41" spans="1:48" ht="14.25" customHeight="1">
      <c r="A41" s="13"/>
      <c r="B41" s="14"/>
      <c r="C41" s="14"/>
      <c r="D41" s="14"/>
      <c r="E41" s="14"/>
      <c r="F41" s="14"/>
      <c r="G41" s="14"/>
      <c r="H41" s="14"/>
      <c r="I41" s="14"/>
      <c r="J41" s="14"/>
      <c r="K41" s="15">
        <f t="shared" si="0"/>
        <v>0</v>
      </c>
      <c r="L41" s="24"/>
      <c r="M41" s="14"/>
      <c r="N41" s="49"/>
      <c r="O41" s="24"/>
      <c r="P41" s="24">
        <f t="shared" si="1"/>
        <v>0</v>
      </c>
      <c r="Q41" s="23"/>
      <c r="R41" s="24"/>
      <c r="S41" s="49"/>
      <c r="T41" s="24"/>
      <c r="U41" s="24">
        <f t="shared" si="2"/>
        <v>0</v>
      </c>
      <c r="V41" s="24"/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</row>
    <row r="42" spans="1:48" ht="14.25" customHeight="1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5">
        <f t="shared" si="0"/>
        <v>0</v>
      </c>
      <c r="L42" s="24"/>
      <c r="M42" s="14"/>
      <c r="N42" s="49"/>
      <c r="O42" s="24"/>
      <c r="P42" s="24">
        <f t="shared" si="1"/>
        <v>0</v>
      </c>
      <c r="Q42" s="23"/>
      <c r="R42" s="24"/>
      <c r="S42" s="49"/>
      <c r="T42" s="24"/>
      <c r="U42" s="24">
        <f t="shared" si="2"/>
        <v>0</v>
      </c>
      <c r="V42" s="24"/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</row>
    <row r="43" spans="1:48" ht="14.25" customHeight="1">
      <c r="A43" s="13"/>
      <c r="B43" s="14"/>
      <c r="C43" s="14"/>
      <c r="D43" s="14"/>
      <c r="E43" s="14"/>
      <c r="F43" s="14"/>
      <c r="G43" s="14"/>
      <c r="H43" s="14"/>
      <c r="I43" s="14"/>
      <c r="J43" s="14"/>
      <c r="K43" s="15">
        <f t="shared" si="0"/>
        <v>0</v>
      </c>
      <c r="L43" s="24"/>
      <c r="M43" s="14"/>
      <c r="N43" s="49"/>
      <c r="O43" s="24"/>
      <c r="P43" s="24">
        <f t="shared" si="1"/>
        <v>0</v>
      </c>
      <c r="Q43" s="23"/>
      <c r="R43" s="24"/>
      <c r="S43" s="49"/>
      <c r="T43" s="24"/>
      <c r="U43" s="24">
        <f t="shared" si="2"/>
        <v>0</v>
      </c>
      <c r="V43" s="24"/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</row>
    <row r="44" spans="1:48" ht="14.25" customHeight="1">
      <c r="A44" s="13"/>
      <c r="B44" s="14"/>
      <c r="C44" s="14"/>
      <c r="D44" s="14"/>
      <c r="E44" s="14"/>
      <c r="F44" s="14"/>
      <c r="G44" s="14"/>
      <c r="H44" s="14"/>
      <c r="I44" s="14"/>
      <c r="J44" s="14"/>
      <c r="K44" s="15">
        <f t="shared" si="0"/>
        <v>0</v>
      </c>
      <c r="L44" s="24"/>
      <c r="M44" s="14"/>
      <c r="N44" s="49"/>
      <c r="O44" s="24"/>
      <c r="P44" s="24">
        <f t="shared" si="1"/>
        <v>0</v>
      </c>
      <c r="Q44" s="23"/>
      <c r="R44" s="24"/>
      <c r="S44" s="49"/>
      <c r="T44" s="24"/>
      <c r="U44" s="24">
        <f t="shared" si="2"/>
        <v>0</v>
      </c>
      <c r="V44" s="24"/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0</v>
      </c>
      <c r="AV44" s="16">
        <v>0</v>
      </c>
    </row>
    <row r="45" spans="1:48" ht="14.25" customHeight="1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5">
        <f t="shared" si="0"/>
        <v>0</v>
      </c>
      <c r="L45" s="24"/>
      <c r="M45" s="14"/>
      <c r="N45" s="49"/>
      <c r="O45" s="24"/>
      <c r="P45" s="24">
        <f t="shared" si="1"/>
        <v>0</v>
      </c>
      <c r="Q45" s="23"/>
      <c r="R45" s="24"/>
      <c r="S45" s="49"/>
      <c r="T45" s="24"/>
      <c r="U45" s="24">
        <f t="shared" si="2"/>
        <v>0</v>
      </c>
      <c r="V45" s="24"/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</row>
    <row r="46" spans="1:48" ht="14.25" customHeight="1">
      <c r="A46" s="13"/>
      <c r="B46" s="14"/>
      <c r="C46" s="14"/>
      <c r="D46" s="14"/>
      <c r="E46" s="14"/>
      <c r="F46" s="14"/>
      <c r="G46" s="14"/>
      <c r="H46" s="14"/>
      <c r="I46" s="14"/>
      <c r="J46" s="14"/>
      <c r="K46" s="15">
        <f t="shared" si="0"/>
        <v>0</v>
      </c>
      <c r="L46" s="24"/>
      <c r="M46" s="14"/>
      <c r="N46" s="49"/>
      <c r="O46" s="24"/>
      <c r="P46" s="24">
        <f t="shared" si="1"/>
        <v>0</v>
      </c>
      <c r="Q46" s="23"/>
      <c r="R46" s="24"/>
      <c r="S46" s="49"/>
      <c r="T46" s="24"/>
      <c r="U46" s="24">
        <f t="shared" si="2"/>
        <v>0</v>
      </c>
      <c r="V46" s="24"/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>
        <v>0</v>
      </c>
      <c r="AU46" s="16">
        <v>0</v>
      </c>
      <c r="AV46" s="16">
        <v>0</v>
      </c>
    </row>
    <row r="47" spans="1:48" ht="14.25" customHeight="1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5">
        <f t="shared" si="0"/>
        <v>0</v>
      </c>
      <c r="L47" s="24"/>
      <c r="M47" s="14"/>
      <c r="N47" s="49"/>
      <c r="O47" s="24"/>
      <c r="P47" s="24">
        <f t="shared" si="1"/>
        <v>0</v>
      </c>
      <c r="Q47" s="23"/>
      <c r="R47" s="24"/>
      <c r="S47" s="49"/>
      <c r="T47" s="24"/>
      <c r="U47" s="24">
        <f t="shared" si="2"/>
        <v>0</v>
      </c>
      <c r="V47" s="24"/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</row>
    <row r="48" spans="1:48" ht="14.25" customHeight="1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5">
        <f t="shared" si="0"/>
        <v>0</v>
      </c>
      <c r="L48" s="24"/>
      <c r="M48" s="14"/>
      <c r="N48" s="49"/>
      <c r="O48" s="24"/>
      <c r="P48" s="24">
        <f t="shared" si="1"/>
        <v>0</v>
      </c>
      <c r="Q48" s="23"/>
      <c r="R48" s="24"/>
      <c r="S48" s="49"/>
      <c r="T48" s="24"/>
      <c r="U48" s="24">
        <f t="shared" si="2"/>
        <v>0</v>
      </c>
      <c r="V48" s="24"/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</row>
    <row r="49" spans="1:48" ht="14.25" customHeight="1">
      <c r="A49" s="13"/>
      <c r="B49" s="14"/>
      <c r="C49" s="14"/>
      <c r="D49" s="14"/>
      <c r="E49" s="14"/>
      <c r="F49" s="14"/>
      <c r="G49" s="14"/>
      <c r="H49" s="14"/>
      <c r="I49" s="14"/>
      <c r="J49" s="14"/>
      <c r="K49" s="15">
        <f t="shared" si="0"/>
        <v>0</v>
      </c>
      <c r="L49" s="24"/>
      <c r="M49" s="14"/>
      <c r="N49" s="49"/>
      <c r="O49" s="24"/>
      <c r="P49" s="24">
        <f t="shared" si="1"/>
        <v>0</v>
      </c>
      <c r="Q49" s="23"/>
      <c r="R49" s="24"/>
      <c r="S49" s="49"/>
      <c r="T49" s="24"/>
      <c r="U49" s="24">
        <f t="shared" si="2"/>
        <v>0</v>
      </c>
      <c r="V49" s="24"/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</row>
    <row r="50" spans="1:48" ht="14.25" customHeight="1">
      <c r="A50" s="13"/>
      <c r="B50" s="14"/>
      <c r="C50" s="14"/>
      <c r="D50" s="14"/>
      <c r="E50" s="14"/>
      <c r="F50" s="14"/>
      <c r="G50" s="14"/>
      <c r="H50" s="14"/>
      <c r="I50" s="14"/>
      <c r="J50" s="14"/>
      <c r="K50" s="15">
        <f t="shared" si="0"/>
        <v>0</v>
      </c>
      <c r="L50" s="24"/>
      <c r="M50" s="14"/>
      <c r="N50" s="49"/>
      <c r="O50" s="24"/>
      <c r="P50" s="24">
        <f t="shared" si="1"/>
        <v>0</v>
      </c>
      <c r="Q50" s="23"/>
      <c r="R50" s="24"/>
      <c r="S50" s="49"/>
      <c r="T50" s="24"/>
      <c r="U50" s="24">
        <f t="shared" si="2"/>
        <v>0</v>
      </c>
      <c r="V50" s="24"/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</row>
    <row r="51" spans="1:48" ht="14.25" customHeight="1">
      <c r="A51" s="13"/>
      <c r="B51" s="14"/>
      <c r="C51" s="14"/>
      <c r="D51" s="14"/>
      <c r="E51" s="14"/>
      <c r="F51" s="14"/>
      <c r="G51" s="14"/>
      <c r="H51" s="14"/>
      <c r="I51" s="14"/>
      <c r="J51" s="14"/>
      <c r="K51" s="15">
        <f t="shared" si="0"/>
        <v>0</v>
      </c>
      <c r="L51" s="24"/>
      <c r="M51" s="14"/>
      <c r="N51" s="49"/>
      <c r="O51" s="24"/>
      <c r="P51" s="24">
        <f t="shared" si="1"/>
        <v>0</v>
      </c>
      <c r="Q51" s="23"/>
      <c r="R51" s="24"/>
      <c r="S51" s="49"/>
      <c r="T51" s="24"/>
      <c r="U51" s="24">
        <f t="shared" si="2"/>
        <v>0</v>
      </c>
      <c r="V51" s="24"/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</row>
    <row r="52" spans="1:48" ht="14.25" customHeight="1">
      <c r="A52" s="13"/>
      <c r="B52" s="14"/>
      <c r="C52" s="14"/>
      <c r="D52" s="14"/>
      <c r="E52" s="14"/>
      <c r="F52" s="14"/>
      <c r="G52" s="14"/>
      <c r="H52" s="14"/>
      <c r="I52" s="14"/>
      <c r="J52" s="14"/>
      <c r="K52" s="15">
        <f t="shared" si="0"/>
        <v>0</v>
      </c>
      <c r="L52" s="24"/>
      <c r="M52" s="14"/>
      <c r="N52" s="49"/>
      <c r="O52" s="24"/>
      <c r="P52" s="24">
        <f t="shared" si="1"/>
        <v>0</v>
      </c>
      <c r="Q52" s="23"/>
      <c r="R52" s="24"/>
      <c r="S52" s="49"/>
      <c r="T52" s="24"/>
      <c r="U52" s="24">
        <f t="shared" si="2"/>
        <v>0</v>
      </c>
      <c r="V52" s="24"/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</row>
    <row r="53" spans="1:48" ht="14.25" customHeight="1">
      <c r="A53" s="13"/>
      <c r="B53" s="14"/>
      <c r="C53" s="14"/>
      <c r="D53" s="14"/>
      <c r="E53" s="14"/>
      <c r="F53" s="14"/>
      <c r="G53" s="14"/>
      <c r="H53" s="14"/>
      <c r="I53" s="14"/>
      <c r="J53" s="14"/>
      <c r="K53" s="15">
        <f t="shared" si="0"/>
        <v>0</v>
      </c>
      <c r="L53" s="24"/>
      <c r="M53" s="14"/>
      <c r="N53" s="49"/>
      <c r="O53" s="24"/>
      <c r="P53" s="24">
        <f t="shared" si="1"/>
        <v>0</v>
      </c>
      <c r="Q53" s="23"/>
      <c r="R53" s="24"/>
      <c r="S53" s="49"/>
      <c r="T53" s="24"/>
      <c r="U53" s="24">
        <f t="shared" si="2"/>
        <v>0</v>
      </c>
      <c r="V53" s="24"/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</row>
    <row r="54" spans="1:48" ht="14.25" customHeight="1">
      <c r="A54" s="13"/>
      <c r="B54" s="14"/>
      <c r="C54" s="14"/>
      <c r="D54" s="14"/>
      <c r="E54" s="14"/>
      <c r="F54" s="14"/>
      <c r="G54" s="14"/>
      <c r="H54" s="14"/>
      <c r="I54" s="14"/>
      <c r="J54" s="14"/>
      <c r="K54" s="15">
        <f t="shared" si="0"/>
        <v>0</v>
      </c>
      <c r="L54" s="24"/>
      <c r="M54" s="14"/>
      <c r="N54" s="49"/>
      <c r="O54" s="24"/>
      <c r="P54" s="24">
        <f t="shared" si="1"/>
        <v>0</v>
      </c>
      <c r="Q54" s="23"/>
      <c r="R54" s="24"/>
      <c r="S54" s="49"/>
      <c r="T54" s="24"/>
      <c r="U54" s="24">
        <f t="shared" si="2"/>
        <v>0</v>
      </c>
      <c r="V54" s="24"/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16">
        <v>0</v>
      </c>
      <c r="AN54" s="16">
        <v>0</v>
      </c>
      <c r="AO54" s="16">
        <v>0</v>
      </c>
      <c r="AP54" s="16">
        <v>0</v>
      </c>
      <c r="AQ54" s="16">
        <v>0</v>
      </c>
      <c r="AR54" s="16">
        <v>0</v>
      </c>
      <c r="AS54" s="16">
        <v>0</v>
      </c>
      <c r="AT54" s="16">
        <v>0</v>
      </c>
      <c r="AU54" s="16">
        <v>0</v>
      </c>
      <c r="AV54" s="16">
        <v>0</v>
      </c>
    </row>
    <row r="55" spans="1:48" ht="14.25" customHeight="1">
      <c r="A55" s="13"/>
      <c r="B55" s="14"/>
      <c r="C55" s="14"/>
      <c r="D55" s="14"/>
      <c r="E55" s="14"/>
      <c r="F55" s="14"/>
      <c r="G55" s="14"/>
      <c r="H55" s="14"/>
      <c r="I55" s="14"/>
      <c r="J55" s="14"/>
      <c r="K55" s="15">
        <f t="shared" si="0"/>
        <v>0</v>
      </c>
      <c r="L55" s="24"/>
      <c r="M55" s="14"/>
      <c r="N55" s="49"/>
      <c r="O55" s="24"/>
      <c r="P55" s="24">
        <f t="shared" si="1"/>
        <v>0</v>
      </c>
      <c r="Q55" s="23"/>
      <c r="R55" s="24"/>
      <c r="S55" s="49"/>
      <c r="T55" s="24"/>
      <c r="U55" s="24">
        <f t="shared" si="2"/>
        <v>0</v>
      </c>
      <c r="V55" s="24"/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0</v>
      </c>
      <c r="AP55" s="16">
        <v>0</v>
      </c>
      <c r="AQ55" s="16">
        <v>0</v>
      </c>
      <c r="AR55" s="16">
        <v>0</v>
      </c>
      <c r="AS55" s="16">
        <v>0</v>
      </c>
      <c r="AT55" s="16">
        <v>0</v>
      </c>
      <c r="AU55" s="16">
        <v>0</v>
      </c>
      <c r="AV55" s="16">
        <v>0</v>
      </c>
    </row>
    <row r="56" spans="1:48" ht="14.25" customHeight="1">
      <c r="A56" s="13"/>
      <c r="B56" s="14"/>
      <c r="C56" s="14"/>
      <c r="D56" s="14"/>
      <c r="E56" s="14"/>
      <c r="F56" s="14"/>
      <c r="G56" s="14"/>
      <c r="H56" s="14"/>
      <c r="I56" s="14"/>
      <c r="J56" s="14"/>
      <c r="K56" s="15">
        <f t="shared" si="0"/>
        <v>0</v>
      </c>
      <c r="L56" s="24"/>
      <c r="M56" s="14"/>
      <c r="N56" s="49"/>
      <c r="O56" s="24"/>
      <c r="P56" s="24">
        <f t="shared" si="1"/>
        <v>0</v>
      </c>
      <c r="Q56" s="23"/>
      <c r="R56" s="24"/>
      <c r="S56" s="49"/>
      <c r="T56" s="24"/>
      <c r="U56" s="24">
        <f t="shared" si="2"/>
        <v>0</v>
      </c>
      <c r="V56" s="24"/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</row>
    <row r="57" spans="1:48" ht="14.25" customHeight="1">
      <c r="A57" s="13"/>
      <c r="B57" s="14"/>
      <c r="C57" s="14"/>
      <c r="D57" s="14"/>
      <c r="E57" s="14"/>
      <c r="F57" s="14"/>
      <c r="G57" s="14"/>
      <c r="H57" s="14"/>
      <c r="I57" s="14"/>
      <c r="J57" s="14"/>
      <c r="K57" s="15">
        <f t="shared" si="0"/>
        <v>0</v>
      </c>
      <c r="L57" s="24"/>
      <c r="M57" s="14"/>
      <c r="N57" s="49"/>
      <c r="O57" s="24"/>
      <c r="P57" s="24">
        <f t="shared" si="1"/>
        <v>0</v>
      </c>
      <c r="Q57" s="23"/>
      <c r="R57" s="24"/>
      <c r="S57" s="49"/>
      <c r="T57" s="24"/>
      <c r="U57" s="24">
        <f t="shared" si="2"/>
        <v>0</v>
      </c>
      <c r="V57" s="24"/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</row>
    <row r="58" spans="1:48" ht="14.25" customHeight="1">
      <c r="A58" s="13"/>
      <c r="B58" s="14"/>
      <c r="C58" s="14"/>
      <c r="D58" s="14"/>
      <c r="E58" s="14"/>
      <c r="F58" s="14"/>
      <c r="G58" s="14"/>
      <c r="H58" s="14"/>
      <c r="I58" s="14"/>
      <c r="J58" s="14"/>
      <c r="K58" s="15">
        <f t="shared" si="0"/>
        <v>0</v>
      </c>
      <c r="L58" s="24"/>
      <c r="M58" s="14"/>
      <c r="N58" s="49"/>
      <c r="O58" s="24"/>
      <c r="P58" s="24">
        <f t="shared" si="1"/>
        <v>0</v>
      </c>
      <c r="Q58" s="23"/>
      <c r="R58" s="24"/>
      <c r="S58" s="49"/>
      <c r="T58" s="24"/>
      <c r="U58" s="24">
        <f t="shared" si="2"/>
        <v>0</v>
      </c>
      <c r="V58" s="24"/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0</v>
      </c>
      <c r="AV58" s="16">
        <v>0</v>
      </c>
    </row>
    <row r="59" spans="1:48" ht="14.25" customHeight="1">
      <c r="A59" s="13"/>
      <c r="B59" s="14"/>
      <c r="C59" s="14"/>
      <c r="D59" s="14"/>
      <c r="E59" s="14"/>
      <c r="F59" s="14"/>
      <c r="G59" s="14"/>
      <c r="H59" s="14"/>
      <c r="I59" s="14"/>
      <c r="J59" s="14"/>
      <c r="K59" s="15">
        <f t="shared" si="0"/>
        <v>0</v>
      </c>
      <c r="L59" s="24"/>
      <c r="M59" s="14"/>
      <c r="N59" s="49"/>
      <c r="O59" s="24"/>
      <c r="P59" s="24">
        <f t="shared" si="1"/>
        <v>0</v>
      </c>
      <c r="Q59" s="23"/>
      <c r="R59" s="24"/>
      <c r="S59" s="49"/>
      <c r="T59" s="24"/>
      <c r="U59" s="24">
        <f t="shared" si="2"/>
        <v>0</v>
      </c>
      <c r="V59" s="24"/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</row>
    <row r="60" spans="1:48" ht="14.25" customHeight="1">
      <c r="A60" s="13"/>
      <c r="B60" s="14"/>
      <c r="C60" s="14"/>
      <c r="D60" s="14"/>
      <c r="E60" s="14"/>
      <c r="F60" s="14"/>
      <c r="G60" s="14"/>
      <c r="H60" s="14"/>
      <c r="I60" s="14"/>
      <c r="J60" s="14"/>
      <c r="K60" s="15">
        <f t="shared" si="0"/>
        <v>0</v>
      </c>
      <c r="L60" s="24"/>
      <c r="M60" s="14"/>
      <c r="N60" s="49"/>
      <c r="O60" s="24"/>
      <c r="P60" s="24">
        <f t="shared" si="1"/>
        <v>0</v>
      </c>
      <c r="Q60" s="23"/>
      <c r="R60" s="24"/>
      <c r="S60" s="49"/>
      <c r="T60" s="24"/>
      <c r="U60" s="24">
        <f t="shared" si="2"/>
        <v>0</v>
      </c>
      <c r="V60" s="24"/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0</v>
      </c>
    </row>
    <row r="61" spans="1:48" ht="14.25" customHeight="1">
      <c r="A61" s="13"/>
      <c r="B61" s="14"/>
      <c r="C61" s="14"/>
      <c r="D61" s="14"/>
      <c r="E61" s="14"/>
      <c r="F61" s="14"/>
      <c r="G61" s="14"/>
      <c r="H61" s="14"/>
      <c r="I61" s="14"/>
      <c r="J61" s="14"/>
      <c r="K61" s="15">
        <f t="shared" si="0"/>
        <v>0</v>
      </c>
      <c r="L61" s="24"/>
      <c r="M61" s="14"/>
      <c r="N61" s="49"/>
      <c r="O61" s="24"/>
      <c r="P61" s="24">
        <f t="shared" si="1"/>
        <v>0</v>
      </c>
      <c r="Q61" s="23"/>
      <c r="R61" s="24"/>
      <c r="S61" s="49"/>
      <c r="T61" s="24"/>
      <c r="U61" s="24">
        <f t="shared" si="2"/>
        <v>0</v>
      </c>
      <c r="V61" s="24"/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</row>
    <row r="62" spans="1:48" ht="14.25" customHeight="1">
      <c r="A62" s="13"/>
      <c r="B62" s="14"/>
      <c r="C62" s="14"/>
      <c r="D62" s="14"/>
      <c r="E62" s="14"/>
      <c r="F62" s="14"/>
      <c r="G62" s="14"/>
      <c r="H62" s="14"/>
      <c r="I62" s="14"/>
      <c r="J62" s="14"/>
      <c r="K62" s="15">
        <f t="shared" si="0"/>
        <v>0</v>
      </c>
      <c r="L62" s="24"/>
      <c r="M62" s="14"/>
      <c r="N62" s="49"/>
      <c r="O62" s="24"/>
      <c r="P62" s="24">
        <f t="shared" si="1"/>
        <v>0</v>
      </c>
      <c r="Q62" s="23"/>
      <c r="R62" s="24"/>
      <c r="S62" s="49"/>
      <c r="T62" s="24"/>
      <c r="U62" s="24">
        <f t="shared" si="2"/>
        <v>0</v>
      </c>
      <c r="V62" s="24"/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</row>
    <row r="63" spans="1:48" ht="14.25" customHeight="1">
      <c r="A63" s="13"/>
      <c r="B63" s="14"/>
      <c r="C63" s="14"/>
      <c r="D63" s="14"/>
      <c r="E63" s="14"/>
      <c r="F63" s="14"/>
      <c r="G63" s="14"/>
      <c r="H63" s="14"/>
      <c r="I63" s="14"/>
      <c r="J63" s="14"/>
      <c r="K63" s="15">
        <f t="shared" si="0"/>
        <v>0</v>
      </c>
      <c r="L63" s="24"/>
      <c r="M63" s="14"/>
      <c r="N63" s="49"/>
      <c r="O63" s="24"/>
      <c r="P63" s="24">
        <f t="shared" si="1"/>
        <v>0</v>
      </c>
      <c r="Q63" s="23"/>
      <c r="R63" s="24"/>
      <c r="S63" s="49"/>
      <c r="T63" s="24"/>
      <c r="U63" s="24">
        <f t="shared" si="2"/>
        <v>0</v>
      </c>
      <c r="V63" s="24"/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16">
        <v>0</v>
      </c>
      <c r="AN63" s="16">
        <v>0</v>
      </c>
      <c r="AO63" s="16">
        <v>0</v>
      </c>
      <c r="AP63" s="16">
        <v>0</v>
      </c>
      <c r="AQ63" s="16">
        <v>0</v>
      </c>
      <c r="AR63" s="16">
        <v>0</v>
      </c>
      <c r="AS63" s="16">
        <v>0</v>
      </c>
      <c r="AT63" s="16">
        <v>0</v>
      </c>
      <c r="AU63" s="16">
        <v>0</v>
      </c>
      <c r="AV63" s="16">
        <v>0</v>
      </c>
    </row>
    <row r="64" spans="1:48" ht="14.25" customHeight="1">
      <c r="A64" s="13"/>
      <c r="B64" s="14"/>
      <c r="C64" s="14"/>
      <c r="D64" s="14"/>
      <c r="E64" s="14"/>
      <c r="F64" s="14"/>
      <c r="G64" s="14"/>
      <c r="H64" s="14"/>
      <c r="I64" s="14"/>
      <c r="J64" s="14"/>
      <c r="K64" s="15">
        <f t="shared" si="0"/>
        <v>0</v>
      </c>
      <c r="L64" s="24"/>
      <c r="M64" s="14"/>
      <c r="N64" s="49"/>
      <c r="O64" s="24"/>
      <c r="P64" s="24">
        <f t="shared" si="1"/>
        <v>0</v>
      </c>
      <c r="Q64" s="23"/>
      <c r="R64" s="24"/>
      <c r="S64" s="49"/>
      <c r="T64" s="24"/>
      <c r="U64" s="24">
        <f t="shared" si="2"/>
        <v>0</v>
      </c>
      <c r="V64" s="24"/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</row>
    <row r="65" spans="1:48" ht="14.25" customHeight="1">
      <c r="A65" s="13"/>
      <c r="B65" s="14"/>
      <c r="C65" s="14"/>
      <c r="D65" s="14"/>
      <c r="E65" s="14"/>
      <c r="F65" s="14"/>
      <c r="G65" s="14"/>
      <c r="H65" s="14"/>
      <c r="I65" s="14"/>
      <c r="J65" s="14"/>
      <c r="K65" s="15">
        <f t="shared" si="0"/>
        <v>0</v>
      </c>
      <c r="L65" s="24"/>
      <c r="M65" s="14"/>
      <c r="N65" s="49"/>
      <c r="O65" s="24"/>
      <c r="P65" s="24">
        <f t="shared" si="1"/>
        <v>0</v>
      </c>
      <c r="Q65" s="23"/>
      <c r="R65" s="24"/>
      <c r="S65" s="49"/>
      <c r="T65" s="24"/>
      <c r="U65" s="24">
        <f t="shared" si="2"/>
        <v>0</v>
      </c>
      <c r="V65" s="24"/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0</v>
      </c>
      <c r="AU65" s="16">
        <v>0</v>
      </c>
      <c r="AV65" s="16">
        <v>0</v>
      </c>
    </row>
    <row r="66" spans="1:48" ht="14.25" customHeight="1">
      <c r="A66" s="13"/>
      <c r="B66" s="14"/>
      <c r="C66" s="14"/>
      <c r="D66" s="14"/>
      <c r="E66" s="14"/>
      <c r="F66" s="14"/>
      <c r="G66" s="14"/>
      <c r="H66" s="14"/>
      <c r="I66" s="14"/>
      <c r="J66" s="14"/>
      <c r="K66" s="15">
        <f t="shared" si="0"/>
        <v>0</v>
      </c>
      <c r="L66" s="24"/>
      <c r="M66" s="14"/>
      <c r="N66" s="49"/>
      <c r="O66" s="24"/>
      <c r="P66" s="24">
        <f t="shared" si="1"/>
        <v>0</v>
      </c>
      <c r="Q66" s="23"/>
      <c r="R66" s="24"/>
      <c r="S66" s="49"/>
      <c r="T66" s="24"/>
      <c r="U66" s="24">
        <f t="shared" si="2"/>
        <v>0</v>
      </c>
      <c r="V66" s="24"/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</row>
    <row r="67" spans="1:48" ht="14.25" customHeight="1">
      <c r="A67" s="13"/>
      <c r="B67" s="14"/>
      <c r="C67" s="14"/>
      <c r="D67" s="14"/>
      <c r="E67" s="14"/>
      <c r="F67" s="14"/>
      <c r="G67" s="14"/>
      <c r="H67" s="14"/>
      <c r="I67" s="14"/>
      <c r="J67" s="14"/>
      <c r="K67" s="15">
        <f t="shared" si="0"/>
        <v>0</v>
      </c>
      <c r="L67" s="24"/>
      <c r="M67" s="14"/>
      <c r="N67" s="49"/>
      <c r="O67" s="24"/>
      <c r="P67" s="24">
        <f t="shared" ref="P67:P130" si="3">O67-K67</f>
        <v>0</v>
      </c>
      <c r="Q67" s="23"/>
      <c r="R67" s="24"/>
      <c r="S67" s="49"/>
      <c r="T67" s="24"/>
      <c r="U67" s="24">
        <f t="shared" ref="U67:U130" si="4">T67-O67</f>
        <v>0</v>
      </c>
      <c r="V67" s="24"/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</row>
    <row r="68" spans="1:48" ht="14.25" customHeight="1">
      <c r="A68" s="13"/>
      <c r="B68" s="14"/>
      <c r="C68" s="14"/>
      <c r="D68" s="14"/>
      <c r="E68" s="14"/>
      <c r="F68" s="14"/>
      <c r="G68" s="14"/>
      <c r="H68" s="14"/>
      <c r="I68" s="14"/>
      <c r="J68" s="14"/>
      <c r="K68" s="15">
        <f t="shared" si="0"/>
        <v>0</v>
      </c>
      <c r="L68" s="24"/>
      <c r="M68" s="14"/>
      <c r="N68" s="49"/>
      <c r="O68" s="24"/>
      <c r="P68" s="24">
        <f t="shared" si="3"/>
        <v>0</v>
      </c>
      <c r="Q68" s="23"/>
      <c r="R68" s="24"/>
      <c r="S68" s="49"/>
      <c r="T68" s="24"/>
      <c r="U68" s="24">
        <f t="shared" si="4"/>
        <v>0</v>
      </c>
      <c r="V68" s="24"/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16">
        <v>0</v>
      </c>
    </row>
    <row r="69" spans="1:48" ht="14.25" customHeight="1">
      <c r="A69" s="13"/>
      <c r="B69" s="14"/>
      <c r="C69" s="14"/>
      <c r="D69" s="14"/>
      <c r="E69" s="14"/>
      <c r="F69" s="14"/>
      <c r="G69" s="14"/>
      <c r="H69" s="14"/>
      <c r="I69" s="14"/>
      <c r="J69" s="14"/>
      <c r="K69" s="15">
        <f t="shared" si="0"/>
        <v>0</v>
      </c>
      <c r="L69" s="24"/>
      <c r="M69" s="14"/>
      <c r="N69" s="49"/>
      <c r="O69" s="24"/>
      <c r="P69" s="24">
        <f t="shared" si="3"/>
        <v>0</v>
      </c>
      <c r="Q69" s="23"/>
      <c r="R69" s="24"/>
      <c r="S69" s="49"/>
      <c r="T69" s="24"/>
      <c r="U69" s="24">
        <f t="shared" si="4"/>
        <v>0</v>
      </c>
      <c r="V69" s="24"/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>
        <v>0</v>
      </c>
      <c r="AM69" s="16">
        <v>0</v>
      </c>
      <c r="AN69" s="16">
        <v>0</v>
      </c>
      <c r="AO69" s="16">
        <v>0</v>
      </c>
      <c r="AP69" s="16">
        <v>0</v>
      </c>
      <c r="AQ69" s="16">
        <v>0</v>
      </c>
      <c r="AR69" s="16">
        <v>0</v>
      </c>
      <c r="AS69" s="16">
        <v>0</v>
      </c>
      <c r="AT69" s="16">
        <v>0</v>
      </c>
      <c r="AU69" s="16">
        <v>0</v>
      </c>
      <c r="AV69" s="16">
        <v>0</v>
      </c>
    </row>
    <row r="70" spans="1:48" ht="14.25" customHeight="1">
      <c r="A70" s="13"/>
      <c r="B70" s="14"/>
      <c r="C70" s="14"/>
      <c r="D70" s="14"/>
      <c r="E70" s="14"/>
      <c r="F70" s="14"/>
      <c r="G70" s="14"/>
      <c r="H70" s="14"/>
      <c r="I70" s="14"/>
      <c r="J70" s="14"/>
      <c r="K70" s="15">
        <f t="shared" si="0"/>
        <v>0</v>
      </c>
      <c r="L70" s="24"/>
      <c r="M70" s="14"/>
      <c r="N70" s="49"/>
      <c r="O70" s="24"/>
      <c r="P70" s="24">
        <f t="shared" si="3"/>
        <v>0</v>
      </c>
      <c r="Q70" s="23"/>
      <c r="R70" s="24"/>
      <c r="S70" s="49"/>
      <c r="T70" s="24"/>
      <c r="U70" s="24">
        <f t="shared" si="4"/>
        <v>0</v>
      </c>
      <c r="V70" s="24"/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</row>
    <row r="71" spans="1:48" ht="14.25" customHeight="1">
      <c r="A71" s="13"/>
      <c r="B71" s="14"/>
      <c r="C71" s="14"/>
      <c r="D71" s="14"/>
      <c r="E71" s="14"/>
      <c r="F71" s="14"/>
      <c r="G71" s="14"/>
      <c r="H71" s="14"/>
      <c r="I71" s="14"/>
      <c r="J71" s="14"/>
      <c r="K71" s="15">
        <f t="shared" si="0"/>
        <v>0</v>
      </c>
      <c r="L71" s="24"/>
      <c r="M71" s="14"/>
      <c r="N71" s="49"/>
      <c r="O71" s="24"/>
      <c r="P71" s="24">
        <f t="shared" si="3"/>
        <v>0</v>
      </c>
      <c r="Q71" s="23"/>
      <c r="R71" s="24"/>
      <c r="S71" s="49"/>
      <c r="T71" s="24"/>
      <c r="U71" s="24">
        <f t="shared" si="4"/>
        <v>0</v>
      </c>
      <c r="V71" s="24"/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>
        <v>0</v>
      </c>
      <c r="AM71" s="16">
        <v>0</v>
      </c>
      <c r="AN71" s="16">
        <v>0</v>
      </c>
      <c r="AO71" s="16">
        <v>0</v>
      </c>
      <c r="AP71" s="16">
        <v>0</v>
      </c>
      <c r="AQ71" s="16">
        <v>0</v>
      </c>
      <c r="AR71" s="16">
        <v>0</v>
      </c>
      <c r="AS71" s="16">
        <v>0</v>
      </c>
      <c r="AT71" s="16">
        <v>0</v>
      </c>
      <c r="AU71" s="16">
        <v>0</v>
      </c>
      <c r="AV71" s="16">
        <v>0</v>
      </c>
    </row>
    <row r="72" spans="1:48" ht="14.25" customHeight="1">
      <c r="A72" s="13"/>
      <c r="B72" s="14"/>
      <c r="C72" s="14"/>
      <c r="D72" s="14"/>
      <c r="E72" s="14"/>
      <c r="F72" s="14"/>
      <c r="G72" s="14"/>
      <c r="H72" s="14"/>
      <c r="I72" s="14"/>
      <c r="J72" s="14"/>
      <c r="K72" s="15">
        <f t="shared" si="0"/>
        <v>0</v>
      </c>
      <c r="L72" s="24"/>
      <c r="M72" s="14"/>
      <c r="N72" s="49"/>
      <c r="O72" s="24"/>
      <c r="P72" s="24">
        <f t="shared" si="3"/>
        <v>0</v>
      </c>
      <c r="Q72" s="23"/>
      <c r="R72" s="24"/>
      <c r="S72" s="49"/>
      <c r="T72" s="24"/>
      <c r="U72" s="24">
        <f t="shared" si="4"/>
        <v>0</v>
      </c>
      <c r="V72" s="24"/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</row>
    <row r="73" spans="1:48" ht="14.25" customHeight="1">
      <c r="A73" s="13"/>
      <c r="B73" s="14"/>
      <c r="C73" s="14"/>
      <c r="D73" s="14"/>
      <c r="E73" s="14"/>
      <c r="F73" s="14"/>
      <c r="G73" s="14"/>
      <c r="H73" s="14"/>
      <c r="I73" s="14"/>
      <c r="J73" s="14"/>
      <c r="K73" s="15">
        <f t="shared" si="0"/>
        <v>0</v>
      </c>
      <c r="L73" s="24"/>
      <c r="M73" s="14"/>
      <c r="N73" s="49"/>
      <c r="O73" s="24"/>
      <c r="P73" s="24">
        <f t="shared" si="3"/>
        <v>0</v>
      </c>
      <c r="Q73" s="23"/>
      <c r="R73" s="24"/>
      <c r="S73" s="49"/>
      <c r="T73" s="24"/>
      <c r="U73" s="24">
        <f t="shared" si="4"/>
        <v>0</v>
      </c>
      <c r="V73" s="24"/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</row>
    <row r="74" spans="1:48" ht="14.25" customHeight="1">
      <c r="A74" s="13"/>
      <c r="B74" s="14"/>
      <c r="C74" s="14"/>
      <c r="D74" s="14"/>
      <c r="E74" s="14"/>
      <c r="F74" s="14"/>
      <c r="G74" s="14"/>
      <c r="H74" s="14"/>
      <c r="I74" s="14"/>
      <c r="J74" s="14"/>
      <c r="K74" s="15">
        <f t="shared" si="0"/>
        <v>0</v>
      </c>
      <c r="L74" s="24"/>
      <c r="M74" s="14"/>
      <c r="N74" s="49"/>
      <c r="O74" s="24"/>
      <c r="P74" s="24">
        <f t="shared" si="3"/>
        <v>0</v>
      </c>
      <c r="Q74" s="23"/>
      <c r="R74" s="24"/>
      <c r="S74" s="49"/>
      <c r="T74" s="24"/>
      <c r="U74" s="24">
        <f t="shared" si="4"/>
        <v>0</v>
      </c>
      <c r="V74" s="24"/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>
        <v>0</v>
      </c>
      <c r="AP74" s="16">
        <v>0</v>
      </c>
      <c r="AQ74" s="16">
        <v>0</v>
      </c>
      <c r="AR74" s="16">
        <v>0</v>
      </c>
      <c r="AS74" s="16">
        <v>0</v>
      </c>
      <c r="AT74" s="16">
        <v>0</v>
      </c>
      <c r="AU74" s="16">
        <v>0</v>
      </c>
      <c r="AV74" s="16">
        <v>0</v>
      </c>
    </row>
    <row r="75" spans="1:48" ht="14.25" customHeight="1">
      <c r="A75" s="13"/>
      <c r="B75" s="14"/>
      <c r="C75" s="14"/>
      <c r="D75" s="14"/>
      <c r="E75" s="14"/>
      <c r="F75" s="14"/>
      <c r="G75" s="14"/>
      <c r="H75" s="14"/>
      <c r="I75" s="14"/>
      <c r="J75" s="14"/>
      <c r="K75" s="15">
        <f t="shared" si="0"/>
        <v>0</v>
      </c>
      <c r="L75" s="24"/>
      <c r="M75" s="14"/>
      <c r="N75" s="49"/>
      <c r="O75" s="24"/>
      <c r="P75" s="24">
        <f t="shared" si="3"/>
        <v>0</v>
      </c>
      <c r="Q75" s="23"/>
      <c r="R75" s="24"/>
      <c r="S75" s="49"/>
      <c r="T75" s="24"/>
      <c r="U75" s="24">
        <f t="shared" si="4"/>
        <v>0</v>
      </c>
      <c r="V75" s="24"/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0</v>
      </c>
      <c r="AQ75" s="16">
        <v>0</v>
      </c>
      <c r="AR75" s="16">
        <v>0</v>
      </c>
      <c r="AS75" s="16">
        <v>0</v>
      </c>
      <c r="AT75" s="16">
        <v>0</v>
      </c>
      <c r="AU75" s="16">
        <v>0</v>
      </c>
      <c r="AV75" s="16">
        <v>0</v>
      </c>
    </row>
    <row r="76" spans="1:48" ht="14.25" customHeight="1">
      <c r="A76" s="13"/>
      <c r="B76" s="14"/>
      <c r="C76" s="14"/>
      <c r="D76" s="14"/>
      <c r="E76" s="14"/>
      <c r="F76" s="14"/>
      <c r="G76" s="14"/>
      <c r="H76" s="14"/>
      <c r="I76" s="14"/>
      <c r="J76" s="14"/>
      <c r="K76" s="15">
        <f t="shared" si="0"/>
        <v>0</v>
      </c>
      <c r="L76" s="24"/>
      <c r="M76" s="14"/>
      <c r="N76" s="49"/>
      <c r="O76" s="24"/>
      <c r="P76" s="24">
        <f t="shared" si="3"/>
        <v>0</v>
      </c>
      <c r="Q76" s="23"/>
      <c r="R76" s="24"/>
      <c r="S76" s="49"/>
      <c r="T76" s="24"/>
      <c r="U76" s="24">
        <f t="shared" si="4"/>
        <v>0</v>
      </c>
      <c r="V76" s="24"/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  <c r="AK76" s="16">
        <v>0</v>
      </c>
      <c r="AL76" s="16">
        <v>0</v>
      </c>
      <c r="AM76" s="16">
        <v>0</v>
      </c>
      <c r="AN76" s="16">
        <v>0</v>
      </c>
      <c r="AO76" s="16">
        <v>0</v>
      </c>
      <c r="AP76" s="16">
        <v>0</v>
      </c>
      <c r="AQ76" s="16">
        <v>0</v>
      </c>
      <c r="AR76" s="16">
        <v>0</v>
      </c>
      <c r="AS76" s="16">
        <v>0</v>
      </c>
      <c r="AT76" s="16">
        <v>0</v>
      </c>
      <c r="AU76" s="16">
        <v>0</v>
      </c>
      <c r="AV76" s="16">
        <v>0</v>
      </c>
    </row>
    <row r="77" spans="1:48" ht="14.25" customHeight="1">
      <c r="A77" s="13"/>
      <c r="B77" s="14"/>
      <c r="C77" s="14"/>
      <c r="D77" s="14"/>
      <c r="E77" s="14"/>
      <c r="F77" s="14"/>
      <c r="G77" s="14"/>
      <c r="H77" s="14"/>
      <c r="I77" s="14"/>
      <c r="J77" s="14"/>
      <c r="K77" s="15">
        <f t="shared" si="0"/>
        <v>0</v>
      </c>
      <c r="L77" s="24"/>
      <c r="M77" s="14"/>
      <c r="N77" s="49"/>
      <c r="O77" s="24"/>
      <c r="P77" s="24">
        <f t="shared" si="3"/>
        <v>0</v>
      </c>
      <c r="Q77" s="23"/>
      <c r="R77" s="24"/>
      <c r="S77" s="49"/>
      <c r="T77" s="24"/>
      <c r="U77" s="24">
        <f t="shared" si="4"/>
        <v>0</v>
      </c>
      <c r="V77" s="24"/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</row>
    <row r="78" spans="1:48" ht="14.25" customHeight="1">
      <c r="A78" s="13"/>
      <c r="B78" s="14"/>
      <c r="C78" s="14"/>
      <c r="D78" s="14"/>
      <c r="E78" s="14"/>
      <c r="F78" s="14"/>
      <c r="G78" s="14"/>
      <c r="H78" s="14"/>
      <c r="I78" s="14"/>
      <c r="J78" s="14"/>
      <c r="K78" s="15">
        <f t="shared" si="0"/>
        <v>0</v>
      </c>
      <c r="L78" s="24"/>
      <c r="M78" s="14"/>
      <c r="N78" s="49"/>
      <c r="O78" s="24"/>
      <c r="P78" s="24">
        <f t="shared" si="3"/>
        <v>0</v>
      </c>
      <c r="Q78" s="23"/>
      <c r="R78" s="24"/>
      <c r="S78" s="49"/>
      <c r="T78" s="24"/>
      <c r="U78" s="24">
        <f t="shared" si="4"/>
        <v>0</v>
      </c>
      <c r="V78" s="24"/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</row>
    <row r="79" spans="1:48" ht="14.25" customHeight="1">
      <c r="A79" s="13"/>
      <c r="B79" s="14"/>
      <c r="C79" s="14"/>
      <c r="D79" s="14"/>
      <c r="E79" s="14"/>
      <c r="F79" s="14"/>
      <c r="G79" s="14"/>
      <c r="H79" s="14"/>
      <c r="I79" s="14"/>
      <c r="J79" s="14"/>
      <c r="K79" s="15">
        <f t="shared" si="0"/>
        <v>0</v>
      </c>
      <c r="L79" s="24"/>
      <c r="M79" s="14"/>
      <c r="N79" s="49"/>
      <c r="O79" s="24"/>
      <c r="P79" s="24">
        <f t="shared" si="3"/>
        <v>0</v>
      </c>
      <c r="Q79" s="23"/>
      <c r="R79" s="24"/>
      <c r="S79" s="49"/>
      <c r="T79" s="24"/>
      <c r="U79" s="24">
        <f t="shared" si="4"/>
        <v>0</v>
      </c>
      <c r="V79" s="24"/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0</v>
      </c>
      <c r="AP79" s="16">
        <v>0</v>
      </c>
      <c r="AQ79" s="16">
        <v>0</v>
      </c>
      <c r="AR79" s="16">
        <v>0</v>
      </c>
      <c r="AS79" s="16">
        <v>0</v>
      </c>
      <c r="AT79" s="16">
        <v>0</v>
      </c>
      <c r="AU79" s="16">
        <v>0</v>
      </c>
      <c r="AV79" s="16">
        <v>0</v>
      </c>
    </row>
    <row r="80" spans="1:48" ht="14.25" customHeight="1">
      <c r="A80" s="13"/>
      <c r="B80" s="14"/>
      <c r="C80" s="14"/>
      <c r="D80" s="14"/>
      <c r="E80" s="14"/>
      <c r="F80" s="14"/>
      <c r="G80" s="14"/>
      <c r="H80" s="14"/>
      <c r="I80" s="14"/>
      <c r="J80" s="14"/>
      <c r="K80" s="15">
        <f t="shared" si="0"/>
        <v>0</v>
      </c>
      <c r="L80" s="24"/>
      <c r="M80" s="14"/>
      <c r="N80" s="49"/>
      <c r="O80" s="24"/>
      <c r="P80" s="24">
        <f t="shared" si="3"/>
        <v>0</v>
      </c>
      <c r="Q80" s="23"/>
      <c r="R80" s="24"/>
      <c r="S80" s="49"/>
      <c r="T80" s="24"/>
      <c r="U80" s="24">
        <f t="shared" si="4"/>
        <v>0</v>
      </c>
      <c r="V80" s="24"/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  <c r="AK80" s="16">
        <v>0</v>
      </c>
      <c r="AL80" s="16">
        <v>0</v>
      </c>
      <c r="AM80" s="16">
        <v>0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0</v>
      </c>
      <c r="AT80" s="16">
        <v>0</v>
      </c>
      <c r="AU80" s="16">
        <v>0</v>
      </c>
      <c r="AV80" s="16">
        <v>0</v>
      </c>
    </row>
    <row r="81" spans="1:48" ht="14.25" customHeight="1">
      <c r="A81" s="13"/>
      <c r="B81" s="14"/>
      <c r="C81" s="14"/>
      <c r="D81" s="14"/>
      <c r="E81" s="14"/>
      <c r="F81" s="14"/>
      <c r="G81" s="14"/>
      <c r="H81" s="14"/>
      <c r="I81" s="14"/>
      <c r="J81" s="14"/>
      <c r="K81" s="15">
        <f t="shared" si="0"/>
        <v>0</v>
      </c>
      <c r="L81" s="24"/>
      <c r="M81" s="14"/>
      <c r="N81" s="49"/>
      <c r="O81" s="24"/>
      <c r="P81" s="24">
        <f t="shared" si="3"/>
        <v>0</v>
      </c>
      <c r="Q81" s="23"/>
      <c r="R81" s="24"/>
      <c r="S81" s="49"/>
      <c r="T81" s="24"/>
      <c r="U81" s="24">
        <f t="shared" si="4"/>
        <v>0</v>
      </c>
      <c r="V81" s="24"/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  <c r="AK81" s="16">
        <v>0</v>
      </c>
      <c r="AL81" s="16">
        <v>0</v>
      </c>
      <c r="AM81" s="16">
        <v>0</v>
      </c>
      <c r="AN81" s="16">
        <v>0</v>
      </c>
      <c r="AO81" s="16">
        <v>0</v>
      </c>
      <c r="AP81" s="16">
        <v>0</v>
      </c>
      <c r="AQ81" s="16">
        <v>0</v>
      </c>
      <c r="AR81" s="16">
        <v>0</v>
      </c>
      <c r="AS81" s="16">
        <v>0</v>
      </c>
      <c r="AT81" s="16">
        <v>0</v>
      </c>
      <c r="AU81" s="16">
        <v>0</v>
      </c>
      <c r="AV81" s="16">
        <v>0</v>
      </c>
    </row>
    <row r="82" spans="1:48" ht="14.25" customHeight="1">
      <c r="A82" s="13"/>
      <c r="B82" s="14"/>
      <c r="C82" s="14"/>
      <c r="D82" s="14"/>
      <c r="E82" s="14"/>
      <c r="F82" s="14"/>
      <c r="G82" s="14"/>
      <c r="H82" s="14"/>
      <c r="I82" s="14"/>
      <c r="J82" s="14"/>
      <c r="K82" s="15">
        <f t="shared" si="0"/>
        <v>0</v>
      </c>
      <c r="L82" s="24"/>
      <c r="M82" s="14"/>
      <c r="N82" s="49"/>
      <c r="O82" s="24"/>
      <c r="P82" s="24">
        <f t="shared" si="3"/>
        <v>0</v>
      </c>
      <c r="Q82" s="23"/>
      <c r="R82" s="24"/>
      <c r="S82" s="49"/>
      <c r="T82" s="24"/>
      <c r="U82" s="24">
        <f t="shared" si="4"/>
        <v>0</v>
      </c>
      <c r="V82" s="24"/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  <c r="AK82" s="16">
        <v>0</v>
      </c>
      <c r="AL82" s="16">
        <v>0</v>
      </c>
      <c r="AM82" s="16">
        <v>0</v>
      </c>
      <c r="AN82" s="16">
        <v>0</v>
      </c>
      <c r="AO82" s="16">
        <v>0</v>
      </c>
      <c r="AP82" s="16">
        <v>0</v>
      </c>
      <c r="AQ82" s="16">
        <v>0</v>
      </c>
      <c r="AR82" s="16">
        <v>0</v>
      </c>
      <c r="AS82" s="16">
        <v>0</v>
      </c>
      <c r="AT82" s="16">
        <v>0</v>
      </c>
      <c r="AU82" s="16">
        <v>0</v>
      </c>
      <c r="AV82" s="16">
        <v>0</v>
      </c>
    </row>
    <row r="83" spans="1:48" ht="14.25" customHeight="1">
      <c r="A83" s="13"/>
      <c r="B83" s="14"/>
      <c r="C83" s="14"/>
      <c r="D83" s="14"/>
      <c r="E83" s="14"/>
      <c r="F83" s="14"/>
      <c r="G83" s="14"/>
      <c r="H83" s="14"/>
      <c r="I83" s="14"/>
      <c r="J83" s="14"/>
      <c r="K83" s="15">
        <f t="shared" si="0"/>
        <v>0</v>
      </c>
      <c r="L83" s="24"/>
      <c r="M83" s="14"/>
      <c r="N83" s="49"/>
      <c r="O83" s="24"/>
      <c r="P83" s="24">
        <f t="shared" si="3"/>
        <v>0</v>
      </c>
      <c r="Q83" s="23"/>
      <c r="R83" s="24"/>
      <c r="S83" s="49"/>
      <c r="T83" s="24"/>
      <c r="U83" s="24">
        <f t="shared" si="4"/>
        <v>0</v>
      </c>
      <c r="V83" s="24"/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  <c r="AK83" s="16">
        <v>0</v>
      </c>
      <c r="AL83" s="16">
        <v>0</v>
      </c>
      <c r="AM83" s="16">
        <v>0</v>
      </c>
      <c r="AN83" s="16">
        <v>0</v>
      </c>
      <c r="AO83" s="16">
        <v>0</v>
      </c>
      <c r="AP83" s="16">
        <v>0</v>
      </c>
      <c r="AQ83" s="16">
        <v>0</v>
      </c>
      <c r="AR83" s="16">
        <v>0</v>
      </c>
      <c r="AS83" s="16">
        <v>0</v>
      </c>
      <c r="AT83" s="16">
        <v>0</v>
      </c>
      <c r="AU83" s="16">
        <v>0</v>
      </c>
      <c r="AV83" s="16">
        <v>0</v>
      </c>
    </row>
    <row r="84" spans="1:48" ht="14.25" customHeight="1">
      <c r="A84" s="13"/>
      <c r="B84" s="14"/>
      <c r="C84" s="14"/>
      <c r="D84" s="14"/>
      <c r="E84" s="14"/>
      <c r="F84" s="14"/>
      <c r="G84" s="14"/>
      <c r="H84" s="14"/>
      <c r="I84" s="14"/>
      <c r="J84" s="14"/>
      <c r="K84" s="15">
        <f t="shared" si="0"/>
        <v>0</v>
      </c>
      <c r="L84" s="24"/>
      <c r="M84" s="14"/>
      <c r="N84" s="49"/>
      <c r="O84" s="24"/>
      <c r="P84" s="24">
        <f t="shared" si="3"/>
        <v>0</v>
      </c>
      <c r="Q84" s="23"/>
      <c r="R84" s="24"/>
      <c r="S84" s="49"/>
      <c r="T84" s="24"/>
      <c r="U84" s="24">
        <f t="shared" si="4"/>
        <v>0</v>
      </c>
      <c r="V84" s="24"/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  <c r="AK84" s="16">
        <v>0</v>
      </c>
      <c r="AL84" s="16">
        <v>0</v>
      </c>
      <c r="AM84" s="16">
        <v>0</v>
      </c>
      <c r="AN84" s="16">
        <v>0</v>
      </c>
      <c r="AO84" s="16">
        <v>0</v>
      </c>
      <c r="AP84" s="16">
        <v>0</v>
      </c>
      <c r="AQ84" s="16">
        <v>0</v>
      </c>
      <c r="AR84" s="16">
        <v>0</v>
      </c>
      <c r="AS84" s="16">
        <v>0</v>
      </c>
      <c r="AT84" s="16">
        <v>0</v>
      </c>
      <c r="AU84" s="16">
        <v>0</v>
      </c>
      <c r="AV84" s="16">
        <v>0</v>
      </c>
    </row>
    <row r="85" spans="1:48" ht="14.25" customHeight="1">
      <c r="A85" s="13"/>
      <c r="B85" s="14"/>
      <c r="C85" s="14"/>
      <c r="D85" s="14"/>
      <c r="E85" s="14"/>
      <c r="F85" s="14"/>
      <c r="G85" s="14"/>
      <c r="H85" s="14"/>
      <c r="I85" s="14"/>
      <c r="J85" s="14"/>
      <c r="K85" s="15">
        <f t="shared" si="0"/>
        <v>0</v>
      </c>
      <c r="L85" s="24"/>
      <c r="M85" s="14"/>
      <c r="N85" s="49"/>
      <c r="O85" s="24"/>
      <c r="P85" s="24">
        <f t="shared" si="3"/>
        <v>0</v>
      </c>
      <c r="Q85" s="23"/>
      <c r="R85" s="24"/>
      <c r="S85" s="49"/>
      <c r="T85" s="24"/>
      <c r="U85" s="24">
        <f t="shared" si="4"/>
        <v>0</v>
      </c>
      <c r="V85" s="24"/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0</v>
      </c>
      <c r="AP85" s="16">
        <v>0</v>
      </c>
      <c r="AQ85" s="16">
        <v>0</v>
      </c>
      <c r="AR85" s="16">
        <v>0</v>
      </c>
      <c r="AS85" s="16">
        <v>0</v>
      </c>
      <c r="AT85" s="16">
        <v>0</v>
      </c>
      <c r="AU85" s="16">
        <v>0</v>
      </c>
      <c r="AV85" s="16">
        <v>0</v>
      </c>
    </row>
    <row r="86" spans="1:48" ht="14.25" customHeight="1">
      <c r="A86" s="13"/>
      <c r="B86" s="14"/>
      <c r="C86" s="14"/>
      <c r="D86" s="14"/>
      <c r="E86" s="14"/>
      <c r="F86" s="14"/>
      <c r="G86" s="14"/>
      <c r="H86" s="14"/>
      <c r="I86" s="14"/>
      <c r="J86" s="14"/>
      <c r="K86" s="15">
        <f t="shared" si="0"/>
        <v>0</v>
      </c>
      <c r="L86" s="24"/>
      <c r="M86" s="14"/>
      <c r="N86" s="49"/>
      <c r="O86" s="24"/>
      <c r="P86" s="24">
        <f t="shared" si="3"/>
        <v>0</v>
      </c>
      <c r="Q86" s="23"/>
      <c r="R86" s="24"/>
      <c r="S86" s="49"/>
      <c r="T86" s="24"/>
      <c r="U86" s="24">
        <f t="shared" si="4"/>
        <v>0</v>
      </c>
      <c r="V86" s="24"/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  <c r="AK86" s="16">
        <v>0</v>
      </c>
      <c r="AL86" s="16">
        <v>0</v>
      </c>
      <c r="AM86" s="16">
        <v>0</v>
      </c>
      <c r="AN86" s="16">
        <v>0</v>
      </c>
      <c r="AO86" s="16">
        <v>0</v>
      </c>
      <c r="AP86" s="16">
        <v>0</v>
      </c>
      <c r="AQ86" s="16">
        <v>0</v>
      </c>
      <c r="AR86" s="16">
        <v>0</v>
      </c>
      <c r="AS86" s="16">
        <v>0</v>
      </c>
      <c r="AT86" s="16">
        <v>0</v>
      </c>
      <c r="AU86" s="16">
        <v>0</v>
      </c>
      <c r="AV86" s="16">
        <v>0</v>
      </c>
    </row>
    <row r="87" spans="1:48" ht="14.25" customHeight="1">
      <c r="A87" s="13"/>
      <c r="B87" s="14"/>
      <c r="C87" s="14"/>
      <c r="D87" s="14"/>
      <c r="E87" s="14"/>
      <c r="F87" s="14"/>
      <c r="G87" s="14"/>
      <c r="H87" s="14"/>
      <c r="I87" s="14"/>
      <c r="J87" s="14"/>
      <c r="K87" s="15">
        <f t="shared" si="0"/>
        <v>0</v>
      </c>
      <c r="L87" s="24"/>
      <c r="M87" s="14"/>
      <c r="N87" s="49"/>
      <c r="O87" s="24"/>
      <c r="P87" s="24">
        <f t="shared" si="3"/>
        <v>0</v>
      </c>
      <c r="Q87" s="23"/>
      <c r="R87" s="24"/>
      <c r="S87" s="49"/>
      <c r="T87" s="24"/>
      <c r="U87" s="24">
        <f t="shared" si="4"/>
        <v>0</v>
      </c>
      <c r="V87" s="24"/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  <c r="AK87" s="16">
        <v>0</v>
      </c>
      <c r="AL87" s="16">
        <v>0</v>
      </c>
      <c r="AM87" s="16">
        <v>0</v>
      </c>
      <c r="AN87" s="16">
        <v>0</v>
      </c>
      <c r="AO87" s="16">
        <v>0</v>
      </c>
      <c r="AP87" s="16">
        <v>0</v>
      </c>
      <c r="AQ87" s="16">
        <v>0</v>
      </c>
      <c r="AR87" s="16">
        <v>0</v>
      </c>
      <c r="AS87" s="16">
        <v>0</v>
      </c>
      <c r="AT87" s="16">
        <v>0</v>
      </c>
      <c r="AU87" s="16">
        <v>0</v>
      </c>
      <c r="AV87" s="16">
        <v>0</v>
      </c>
    </row>
    <row r="88" spans="1:48" ht="14.25" customHeight="1">
      <c r="A88" s="13"/>
      <c r="B88" s="14"/>
      <c r="C88" s="14"/>
      <c r="D88" s="14"/>
      <c r="E88" s="14"/>
      <c r="F88" s="14"/>
      <c r="G88" s="14"/>
      <c r="H88" s="14"/>
      <c r="I88" s="14"/>
      <c r="J88" s="14"/>
      <c r="K88" s="15">
        <f t="shared" si="0"/>
        <v>0</v>
      </c>
      <c r="L88" s="24"/>
      <c r="M88" s="14"/>
      <c r="N88" s="49"/>
      <c r="O88" s="24"/>
      <c r="P88" s="24">
        <f t="shared" si="3"/>
        <v>0</v>
      </c>
      <c r="Q88" s="23"/>
      <c r="R88" s="24"/>
      <c r="S88" s="49"/>
      <c r="T88" s="24"/>
      <c r="U88" s="24">
        <f t="shared" si="4"/>
        <v>0</v>
      </c>
      <c r="V88" s="24"/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  <c r="AK88" s="16">
        <v>0</v>
      </c>
      <c r="AL88" s="16">
        <v>0</v>
      </c>
      <c r="AM88" s="16">
        <v>0</v>
      </c>
      <c r="AN88" s="16">
        <v>0</v>
      </c>
      <c r="AO88" s="16">
        <v>0</v>
      </c>
      <c r="AP88" s="16">
        <v>0</v>
      </c>
      <c r="AQ88" s="16">
        <v>0</v>
      </c>
      <c r="AR88" s="16">
        <v>0</v>
      </c>
      <c r="AS88" s="16">
        <v>0</v>
      </c>
      <c r="AT88" s="16">
        <v>0</v>
      </c>
      <c r="AU88" s="16">
        <v>0</v>
      </c>
      <c r="AV88" s="16">
        <v>0</v>
      </c>
    </row>
    <row r="89" spans="1:48" ht="14.25" customHeight="1">
      <c r="A89" s="13"/>
      <c r="B89" s="14"/>
      <c r="C89" s="14"/>
      <c r="D89" s="14"/>
      <c r="E89" s="14"/>
      <c r="F89" s="14"/>
      <c r="G89" s="14"/>
      <c r="H89" s="14"/>
      <c r="I89" s="14"/>
      <c r="J89" s="14"/>
      <c r="K89" s="15">
        <f t="shared" si="0"/>
        <v>0</v>
      </c>
      <c r="L89" s="24"/>
      <c r="M89" s="14"/>
      <c r="N89" s="49"/>
      <c r="O89" s="24"/>
      <c r="P89" s="24">
        <f t="shared" si="3"/>
        <v>0</v>
      </c>
      <c r="Q89" s="23"/>
      <c r="R89" s="24"/>
      <c r="S89" s="49"/>
      <c r="T89" s="24"/>
      <c r="U89" s="24">
        <f t="shared" si="4"/>
        <v>0</v>
      </c>
      <c r="V89" s="24"/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  <c r="AK89" s="16">
        <v>0</v>
      </c>
      <c r="AL89" s="16">
        <v>0</v>
      </c>
      <c r="AM89" s="16">
        <v>0</v>
      </c>
      <c r="AN89" s="16">
        <v>0</v>
      </c>
      <c r="AO89" s="16">
        <v>0</v>
      </c>
      <c r="AP89" s="16">
        <v>0</v>
      </c>
      <c r="AQ89" s="16">
        <v>0</v>
      </c>
      <c r="AR89" s="16">
        <v>0</v>
      </c>
      <c r="AS89" s="16">
        <v>0</v>
      </c>
      <c r="AT89" s="16">
        <v>0</v>
      </c>
      <c r="AU89" s="16">
        <v>0</v>
      </c>
      <c r="AV89" s="16">
        <v>0</v>
      </c>
    </row>
    <row r="90" spans="1:48" ht="14.25" customHeight="1">
      <c r="A90" s="13"/>
      <c r="B90" s="14"/>
      <c r="C90" s="14"/>
      <c r="D90" s="14"/>
      <c r="E90" s="14"/>
      <c r="F90" s="14"/>
      <c r="G90" s="14"/>
      <c r="H90" s="14"/>
      <c r="I90" s="14"/>
      <c r="J90" s="14"/>
      <c r="K90" s="15">
        <f t="shared" si="0"/>
        <v>0</v>
      </c>
      <c r="L90" s="24"/>
      <c r="M90" s="14"/>
      <c r="N90" s="49"/>
      <c r="O90" s="24"/>
      <c r="P90" s="24">
        <f t="shared" si="3"/>
        <v>0</v>
      </c>
      <c r="Q90" s="23"/>
      <c r="R90" s="24"/>
      <c r="S90" s="49"/>
      <c r="T90" s="24"/>
      <c r="U90" s="24">
        <f t="shared" si="4"/>
        <v>0</v>
      </c>
      <c r="V90" s="24"/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  <c r="AK90" s="16">
        <v>0</v>
      </c>
      <c r="AL90" s="16">
        <v>0</v>
      </c>
      <c r="AM90" s="16">
        <v>0</v>
      </c>
      <c r="AN90" s="16">
        <v>0</v>
      </c>
      <c r="AO90" s="16">
        <v>0</v>
      </c>
      <c r="AP90" s="16">
        <v>0</v>
      </c>
      <c r="AQ90" s="16">
        <v>0</v>
      </c>
      <c r="AR90" s="16">
        <v>0</v>
      </c>
      <c r="AS90" s="16">
        <v>0</v>
      </c>
      <c r="AT90" s="16">
        <v>0</v>
      </c>
      <c r="AU90" s="16">
        <v>0</v>
      </c>
      <c r="AV90" s="16">
        <v>0</v>
      </c>
    </row>
    <row r="91" spans="1:48" ht="14.25" customHeight="1">
      <c r="A91" s="13"/>
      <c r="B91" s="14"/>
      <c r="C91" s="14"/>
      <c r="D91" s="14"/>
      <c r="E91" s="14"/>
      <c r="F91" s="14"/>
      <c r="G91" s="14"/>
      <c r="H91" s="14"/>
      <c r="I91" s="14"/>
      <c r="J91" s="14"/>
      <c r="K91" s="15">
        <f t="shared" si="0"/>
        <v>0</v>
      </c>
      <c r="L91" s="24"/>
      <c r="M91" s="14"/>
      <c r="N91" s="49"/>
      <c r="O91" s="24"/>
      <c r="P91" s="24">
        <f t="shared" si="3"/>
        <v>0</v>
      </c>
      <c r="Q91" s="23"/>
      <c r="R91" s="24"/>
      <c r="S91" s="49"/>
      <c r="T91" s="24"/>
      <c r="U91" s="24">
        <f t="shared" si="4"/>
        <v>0</v>
      </c>
      <c r="V91" s="24"/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0</v>
      </c>
      <c r="AN91" s="16">
        <v>0</v>
      </c>
      <c r="AO91" s="16">
        <v>0</v>
      </c>
      <c r="AP91" s="16">
        <v>0</v>
      </c>
      <c r="AQ91" s="16">
        <v>0</v>
      </c>
      <c r="AR91" s="16">
        <v>0</v>
      </c>
      <c r="AS91" s="16">
        <v>0</v>
      </c>
      <c r="AT91" s="16">
        <v>0</v>
      </c>
      <c r="AU91" s="16">
        <v>0</v>
      </c>
      <c r="AV91" s="16">
        <v>0</v>
      </c>
    </row>
    <row r="92" spans="1:48" ht="14.25" customHeight="1">
      <c r="A92" s="13"/>
      <c r="B92" s="14"/>
      <c r="C92" s="14"/>
      <c r="D92" s="14"/>
      <c r="E92" s="14"/>
      <c r="F92" s="14"/>
      <c r="G92" s="14"/>
      <c r="H92" s="14"/>
      <c r="I92" s="14"/>
      <c r="J92" s="14"/>
      <c r="K92" s="15">
        <f t="shared" si="0"/>
        <v>0</v>
      </c>
      <c r="L92" s="24"/>
      <c r="M92" s="14"/>
      <c r="N92" s="49"/>
      <c r="O92" s="24"/>
      <c r="P92" s="24">
        <f t="shared" si="3"/>
        <v>0</v>
      </c>
      <c r="Q92" s="23"/>
      <c r="R92" s="24"/>
      <c r="S92" s="49"/>
      <c r="T92" s="24"/>
      <c r="U92" s="24">
        <f t="shared" si="4"/>
        <v>0</v>
      </c>
      <c r="V92" s="24"/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  <c r="AK92" s="16">
        <v>0</v>
      </c>
      <c r="AL92" s="16">
        <v>0</v>
      </c>
      <c r="AM92" s="16">
        <v>0</v>
      </c>
      <c r="AN92" s="16">
        <v>0</v>
      </c>
      <c r="AO92" s="16">
        <v>0</v>
      </c>
      <c r="AP92" s="16">
        <v>0</v>
      </c>
      <c r="AQ92" s="16">
        <v>0</v>
      </c>
      <c r="AR92" s="16">
        <v>0</v>
      </c>
      <c r="AS92" s="16">
        <v>0</v>
      </c>
      <c r="AT92" s="16">
        <v>0</v>
      </c>
      <c r="AU92" s="16">
        <v>0</v>
      </c>
      <c r="AV92" s="16">
        <v>0</v>
      </c>
    </row>
    <row r="93" spans="1:48" ht="14.25" customHeight="1">
      <c r="A93" s="13"/>
      <c r="B93" s="14"/>
      <c r="C93" s="14"/>
      <c r="D93" s="14"/>
      <c r="E93" s="14"/>
      <c r="F93" s="14"/>
      <c r="G93" s="14"/>
      <c r="H93" s="14"/>
      <c r="I93" s="14"/>
      <c r="J93" s="14"/>
      <c r="K93" s="15">
        <f t="shared" si="0"/>
        <v>0</v>
      </c>
      <c r="L93" s="24"/>
      <c r="M93" s="14"/>
      <c r="N93" s="49"/>
      <c r="O93" s="24"/>
      <c r="P93" s="24">
        <f t="shared" si="3"/>
        <v>0</v>
      </c>
      <c r="Q93" s="23"/>
      <c r="R93" s="24"/>
      <c r="S93" s="49"/>
      <c r="T93" s="24"/>
      <c r="U93" s="24">
        <f t="shared" si="4"/>
        <v>0</v>
      </c>
      <c r="V93" s="24"/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  <c r="AK93" s="16">
        <v>0</v>
      </c>
      <c r="AL93" s="16">
        <v>0</v>
      </c>
      <c r="AM93" s="16">
        <v>0</v>
      </c>
      <c r="AN93" s="16">
        <v>0</v>
      </c>
      <c r="AO93" s="16">
        <v>0</v>
      </c>
      <c r="AP93" s="16">
        <v>0</v>
      </c>
      <c r="AQ93" s="16">
        <v>0</v>
      </c>
      <c r="AR93" s="16">
        <v>0</v>
      </c>
      <c r="AS93" s="16">
        <v>0</v>
      </c>
      <c r="AT93" s="16">
        <v>0</v>
      </c>
      <c r="AU93" s="16">
        <v>0</v>
      </c>
      <c r="AV93" s="16">
        <v>0</v>
      </c>
    </row>
    <row r="94" spans="1:48" ht="14.25" customHeight="1">
      <c r="A94" s="13"/>
      <c r="B94" s="14"/>
      <c r="C94" s="14"/>
      <c r="D94" s="14"/>
      <c r="E94" s="14"/>
      <c r="F94" s="14"/>
      <c r="G94" s="14"/>
      <c r="H94" s="14"/>
      <c r="I94" s="14"/>
      <c r="J94" s="14"/>
      <c r="K94" s="15">
        <f t="shared" si="0"/>
        <v>0</v>
      </c>
      <c r="L94" s="24"/>
      <c r="M94" s="14"/>
      <c r="N94" s="49"/>
      <c r="O94" s="24"/>
      <c r="P94" s="24">
        <f t="shared" si="3"/>
        <v>0</v>
      </c>
      <c r="Q94" s="23"/>
      <c r="R94" s="24"/>
      <c r="S94" s="49"/>
      <c r="T94" s="24"/>
      <c r="U94" s="24">
        <f t="shared" si="4"/>
        <v>0</v>
      </c>
      <c r="V94" s="24"/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  <c r="AK94" s="16">
        <v>0</v>
      </c>
      <c r="AL94" s="16">
        <v>0</v>
      </c>
      <c r="AM94" s="16">
        <v>0</v>
      </c>
      <c r="AN94" s="16">
        <v>0</v>
      </c>
      <c r="AO94" s="16">
        <v>0</v>
      </c>
      <c r="AP94" s="16">
        <v>0</v>
      </c>
      <c r="AQ94" s="16">
        <v>0</v>
      </c>
      <c r="AR94" s="16">
        <v>0</v>
      </c>
      <c r="AS94" s="16">
        <v>0</v>
      </c>
      <c r="AT94" s="16">
        <v>0</v>
      </c>
      <c r="AU94" s="16">
        <v>0</v>
      </c>
      <c r="AV94" s="16">
        <v>0</v>
      </c>
    </row>
    <row r="95" spans="1:48" ht="14.25" customHeight="1">
      <c r="A95" s="13"/>
      <c r="B95" s="14"/>
      <c r="C95" s="14"/>
      <c r="D95" s="14"/>
      <c r="E95" s="14"/>
      <c r="F95" s="14"/>
      <c r="G95" s="14"/>
      <c r="H95" s="14"/>
      <c r="I95" s="14"/>
      <c r="J95" s="14"/>
      <c r="K95" s="15">
        <f t="shared" si="0"/>
        <v>0</v>
      </c>
      <c r="L95" s="24"/>
      <c r="M95" s="14"/>
      <c r="N95" s="49"/>
      <c r="O95" s="24"/>
      <c r="P95" s="24">
        <f t="shared" si="3"/>
        <v>0</v>
      </c>
      <c r="Q95" s="23"/>
      <c r="R95" s="24"/>
      <c r="S95" s="49"/>
      <c r="T95" s="24"/>
      <c r="U95" s="24">
        <f t="shared" si="4"/>
        <v>0</v>
      </c>
      <c r="V95" s="24"/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  <c r="AM95" s="16">
        <v>0</v>
      </c>
      <c r="AN95" s="16">
        <v>0</v>
      </c>
      <c r="AO95" s="16">
        <v>0</v>
      </c>
      <c r="AP95" s="16">
        <v>0</v>
      </c>
      <c r="AQ95" s="16">
        <v>0</v>
      </c>
      <c r="AR95" s="16">
        <v>0</v>
      </c>
      <c r="AS95" s="16">
        <v>0</v>
      </c>
      <c r="AT95" s="16">
        <v>0</v>
      </c>
      <c r="AU95" s="16">
        <v>0</v>
      </c>
      <c r="AV95" s="16">
        <v>0</v>
      </c>
    </row>
    <row r="96" spans="1:48" ht="14.25" customHeight="1">
      <c r="A96" s="13"/>
      <c r="B96" s="14"/>
      <c r="C96" s="14"/>
      <c r="D96" s="14"/>
      <c r="E96" s="14"/>
      <c r="F96" s="14"/>
      <c r="G96" s="14"/>
      <c r="H96" s="14"/>
      <c r="I96" s="14"/>
      <c r="J96" s="14"/>
      <c r="K96" s="15">
        <f t="shared" si="0"/>
        <v>0</v>
      </c>
      <c r="L96" s="24"/>
      <c r="M96" s="14"/>
      <c r="N96" s="49"/>
      <c r="O96" s="24"/>
      <c r="P96" s="24">
        <f t="shared" si="3"/>
        <v>0</v>
      </c>
      <c r="Q96" s="23"/>
      <c r="R96" s="24"/>
      <c r="S96" s="49"/>
      <c r="T96" s="24"/>
      <c r="U96" s="24">
        <f t="shared" si="4"/>
        <v>0</v>
      </c>
      <c r="V96" s="24"/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  <c r="AK96" s="16">
        <v>0</v>
      </c>
      <c r="AL96" s="16">
        <v>0</v>
      </c>
      <c r="AM96" s="16">
        <v>0</v>
      </c>
      <c r="AN96" s="16">
        <v>0</v>
      </c>
      <c r="AO96" s="16">
        <v>0</v>
      </c>
      <c r="AP96" s="16">
        <v>0</v>
      </c>
      <c r="AQ96" s="16">
        <v>0</v>
      </c>
      <c r="AR96" s="16">
        <v>0</v>
      </c>
      <c r="AS96" s="16">
        <v>0</v>
      </c>
      <c r="AT96" s="16">
        <v>0</v>
      </c>
      <c r="AU96" s="16">
        <v>0</v>
      </c>
      <c r="AV96" s="16">
        <v>0</v>
      </c>
    </row>
    <row r="97" spans="1:48" ht="14.25" customHeight="1">
      <c r="A97" s="13"/>
      <c r="B97" s="14"/>
      <c r="C97" s="14"/>
      <c r="D97" s="14"/>
      <c r="E97" s="14"/>
      <c r="F97" s="14"/>
      <c r="G97" s="14"/>
      <c r="H97" s="14"/>
      <c r="I97" s="14"/>
      <c r="J97" s="14"/>
      <c r="K97" s="15">
        <f t="shared" si="0"/>
        <v>0</v>
      </c>
      <c r="L97" s="24"/>
      <c r="M97" s="14"/>
      <c r="N97" s="49"/>
      <c r="O97" s="24"/>
      <c r="P97" s="24">
        <f t="shared" si="3"/>
        <v>0</v>
      </c>
      <c r="Q97" s="23"/>
      <c r="R97" s="24"/>
      <c r="S97" s="49"/>
      <c r="T97" s="24"/>
      <c r="U97" s="24">
        <f t="shared" si="4"/>
        <v>0</v>
      </c>
      <c r="V97" s="24"/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</row>
    <row r="98" spans="1:48" ht="14.25" customHeight="1">
      <c r="A98" s="13"/>
      <c r="B98" s="14"/>
      <c r="C98" s="14"/>
      <c r="D98" s="14"/>
      <c r="E98" s="14"/>
      <c r="F98" s="14"/>
      <c r="G98" s="14"/>
      <c r="H98" s="14"/>
      <c r="I98" s="14"/>
      <c r="J98" s="14"/>
      <c r="K98" s="15">
        <f t="shared" si="0"/>
        <v>0</v>
      </c>
      <c r="L98" s="24"/>
      <c r="M98" s="14"/>
      <c r="N98" s="49"/>
      <c r="O98" s="24"/>
      <c r="P98" s="24">
        <f t="shared" si="3"/>
        <v>0</v>
      </c>
      <c r="Q98" s="23"/>
      <c r="R98" s="24"/>
      <c r="S98" s="49"/>
      <c r="T98" s="24"/>
      <c r="U98" s="24">
        <f t="shared" si="4"/>
        <v>0</v>
      </c>
      <c r="V98" s="24"/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0</v>
      </c>
    </row>
    <row r="99" spans="1:48" ht="14.25" customHeight="1">
      <c r="A99" s="13"/>
      <c r="B99" s="14"/>
      <c r="C99" s="14"/>
      <c r="D99" s="14"/>
      <c r="E99" s="14"/>
      <c r="F99" s="14"/>
      <c r="G99" s="14"/>
      <c r="H99" s="14"/>
      <c r="I99" s="14"/>
      <c r="J99" s="14"/>
      <c r="K99" s="15">
        <f t="shared" si="0"/>
        <v>0</v>
      </c>
      <c r="L99" s="24"/>
      <c r="M99" s="14"/>
      <c r="N99" s="49"/>
      <c r="O99" s="24"/>
      <c r="P99" s="24">
        <f t="shared" si="3"/>
        <v>0</v>
      </c>
      <c r="Q99" s="23"/>
      <c r="R99" s="24"/>
      <c r="S99" s="49"/>
      <c r="T99" s="24"/>
      <c r="U99" s="24">
        <f t="shared" si="4"/>
        <v>0</v>
      </c>
      <c r="V99" s="24"/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  <c r="AK99" s="16">
        <v>0</v>
      </c>
      <c r="AL99" s="16">
        <v>0</v>
      </c>
      <c r="AM99" s="16">
        <v>0</v>
      </c>
      <c r="AN99" s="16">
        <v>0</v>
      </c>
      <c r="AO99" s="16">
        <v>0</v>
      </c>
      <c r="AP99" s="16">
        <v>0</v>
      </c>
      <c r="AQ99" s="16">
        <v>0</v>
      </c>
      <c r="AR99" s="16">
        <v>0</v>
      </c>
      <c r="AS99" s="16">
        <v>0</v>
      </c>
      <c r="AT99" s="16">
        <v>0</v>
      </c>
      <c r="AU99" s="16">
        <v>0</v>
      </c>
      <c r="AV99" s="16">
        <v>0</v>
      </c>
    </row>
    <row r="100" spans="1:48" ht="14.25" customHeight="1">
      <c r="A100" s="13"/>
      <c r="B100" s="14"/>
      <c r="C100" s="14"/>
      <c r="D100" s="14"/>
      <c r="E100" s="14"/>
      <c r="F100" s="14"/>
      <c r="G100" s="14"/>
      <c r="H100" s="14"/>
      <c r="I100" s="14"/>
      <c r="J100" s="14"/>
      <c r="K100" s="15">
        <f t="shared" si="0"/>
        <v>0</v>
      </c>
      <c r="L100" s="24"/>
      <c r="M100" s="14"/>
      <c r="N100" s="49"/>
      <c r="O100" s="24"/>
      <c r="P100" s="24">
        <f t="shared" si="3"/>
        <v>0</v>
      </c>
      <c r="Q100" s="23"/>
      <c r="R100" s="24"/>
      <c r="S100" s="49"/>
      <c r="T100" s="24"/>
      <c r="U100" s="24">
        <f t="shared" si="4"/>
        <v>0</v>
      </c>
      <c r="V100" s="24"/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  <c r="AK100" s="16">
        <v>0</v>
      </c>
      <c r="AL100" s="16">
        <v>0</v>
      </c>
      <c r="AM100" s="16">
        <v>0</v>
      </c>
      <c r="AN100" s="16">
        <v>0</v>
      </c>
      <c r="AO100" s="16">
        <v>0</v>
      </c>
      <c r="AP100" s="16">
        <v>0</v>
      </c>
      <c r="AQ100" s="16">
        <v>0</v>
      </c>
      <c r="AR100" s="16">
        <v>0</v>
      </c>
      <c r="AS100" s="16">
        <v>0</v>
      </c>
      <c r="AT100" s="16">
        <v>0</v>
      </c>
      <c r="AU100" s="16">
        <v>0</v>
      </c>
      <c r="AV100" s="16">
        <v>0</v>
      </c>
    </row>
    <row r="101" spans="1:48" ht="14.25" customHeight="1">
      <c r="A101" s="13"/>
      <c r="B101" s="14"/>
      <c r="C101" s="14"/>
      <c r="D101" s="14"/>
      <c r="E101" s="14"/>
      <c r="F101" s="14"/>
      <c r="G101" s="14"/>
      <c r="H101" s="14"/>
      <c r="I101" s="14"/>
      <c r="J101" s="14"/>
      <c r="K101" s="15">
        <f t="shared" si="0"/>
        <v>0</v>
      </c>
      <c r="L101" s="24"/>
      <c r="M101" s="14"/>
      <c r="N101" s="49"/>
      <c r="O101" s="24"/>
      <c r="P101" s="24">
        <f t="shared" si="3"/>
        <v>0</v>
      </c>
      <c r="Q101" s="23"/>
      <c r="R101" s="24"/>
      <c r="S101" s="49"/>
      <c r="T101" s="24"/>
      <c r="U101" s="24">
        <f t="shared" si="4"/>
        <v>0</v>
      </c>
      <c r="V101" s="24"/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  <c r="AK101" s="16">
        <v>0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  <c r="AR101" s="16">
        <v>0</v>
      </c>
      <c r="AS101" s="16">
        <v>0</v>
      </c>
      <c r="AT101" s="16">
        <v>0</v>
      </c>
      <c r="AU101" s="16">
        <v>0</v>
      </c>
      <c r="AV101" s="16">
        <v>0</v>
      </c>
    </row>
    <row r="102" spans="1:48" ht="14.25" customHeight="1">
      <c r="A102" s="13"/>
      <c r="B102" s="14"/>
      <c r="C102" s="14"/>
      <c r="D102" s="14"/>
      <c r="E102" s="14"/>
      <c r="F102" s="14"/>
      <c r="G102" s="14"/>
      <c r="H102" s="14"/>
      <c r="I102" s="14"/>
      <c r="J102" s="14"/>
      <c r="K102" s="15">
        <f t="shared" si="0"/>
        <v>0</v>
      </c>
      <c r="L102" s="24"/>
      <c r="M102" s="14"/>
      <c r="N102" s="49"/>
      <c r="O102" s="24"/>
      <c r="P102" s="24">
        <f t="shared" si="3"/>
        <v>0</v>
      </c>
      <c r="Q102" s="23"/>
      <c r="R102" s="24"/>
      <c r="S102" s="49"/>
      <c r="T102" s="24"/>
      <c r="U102" s="24">
        <f t="shared" si="4"/>
        <v>0</v>
      </c>
      <c r="V102" s="24"/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  <c r="AK102" s="16">
        <v>0</v>
      </c>
      <c r="AL102" s="16">
        <v>0</v>
      </c>
      <c r="AM102" s="16">
        <v>0</v>
      </c>
      <c r="AN102" s="16">
        <v>0</v>
      </c>
      <c r="AO102" s="16">
        <v>0</v>
      </c>
      <c r="AP102" s="16">
        <v>0</v>
      </c>
      <c r="AQ102" s="16">
        <v>0</v>
      </c>
      <c r="AR102" s="16">
        <v>0</v>
      </c>
      <c r="AS102" s="16">
        <v>0</v>
      </c>
      <c r="AT102" s="16">
        <v>0</v>
      </c>
      <c r="AU102" s="16">
        <v>0</v>
      </c>
      <c r="AV102" s="16">
        <v>0</v>
      </c>
    </row>
    <row r="103" spans="1:48" ht="14.25" customHeight="1">
      <c r="A103" s="13"/>
      <c r="B103" s="14"/>
      <c r="C103" s="14"/>
      <c r="D103" s="14"/>
      <c r="E103" s="14"/>
      <c r="F103" s="14"/>
      <c r="G103" s="14"/>
      <c r="H103" s="14"/>
      <c r="I103" s="14"/>
      <c r="J103" s="14"/>
      <c r="K103" s="15">
        <f t="shared" si="0"/>
        <v>0</v>
      </c>
      <c r="L103" s="24"/>
      <c r="M103" s="14"/>
      <c r="N103" s="49"/>
      <c r="O103" s="24"/>
      <c r="P103" s="24">
        <f t="shared" si="3"/>
        <v>0</v>
      </c>
      <c r="Q103" s="23"/>
      <c r="R103" s="24"/>
      <c r="S103" s="49"/>
      <c r="T103" s="24"/>
      <c r="U103" s="24">
        <f t="shared" si="4"/>
        <v>0</v>
      </c>
      <c r="V103" s="24"/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0</v>
      </c>
      <c r="AL103" s="16">
        <v>0</v>
      </c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0</v>
      </c>
    </row>
    <row r="104" spans="1:48" ht="14.25" customHeight="1">
      <c r="A104" s="13"/>
      <c r="B104" s="14"/>
      <c r="C104" s="14"/>
      <c r="D104" s="14"/>
      <c r="E104" s="14"/>
      <c r="F104" s="14"/>
      <c r="G104" s="14"/>
      <c r="H104" s="14"/>
      <c r="I104" s="14"/>
      <c r="J104" s="14"/>
      <c r="K104" s="15">
        <f t="shared" si="0"/>
        <v>0</v>
      </c>
      <c r="L104" s="24"/>
      <c r="M104" s="14"/>
      <c r="N104" s="49"/>
      <c r="O104" s="24"/>
      <c r="P104" s="24">
        <f t="shared" si="3"/>
        <v>0</v>
      </c>
      <c r="Q104" s="23"/>
      <c r="R104" s="24"/>
      <c r="S104" s="49"/>
      <c r="T104" s="24"/>
      <c r="U104" s="24">
        <f t="shared" si="4"/>
        <v>0</v>
      </c>
      <c r="V104" s="24"/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  <c r="AK104" s="16">
        <v>0</v>
      </c>
      <c r="AL104" s="16">
        <v>0</v>
      </c>
      <c r="AM104" s="16">
        <v>0</v>
      </c>
      <c r="AN104" s="16">
        <v>0</v>
      </c>
      <c r="AO104" s="16">
        <v>0</v>
      </c>
      <c r="AP104" s="16">
        <v>0</v>
      </c>
      <c r="AQ104" s="16">
        <v>0</v>
      </c>
      <c r="AR104" s="16">
        <v>0</v>
      </c>
      <c r="AS104" s="16">
        <v>0</v>
      </c>
      <c r="AT104" s="16">
        <v>0</v>
      </c>
      <c r="AU104" s="16">
        <v>0</v>
      </c>
      <c r="AV104" s="16">
        <v>0</v>
      </c>
    </row>
    <row r="105" spans="1:48" ht="14.25" customHeight="1">
      <c r="A105" s="13"/>
      <c r="B105" s="14"/>
      <c r="C105" s="14"/>
      <c r="D105" s="14"/>
      <c r="E105" s="14"/>
      <c r="F105" s="14"/>
      <c r="G105" s="14"/>
      <c r="H105" s="14"/>
      <c r="I105" s="14"/>
      <c r="J105" s="14"/>
      <c r="K105" s="15">
        <f t="shared" si="0"/>
        <v>0</v>
      </c>
      <c r="L105" s="24"/>
      <c r="M105" s="14"/>
      <c r="N105" s="49"/>
      <c r="O105" s="24"/>
      <c r="P105" s="24">
        <f t="shared" si="3"/>
        <v>0</v>
      </c>
      <c r="Q105" s="23"/>
      <c r="R105" s="24"/>
      <c r="S105" s="49"/>
      <c r="T105" s="24"/>
      <c r="U105" s="24">
        <f t="shared" si="4"/>
        <v>0</v>
      </c>
      <c r="V105" s="24"/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  <c r="AK105" s="16">
        <v>0</v>
      </c>
      <c r="AL105" s="16">
        <v>0</v>
      </c>
      <c r="AM105" s="16">
        <v>0</v>
      </c>
      <c r="AN105" s="16">
        <v>0</v>
      </c>
      <c r="AO105" s="16">
        <v>0</v>
      </c>
      <c r="AP105" s="16">
        <v>0</v>
      </c>
      <c r="AQ105" s="16">
        <v>0</v>
      </c>
      <c r="AR105" s="16">
        <v>0</v>
      </c>
      <c r="AS105" s="16">
        <v>0</v>
      </c>
      <c r="AT105" s="16">
        <v>0</v>
      </c>
      <c r="AU105" s="16">
        <v>0</v>
      </c>
      <c r="AV105" s="16">
        <v>0</v>
      </c>
    </row>
    <row r="106" spans="1:48" ht="14.25" customHeight="1">
      <c r="A106" s="13"/>
      <c r="B106" s="14"/>
      <c r="C106" s="14"/>
      <c r="D106" s="14"/>
      <c r="E106" s="14"/>
      <c r="F106" s="14"/>
      <c r="G106" s="14"/>
      <c r="H106" s="14"/>
      <c r="I106" s="14"/>
      <c r="J106" s="14"/>
      <c r="K106" s="15">
        <f t="shared" si="0"/>
        <v>0</v>
      </c>
      <c r="L106" s="24"/>
      <c r="M106" s="14"/>
      <c r="N106" s="49"/>
      <c r="O106" s="24"/>
      <c r="P106" s="24">
        <f t="shared" si="3"/>
        <v>0</v>
      </c>
      <c r="Q106" s="23"/>
      <c r="R106" s="24"/>
      <c r="S106" s="49"/>
      <c r="T106" s="24"/>
      <c r="U106" s="24">
        <f t="shared" si="4"/>
        <v>0</v>
      </c>
      <c r="V106" s="24"/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  <c r="AK106" s="16">
        <v>0</v>
      </c>
      <c r="AL106" s="16">
        <v>0</v>
      </c>
      <c r="AM106" s="16">
        <v>0</v>
      </c>
      <c r="AN106" s="16">
        <v>0</v>
      </c>
      <c r="AO106" s="16">
        <v>0</v>
      </c>
      <c r="AP106" s="16">
        <v>0</v>
      </c>
      <c r="AQ106" s="16">
        <v>0</v>
      </c>
      <c r="AR106" s="16">
        <v>0</v>
      </c>
      <c r="AS106" s="16">
        <v>0</v>
      </c>
      <c r="AT106" s="16">
        <v>0</v>
      </c>
      <c r="AU106" s="16">
        <v>0</v>
      </c>
      <c r="AV106" s="16">
        <v>0</v>
      </c>
    </row>
    <row r="107" spans="1:48" ht="14.25" customHeight="1">
      <c r="A107" s="13"/>
      <c r="B107" s="14"/>
      <c r="C107" s="14"/>
      <c r="D107" s="14"/>
      <c r="E107" s="14"/>
      <c r="F107" s="14"/>
      <c r="G107" s="14"/>
      <c r="H107" s="14"/>
      <c r="I107" s="14"/>
      <c r="J107" s="14"/>
      <c r="K107" s="15">
        <f t="shared" si="0"/>
        <v>0</v>
      </c>
      <c r="L107" s="24"/>
      <c r="M107" s="14"/>
      <c r="N107" s="49"/>
      <c r="O107" s="24"/>
      <c r="P107" s="24">
        <f t="shared" si="3"/>
        <v>0</v>
      </c>
      <c r="Q107" s="23"/>
      <c r="R107" s="24"/>
      <c r="S107" s="49"/>
      <c r="T107" s="24"/>
      <c r="U107" s="24">
        <f t="shared" si="4"/>
        <v>0</v>
      </c>
      <c r="V107" s="24"/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  <c r="AK107" s="16">
        <v>0</v>
      </c>
      <c r="AL107" s="16">
        <v>0</v>
      </c>
      <c r="AM107" s="16">
        <v>0</v>
      </c>
      <c r="AN107" s="16">
        <v>0</v>
      </c>
      <c r="AO107" s="16">
        <v>0</v>
      </c>
      <c r="AP107" s="16">
        <v>0</v>
      </c>
      <c r="AQ107" s="16">
        <v>0</v>
      </c>
      <c r="AR107" s="16">
        <v>0</v>
      </c>
      <c r="AS107" s="16">
        <v>0</v>
      </c>
      <c r="AT107" s="16">
        <v>0</v>
      </c>
      <c r="AU107" s="16">
        <v>0</v>
      </c>
      <c r="AV107" s="16">
        <v>0</v>
      </c>
    </row>
    <row r="108" spans="1:48" ht="14.25" customHeight="1">
      <c r="A108" s="13"/>
      <c r="B108" s="14"/>
      <c r="C108" s="14"/>
      <c r="D108" s="14"/>
      <c r="E108" s="14"/>
      <c r="F108" s="14"/>
      <c r="G108" s="14"/>
      <c r="H108" s="14"/>
      <c r="I108" s="14"/>
      <c r="J108" s="14"/>
      <c r="K108" s="15">
        <f t="shared" si="0"/>
        <v>0</v>
      </c>
      <c r="L108" s="24"/>
      <c r="M108" s="14"/>
      <c r="N108" s="49"/>
      <c r="O108" s="24"/>
      <c r="P108" s="24">
        <f t="shared" si="3"/>
        <v>0</v>
      </c>
      <c r="Q108" s="23"/>
      <c r="R108" s="24"/>
      <c r="S108" s="49"/>
      <c r="T108" s="24"/>
      <c r="U108" s="24">
        <f t="shared" si="4"/>
        <v>0</v>
      </c>
      <c r="V108" s="24"/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  <c r="AK108" s="16">
        <v>0</v>
      </c>
      <c r="AL108" s="16">
        <v>0</v>
      </c>
      <c r="AM108" s="16">
        <v>0</v>
      </c>
      <c r="AN108" s="16">
        <v>0</v>
      </c>
      <c r="AO108" s="16">
        <v>0</v>
      </c>
      <c r="AP108" s="16">
        <v>0</v>
      </c>
      <c r="AQ108" s="16">
        <v>0</v>
      </c>
      <c r="AR108" s="16">
        <v>0</v>
      </c>
      <c r="AS108" s="16">
        <v>0</v>
      </c>
      <c r="AT108" s="16">
        <v>0</v>
      </c>
      <c r="AU108" s="16">
        <v>0</v>
      </c>
      <c r="AV108" s="16">
        <v>0</v>
      </c>
    </row>
    <row r="109" spans="1:48" ht="14.25" customHeight="1">
      <c r="A109" s="13"/>
      <c r="B109" s="14"/>
      <c r="C109" s="14"/>
      <c r="D109" s="14"/>
      <c r="E109" s="14"/>
      <c r="F109" s="14"/>
      <c r="G109" s="14"/>
      <c r="H109" s="14"/>
      <c r="I109" s="14"/>
      <c r="J109" s="14"/>
      <c r="K109" s="15">
        <f t="shared" si="0"/>
        <v>0</v>
      </c>
      <c r="L109" s="24"/>
      <c r="M109" s="14"/>
      <c r="N109" s="49"/>
      <c r="O109" s="24"/>
      <c r="P109" s="24">
        <f t="shared" si="3"/>
        <v>0</v>
      </c>
      <c r="Q109" s="23"/>
      <c r="R109" s="24"/>
      <c r="S109" s="49"/>
      <c r="T109" s="24"/>
      <c r="U109" s="24">
        <f t="shared" si="4"/>
        <v>0</v>
      </c>
      <c r="V109" s="24"/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  <c r="AK109" s="16">
        <v>0</v>
      </c>
      <c r="AL109" s="16">
        <v>0</v>
      </c>
      <c r="AM109" s="16">
        <v>0</v>
      </c>
      <c r="AN109" s="16">
        <v>0</v>
      </c>
      <c r="AO109" s="16">
        <v>0</v>
      </c>
      <c r="AP109" s="16">
        <v>0</v>
      </c>
      <c r="AQ109" s="16">
        <v>0</v>
      </c>
      <c r="AR109" s="16">
        <v>0</v>
      </c>
      <c r="AS109" s="16">
        <v>0</v>
      </c>
      <c r="AT109" s="16">
        <v>0</v>
      </c>
      <c r="AU109" s="16">
        <v>0</v>
      </c>
      <c r="AV109" s="16">
        <v>0</v>
      </c>
    </row>
    <row r="110" spans="1:48" ht="14.25" customHeight="1">
      <c r="A110" s="13"/>
      <c r="B110" s="14"/>
      <c r="C110" s="14"/>
      <c r="D110" s="14"/>
      <c r="E110" s="14"/>
      <c r="F110" s="14"/>
      <c r="G110" s="14"/>
      <c r="H110" s="14"/>
      <c r="I110" s="14"/>
      <c r="J110" s="14"/>
      <c r="K110" s="15">
        <f t="shared" si="0"/>
        <v>0</v>
      </c>
      <c r="L110" s="24"/>
      <c r="M110" s="14"/>
      <c r="N110" s="49"/>
      <c r="O110" s="24"/>
      <c r="P110" s="24">
        <f t="shared" si="3"/>
        <v>0</v>
      </c>
      <c r="Q110" s="23"/>
      <c r="R110" s="24"/>
      <c r="S110" s="49"/>
      <c r="T110" s="24"/>
      <c r="U110" s="24">
        <f t="shared" si="4"/>
        <v>0</v>
      </c>
      <c r="V110" s="24"/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  <c r="AK110" s="16">
        <v>0</v>
      </c>
      <c r="AL110" s="16">
        <v>0</v>
      </c>
      <c r="AM110" s="16">
        <v>0</v>
      </c>
      <c r="AN110" s="16">
        <v>0</v>
      </c>
      <c r="AO110" s="16">
        <v>0</v>
      </c>
      <c r="AP110" s="16">
        <v>0</v>
      </c>
      <c r="AQ110" s="16">
        <v>0</v>
      </c>
      <c r="AR110" s="16">
        <v>0</v>
      </c>
      <c r="AS110" s="16">
        <v>0</v>
      </c>
      <c r="AT110" s="16">
        <v>0</v>
      </c>
      <c r="AU110" s="16">
        <v>0</v>
      </c>
      <c r="AV110" s="16">
        <v>0</v>
      </c>
    </row>
    <row r="111" spans="1:48" ht="14.25" customHeight="1">
      <c r="A111" s="13"/>
      <c r="B111" s="14"/>
      <c r="C111" s="14"/>
      <c r="D111" s="14"/>
      <c r="E111" s="14"/>
      <c r="F111" s="14"/>
      <c r="G111" s="14"/>
      <c r="H111" s="14"/>
      <c r="I111" s="14"/>
      <c r="J111" s="14"/>
      <c r="K111" s="15">
        <f t="shared" si="0"/>
        <v>0</v>
      </c>
      <c r="L111" s="24"/>
      <c r="M111" s="14"/>
      <c r="N111" s="49"/>
      <c r="O111" s="24"/>
      <c r="P111" s="24">
        <f t="shared" si="3"/>
        <v>0</v>
      </c>
      <c r="Q111" s="23"/>
      <c r="R111" s="24"/>
      <c r="S111" s="49"/>
      <c r="T111" s="24"/>
      <c r="U111" s="24">
        <f t="shared" si="4"/>
        <v>0</v>
      </c>
      <c r="V111" s="24"/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  <c r="AK111" s="16">
        <v>0</v>
      </c>
      <c r="AL111" s="16">
        <v>0</v>
      </c>
      <c r="AM111" s="16">
        <v>0</v>
      </c>
      <c r="AN111" s="16">
        <v>0</v>
      </c>
      <c r="AO111" s="16">
        <v>0</v>
      </c>
      <c r="AP111" s="16">
        <v>0</v>
      </c>
      <c r="AQ111" s="16">
        <v>0</v>
      </c>
      <c r="AR111" s="16">
        <v>0</v>
      </c>
      <c r="AS111" s="16">
        <v>0</v>
      </c>
      <c r="AT111" s="16">
        <v>0</v>
      </c>
      <c r="AU111" s="16">
        <v>0</v>
      </c>
      <c r="AV111" s="16">
        <v>0</v>
      </c>
    </row>
    <row r="112" spans="1:48" ht="14.25" customHeight="1">
      <c r="A112" s="13"/>
      <c r="B112" s="14"/>
      <c r="C112" s="14"/>
      <c r="D112" s="14"/>
      <c r="E112" s="14"/>
      <c r="F112" s="14"/>
      <c r="G112" s="14"/>
      <c r="H112" s="14"/>
      <c r="I112" s="14"/>
      <c r="J112" s="14"/>
      <c r="K112" s="15">
        <f t="shared" si="0"/>
        <v>0</v>
      </c>
      <c r="L112" s="24"/>
      <c r="M112" s="14"/>
      <c r="N112" s="49"/>
      <c r="O112" s="24"/>
      <c r="P112" s="24">
        <f t="shared" si="3"/>
        <v>0</v>
      </c>
      <c r="Q112" s="23"/>
      <c r="R112" s="24"/>
      <c r="S112" s="49"/>
      <c r="T112" s="24"/>
      <c r="U112" s="24">
        <f t="shared" si="4"/>
        <v>0</v>
      </c>
      <c r="V112" s="24"/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  <c r="AK112" s="16">
        <v>0</v>
      </c>
      <c r="AL112" s="16">
        <v>0</v>
      </c>
      <c r="AM112" s="16">
        <v>0</v>
      </c>
      <c r="AN112" s="16">
        <v>0</v>
      </c>
      <c r="AO112" s="16">
        <v>0</v>
      </c>
      <c r="AP112" s="16">
        <v>0</v>
      </c>
      <c r="AQ112" s="16">
        <v>0</v>
      </c>
      <c r="AR112" s="16">
        <v>0</v>
      </c>
      <c r="AS112" s="16">
        <v>0</v>
      </c>
      <c r="AT112" s="16">
        <v>0</v>
      </c>
      <c r="AU112" s="16">
        <v>0</v>
      </c>
      <c r="AV112" s="16">
        <v>0</v>
      </c>
    </row>
    <row r="113" spans="1:48" ht="14.25" customHeight="1">
      <c r="A113" s="13"/>
      <c r="B113" s="14"/>
      <c r="C113" s="14"/>
      <c r="D113" s="14"/>
      <c r="E113" s="14"/>
      <c r="F113" s="14"/>
      <c r="G113" s="14"/>
      <c r="H113" s="14"/>
      <c r="I113" s="14"/>
      <c r="J113" s="14"/>
      <c r="K113" s="15">
        <f t="shared" si="0"/>
        <v>0</v>
      </c>
      <c r="L113" s="24"/>
      <c r="M113" s="14"/>
      <c r="N113" s="49"/>
      <c r="O113" s="24"/>
      <c r="P113" s="24">
        <f t="shared" si="3"/>
        <v>0</v>
      </c>
      <c r="Q113" s="23"/>
      <c r="R113" s="24"/>
      <c r="S113" s="49"/>
      <c r="T113" s="24"/>
      <c r="U113" s="24">
        <f t="shared" si="4"/>
        <v>0</v>
      </c>
      <c r="V113" s="24"/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  <c r="AK113" s="16">
        <v>0</v>
      </c>
      <c r="AL113" s="16">
        <v>0</v>
      </c>
      <c r="AM113" s="16">
        <v>0</v>
      </c>
      <c r="AN113" s="16">
        <v>0</v>
      </c>
      <c r="AO113" s="16">
        <v>0</v>
      </c>
      <c r="AP113" s="16">
        <v>0</v>
      </c>
      <c r="AQ113" s="16">
        <v>0</v>
      </c>
      <c r="AR113" s="16">
        <v>0</v>
      </c>
      <c r="AS113" s="16">
        <v>0</v>
      </c>
      <c r="AT113" s="16">
        <v>0</v>
      </c>
      <c r="AU113" s="16">
        <v>0</v>
      </c>
      <c r="AV113" s="16">
        <v>0</v>
      </c>
    </row>
    <row r="114" spans="1:48" ht="14.25" customHeight="1">
      <c r="A114" s="13"/>
      <c r="B114" s="14"/>
      <c r="C114" s="14"/>
      <c r="D114" s="14"/>
      <c r="E114" s="14"/>
      <c r="F114" s="14"/>
      <c r="G114" s="14"/>
      <c r="H114" s="14"/>
      <c r="I114" s="14"/>
      <c r="J114" s="14"/>
      <c r="K114" s="15">
        <f t="shared" si="0"/>
        <v>0</v>
      </c>
      <c r="L114" s="24"/>
      <c r="M114" s="14"/>
      <c r="N114" s="49"/>
      <c r="O114" s="24"/>
      <c r="P114" s="24">
        <f t="shared" si="3"/>
        <v>0</v>
      </c>
      <c r="Q114" s="23"/>
      <c r="R114" s="24"/>
      <c r="S114" s="49"/>
      <c r="T114" s="24"/>
      <c r="U114" s="24">
        <f t="shared" si="4"/>
        <v>0</v>
      </c>
      <c r="V114" s="24"/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  <c r="AK114" s="16">
        <v>0</v>
      </c>
      <c r="AL114" s="16">
        <v>0</v>
      </c>
      <c r="AM114" s="16">
        <v>0</v>
      </c>
      <c r="AN114" s="16">
        <v>0</v>
      </c>
      <c r="AO114" s="16">
        <v>0</v>
      </c>
      <c r="AP114" s="16">
        <v>0</v>
      </c>
      <c r="AQ114" s="16">
        <v>0</v>
      </c>
      <c r="AR114" s="16">
        <v>0</v>
      </c>
      <c r="AS114" s="16">
        <v>0</v>
      </c>
      <c r="AT114" s="16">
        <v>0</v>
      </c>
      <c r="AU114" s="16">
        <v>0</v>
      </c>
      <c r="AV114" s="16">
        <v>0</v>
      </c>
    </row>
    <row r="115" spans="1:48" ht="14.25" customHeight="1">
      <c r="A115" s="13"/>
      <c r="B115" s="14"/>
      <c r="C115" s="14"/>
      <c r="D115" s="14"/>
      <c r="E115" s="14"/>
      <c r="F115" s="14"/>
      <c r="G115" s="14"/>
      <c r="H115" s="14"/>
      <c r="I115" s="14"/>
      <c r="J115" s="14"/>
      <c r="K115" s="15">
        <f t="shared" si="0"/>
        <v>0</v>
      </c>
      <c r="L115" s="24"/>
      <c r="M115" s="14"/>
      <c r="N115" s="49"/>
      <c r="O115" s="24"/>
      <c r="P115" s="24">
        <f t="shared" si="3"/>
        <v>0</v>
      </c>
      <c r="Q115" s="23"/>
      <c r="R115" s="24"/>
      <c r="S115" s="49"/>
      <c r="T115" s="24"/>
      <c r="U115" s="24">
        <f t="shared" si="4"/>
        <v>0</v>
      </c>
      <c r="V115" s="24"/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  <c r="AK115" s="16">
        <v>0</v>
      </c>
      <c r="AL115" s="16">
        <v>0</v>
      </c>
      <c r="AM115" s="16">
        <v>0</v>
      </c>
      <c r="AN115" s="16">
        <v>0</v>
      </c>
      <c r="AO115" s="16">
        <v>0</v>
      </c>
      <c r="AP115" s="16">
        <v>0</v>
      </c>
      <c r="AQ115" s="16">
        <v>0</v>
      </c>
      <c r="AR115" s="16">
        <v>0</v>
      </c>
      <c r="AS115" s="16">
        <v>0</v>
      </c>
      <c r="AT115" s="16">
        <v>0</v>
      </c>
      <c r="AU115" s="16">
        <v>0</v>
      </c>
      <c r="AV115" s="16">
        <v>0</v>
      </c>
    </row>
    <row r="116" spans="1:48" ht="14.25" customHeight="1">
      <c r="A116" s="13"/>
      <c r="B116" s="14"/>
      <c r="C116" s="14"/>
      <c r="D116" s="14"/>
      <c r="E116" s="14"/>
      <c r="F116" s="14"/>
      <c r="G116" s="14"/>
      <c r="H116" s="14"/>
      <c r="I116" s="14"/>
      <c r="J116" s="14"/>
      <c r="K116" s="15">
        <f t="shared" si="0"/>
        <v>0</v>
      </c>
      <c r="L116" s="24"/>
      <c r="M116" s="14"/>
      <c r="N116" s="49"/>
      <c r="O116" s="24"/>
      <c r="P116" s="24">
        <f t="shared" si="3"/>
        <v>0</v>
      </c>
      <c r="Q116" s="23"/>
      <c r="R116" s="24"/>
      <c r="S116" s="49"/>
      <c r="T116" s="24"/>
      <c r="U116" s="24">
        <f t="shared" si="4"/>
        <v>0</v>
      </c>
      <c r="V116" s="24"/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  <c r="AK116" s="16">
        <v>0</v>
      </c>
      <c r="AL116" s="16">
        <v>0</v>
      </c>
      <c r="AM116" s="16">
        <v>0</v>
      </c>
      <c r="AN116" s="16">
        <v>0</v>
      </c>
      <c r="AO116" s="16">
        <v>0</v>
      </c>
      <c r="AP116" s="16">
        <v>0</v>
      </c>
      <c r="AQ116" s="16">
        <v>0</v>
      </c>
      <c r="AR116" s="16">
        <v>0</v>
      </c>
      <c r="AS116" s="16">
        <v>0</v>
      </c>
      <c r="AT116" s="16">
        <v>0</v>
      </c>
      <c r="AU116" s="16">
        <v>0</v>
      </c>
      <c r="AV116" s="16">
        <v>0</v>
      </c>
    </row>
    <row r="117" spans="1:48" ht="14.25" customHeight="1">
      <c r="A117" s="13"/>
      <c r="B117" s="14"/>
      <c r="C117" s="14"/>
      <c r="D117" s="14"/>
      <c r="E117" s="14"/>
      <c r="F117" s="14"/>
      <c r="G117" s="14"/>
      <c r="H117" s="14"/>
      <c r="I117" s="14"/>
      <c r="J117" s="14"/>
      <c r="K117" s="15">
        <f t="shared" si="0"/>
        <v>0</v>
      </c>
      <c r="L117" s="24"/>
      <c r="M117" s="14"/>
      <c r="N117" s="49"/>
      <c r="O117" s="24"/>
      <c r="P117" s="24">
        <f t="shared" si="3"/>
        <v>0</v>
      </c>
      <c r="Q117" s="23"/>
      <c r="R117" s="24"/>
      <c r="S117" s="49"/>
      <c r="T117" s="24"/>
      <c r="U117" s="24">
        <f t="shared" si="4"/>
        <v>0</v>
      </c>
      <c r="V117" s="24"/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  <c r="AK117" s="16">
        <v>0</v>
      </c>
      <c r="AL117" s="16">
        <v>0</v>
      </c>
      <c r="AM117" s="16">
        <v>0</v>
      </c>
      <c r="AN117" s="16">
        <v>0</v>
      </c>
      <c r="AO117" s="16">
        <v>0</v>
      </c>
      <c r="AP117" s="16">
        <v>0</v>
      </c>
      <c r="AQ117" s="16">
        <v>0</v>
      </c>
      <c r="AR117" s="16">
        <v>0</v>
      </c>
      <c r="AS117" s="16">
        <v>0</v>
      </c>
      <c r="AT117" s="16">
        <v>0</v>
      </c>
      <c r="AU117" s="16">
        <v>0</v>
      </c>
      <c r="AV117" s="16">
        <v>0</v>
      </c>
    </row>
    <row r="118" spans="1:48" ht="14.25" customHeight="1">
      <c r="A118" s="13"/>
      <c r="B118" s="14"/>
      <c r="C118" s="14"/>
      <c r="D118" s="14"/>
      <c r="E118" s="14"/>
      <c r="F118" s="14"/>
      <c r="G118" s="14"/>
      <c r="H118" s="14"/>
      <c r="I118" s="14"/>
      <c r="J118" s="14"/>
      <c r="K118" s="15">
        <f t="shared" si="0"/>
        <v>0</v>
      </c>
      <c r="L118" s="24"/>
      <c r="M118" s="14"/>
      <c r="N118" s="49"/>
      <c r="O118" s="24"/>
      <c r="P118" s="24">
        <f t="shared" si="3"/>
        <v>0</v>
      </c>
      <c r="Q118" s="23"/>
      <c r="R118" s="24"/>
      <c r="S118" s="49"/>
      <c r="T118" s="24"/>
      <c r="U118" s="24">
        <f t="shared" si="4"/>
        <v>0</v>
      </c>
      <c r="V118" s="24"/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  <c r="AK118" s="16">
        <v>0</v>
      </c>
      <c r="AL118" s="16">
        <v>0</v>
      </c>
      <c r="AM118" s="16">
        <v>0</v>
      </c>
      <c r="AN118" s="16">
        <v>0</v>
      </c>
      <c r="AO118" s="16">
        <v>0</v>
      </c>
      <c r="AP118" s="16">
        <v>0</v>
      </c>
      <c r="AQ118" s="16">
        <v>0</v>
      </c>
      <c r="AR118" s="16">
        <v>0</v>
      </c>
      <c r="AS118" s="16">
        <v>0</v>
      </c>
      <c r="AT118" s="16">
        <v>0</v>
      </c>
      <c r="AU118" s="16">
        <v>0</v>
      </c>
      <c r="AV118" s="16">
        <v>0</v>
      </c>
    </row>
    <row r="119" spans="1:48" ht="14.25" customHeight="1">
      <c r="A119" s="13"/>
      <c r="B119" s="14"/>
      <c r="C119" s="14"/>
      <c r="D119" s="14"/>
      <c r="E119" s="14"/>
      <c r="F119" s="14"/>
      <c r="G119" s="14"/>
      <c r="H119" s="14"/>
      <c r="I119" s="14"/>
      <c r="J119" s="14"/>
      <c r="K119" s="15">
        <f t="shared" si="0"/>
        <v>0</v>
      </c>
      <c r="L119" s="24"/>
      <c r="M119" s="14"/>
      <c r="N119" s="49"/>
      <c r="O119" s="24"/>
      <c r="P119" s="24">
        <f t="shared" si="3"/>
        <v>0</v>
      </c>
      <c r="Q119" s="23"/>
      <c r="R119" s="24"/>
      <c r="S119" s="49"/>
      <c r="T119" s="24"/>
      <c r="U119" s="24">
        <f t="shared" si="4"/>
        <v>0</v>
      </c>
      <c r="V119" s="24"/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  <c r="AK119" s="16">
        <v>0</v>
      </c>
      <c r="AL119" s="16">
        <v>0</v>
      </c>
      <c r="AM119" s="16">
        <v>0</v>
      </c>
      <c r="AN119" s="16">
        <v>0</v>
      </c>
      <c r="AO119" s="16">
        <v>0</v>
      </c>
      <c r="AP119" s="16">
        <v>0</v>
      </c>
      <c r="AQ119" s="16">
        <v>0</v>
      </c>
      <c r="AR119" s="16">
        <v>0</v>
      </c>
      <c r="AS119" s="16">
        <v>0</v>
      </c>
      <c r="AT119" s="16">
        <v>0</v>
      </c>
      <c r="AU119" s="16">
        <v>0</v>
      </c>
      <c r="AV119" s="16">
        <v>0</v>
      </c>
    </row>
    <row r="120" spans="1:48" ht="14.25" customHeight="1">
      <c r="A120" s="13"/>
      <c r="B120" s="14"/>
      <c r="C120" s="14"/>
      <c r="D120" s="14"/>
      <c r="E120" s="14"/>
      <c r="F120" s="14"/>
      <c r="G120" s="14"/>
      <c r="H120" s="14"/>
      <c r="I120" s="14"/>
      <c r="J120" s="14"/>
      <c r="K120" s="15">
        <f>SUM(D1369:J1369)</f>
        <v>0</v>
      </c>
      <c r="L120" s="24"/>
      <c r="M120" s="14"/>
      <c r="N120" s="49"/>
      <c r="O120" s="24"/>
      <c r="P120" s="24">
        <f>O1369-K1369</f>
        <v>0</v>
      </c>
      <c r="Q120" s="23"/>
      <c r="R120" s="24"/>
      <c r="S120" s="49"/>
      <c r="T120" s="24"/>
      <c r="U120" s="24">
        <f>T1369-O1369</f>
        <v>0</v>
      </c>
      <c r="V120" s="24"/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  <c r="AK120" s="16">
        <v>0</v>
      </c>
      <c r="AL120" s="16">
        <v>0</v>
      </c>
      <c r="AM120" s="16">
        <v>0</v>
      </c>
      <c r="AN120" s="16">
        <v>0</v>
      </c>
      <c r="AO120" s="16">
        <v>0</v>
      </c>
      <c r="AP120" s="16">
        <v>0</v>
      </c>
      <c r="AQ120" s="16">
        <v>0</v>
      </c>
      <c r="AR120" s="16">
        <v>0</v>
      </c>
      <c r="AS120" s="16">
        <v>0</v>
      </c>
      <c r="AT120" s="16">
        <v>0</v>
      </c>
      <c r="AU120" s="16">
        <v>0</v>
      </c>
      <c r="AV120" s="16">
        <v>0</v>
      </c>
    </row>
    <row r="121" spans="1:48" ht="14.25" customHeight="1">
      <c r="A121" s="13"/>
      <c r="B121" s="14"/>
      <c r="C121" s="14"/>
      <c r="D121" s="14"/>
      <c r="E121" s="14"/>
      <c r="F121" s="14"/>
      <c r="G121" s="14"/>
      <c r="H121" s="14"/>
      <c r="I121" s="14"/>
      <c r="J121" s="14"/>
      <c r="K121" s="15">
        <f t="shared" si="0"/>
        <v>0</v>
      </c>
      <c r="L121" s="24"/>
      <c r="M121" s="14"/>
      <c r="N121" s="49"/>
      <c r="O121" s="24"/>
      <c r="P121" s="24">
        <f t="shared" si="3"/>
        <v>0</v>
      </c>
      <c r="Q121" s="23"/>
      <c r="R121" s="24"/>
      <c r="S121" s="49"/>
      <c r="T121" s="24"/>
      <c r="U121" s="24">
        <f t="shared" si="4"/>
        <v>0</v>
      </c>
      <c r="V121" s="24"/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  <c r="AK121" s="16">
        <v>0</v>
      </c>
      <c r="AL121" s="16">
        <v>0</v>
      </c>
      <c r="AM121" s="16">
        <v>0</v>
      </c>
      <c r="AN121" s="16">
        <v>0</v>
      </c>
      <c r="AO121" s="16">
        <v>0</v>
      </c>
      <c r="AP121" s="16">
        <v>0</v>
      </c>
      <c r="AQ121" s="16">
        <v>0</v>
      </c>
      <c r="AR121" s="16">
        <v>0</v>
      </c>
      <c r="AS121" s="16">
        <v>0</v>
      </c>
      <c r="AT121" s="16">
        <v>0</v>
      </c>
      <c r="AU121" s="16">
        <v>0</v>
      </c>
      <c r="AV121" s="16">
        <v>0</v>
      </c>
    </row>
    <row r="122" spans="1:48" ht="14.25" customHeight="1">
      <c r="A122" s="13"/>
      <c r="B122" s="14"/>
      <c r="C122" s="14"/>
      <c r="D122" s="14"/>
      <c r="E122" s="14"/>
      <c r="F122" s="14"/>
      <c r="G122" s="14"/>
      <c r="H122" s="14"/>
      <c r="I122" s="14"/>
      <c r="J122" s="14"/>
      <c r="K122" s="15">
        <f t="shared" si="0"/>
        <v>0</v>
      </c>
      <c r="L122" s="24"/>
      <c r="M122" s="14"/>
      <c r="N122" s="49"/>
      <c r="O122" s="24"/>
      <c r="P122" s="24">
        <f t="shared" si="3"/>
        <v>0</v>
      </c>
      <c r="Q122" s="23"/>
      <c r="R122" s="24"/>
      <c r="S122" s="49"/>
      <c r="T122" s="24"/>
      <c r="U122" s="24">
        <f t="shared" si="4"/>
        <v>0</v>
      </c>
      <c r="V122" s="24"/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  <c r="AK122" s="16">
        <v>0</v>
      </c>
      <c r="AL122" s="16">
        <v>0</v>
      </c>
      <c r="AM122" s="16">
        <v>0</v>
      </c>
      <c r="AN122" s="16">
        <v>0</v>
      </c>
      <c r="AO122" s="16">
        <v>0</v>
      </c>
      <c r="AP122" s="16">
        <v>0</v>
      </c>
      <c r="AQ122" s="16">
        <v>0</v>
      </c>
      <c r="AR122" s="16">
        <v>0</v>
      </c>
      <c r="AS122" s="16">
        <v>0</v>
      </c>
      <c r="AT122" s="16">
        <v>0</v>
      </c>
      <c r="AU122" s="16">
        <v>0</v>
      </c>
      <c r="AV122" s="16">
        <v>0</v>
      </c>
    </row>
    <row r="123" spans="1:48" ht="14.25" customHeight="1">
      <c r="A123" s="13"/>
      <c r="B123" s="14"/>
      <c r="C123" s="14"/>
      <c r="D123" s="14"/>
      <c r="E123" s="14"/>
      <c r="F123" s="14"/>
      <c r="G123" s="14"/>
      <c r="H123" s="14"/>
      <c r="I123" s="14"/>
      <c r="J123" s="14"/>
      <c r="K123" s="15">
        <f t="shared" si="0"/>
        <v>0</v>
      </c>
      <c r="L123" s="24"/>
      <c r="M123" s="14"/>
      <c r="N123" s="49"/>
      <c r="O123" s="24"/>
      <c r="P123" s="24">
        <f t="shared" si="3"/>
        <v>0</v>
      </c>
      <c r="Q123" s="23"/>
      <c r="R123" s="24"/>
      <c r="S123" s="49"/>
      <c r="T123" s="24"/>
      <c r="U123" s="24">
        <f t="shared" si="4"/>
        <v>0</v>
      </c>
      <c r="V123" s="24"/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  <c r="AK123" s="16">
        <v>0</v>
      </c>
      <c r="AL123" s="16">
        <v>0</v>
      </c>
      <c r="AM123" s="16">
        <v>0</v>
      </c>
      <c r="AN123" s="16">
        <v>0</v>
      </c>
      <c r="AO123" s="16">
        <v>0</v>
      </c>
      <c r="AP123" s="16">
        <v>0</v>
      </c>
      <c r="AQ123" s="16">
        <v>0</v>
      </c>
      <c r="AR123" s="16">
        <v>0</v>
      </c>
      <c r="AS123" s="16">
        <v>0</v>
      </c>
      <c r="AT123" s="16">
        <v>0</v>
      </c>
      <c r="AU123" s="16">
        <v>0</v>
      </c>
      <c r="AV123" s="16">
        <v>0</v>
      </c>
    </row>
    <row r="124" spans="1:48" ht="14.25" customHeight="1">
      <c r="A124" s="13"/>
      <c r="B124" s="14"/>
      <c r="C124" s="14"/>
      <c r="D124" s="14"/>
      <c r="E124" s="14"/>
      <c r="F124" s="14"/>
      <c r="G124" s="14"/>
      <c r="H124" s="14"/>
      <c r="I124" s="14"/>
      <c r="J124" s="14"/>
      <c r="K124" s="15">
        <f t="shared" si="0"/>
        <v>0</v>
      </c>
      <c r="L124" s="24"/>
      <c r="M124" s="14"/>
      <c r="N124" s="49"/>
      <c r="O124" s="24"/>
      <c r="P124" s="24">
        <f t="shared" si="3"/>
        <v>0</v>
      </c>
      <c r="Q124" s="23"/>
      <c r="R124" s="24"/>
      <c r="S124" s="49"/>
      <c r="T124" s="24"/>
      <c r="U124" s="24">
        <f t="shared" si="4"/>
        <v>0</v>
      </c>
      <c r="V124" s="24"/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  <c r="AK124" s="16">
        <v>0</v>
      </c>
      <c r="AL124" s="16">
        <v>0</v>
      </c>
      <c r="AM124" s="16">
        <v>0</v>
      </c>
      <c r="AN124" s="16">
        <v>0</v>
      </c>
      <c r="AO124" s="16">
        <v>0</v>
      </c>
      <c r="AP124" s="16">
        <v>0</v>
      </c>
      <c r="AQ124" s="16">
        <v>0</v>
      </c>
      <c r="AR124" s="16">
        <v>0</v>
      </c>
      <c r="AS124" s="16">
        <v>0</v>
      </c>
      <c r="AT124" s="16">
        <v>0</v>
      </c>
      <c r="AU124" s="16">
        <v>0</v>
      </c>
      <c r="AV124" s="16">
        <v>0</v>
      </c>
    </row>
    <row r="125" spans="1:48" ht="14.25" customHeight="1">
      <c r="A125" s="13"/>
      <c r="B125" s="14"/>
      <c r="C125" s="14"/>
      <c r="D125" s="14"/>
      <c r="E125" s="14"/>
      <c r="F125" s="14"/>
      <c r="G125" s="14"/>
      <c r="H125" s="14"/>
      <c r="I125" s="14"/>
      <c r="J125" s="14"/>
      <c r="K125" s="15">
        <f t="shared" si="0"/>
        <v>0</v>
      </c>
      <c r="L125" s="24"/>
      <c r="M125" s="14"/>
      <c r="N125" s="49"/>
      <c r="O125" s="24"/>
      <c r="P125" s="24">
        <f t="shared" si="3"/>
        <v>0</v>
      </c>
      <c r="Q125" s="23"/>
      <c r="R125" s="24"/>
      <c r="S125" s="49"/>
      <c r="T125" s="24"/>
      <c r="U125" s="24">
        <f t="shared" si="4"/>
        <v>0</v>
      </c>
      <c r="V125" s="24"/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  <c r="AK125" s="16">
        <v>0</v>
      </c>
      <c r="AL125" s="16">
        <v>0</v>
      </c>
      <c r="AM125" s="16">
        <v>0</v>
      </c>
      <c r="AN125" s="16">
        <v>0</v>
      </c>
      <c r="AO125" s="16">
        <v>0</v>
      </c>
      <c r="AP125" s="16">
        <v>0</v>
      </c>
      <c r="AQ125" s="16">
        <v>0</v>
      </c>
      <c r="AR125" s="16">
        <v>0</v>
      </c>
      <c r="AS125" s="16">
        <v>0</v>
      </c>
      <c r="AT125" s="16">
        <v>0</v>
      </c>
      <c r="AU125" s="16">
        <v>0</v>
      </c>
      <c r="AV125" s="16">
        <v>0</v>
      </c>
    </row>
    <row r="126" spans="1:48" ht="14.25" customHeight="1">
      <c r="A126" s="13"/>
      <c r="B126" s="14"/>
      <c r="C126" s="14"/>
      <c r="D126" s="14"/>
      <c r="E126" s="14"/>
      <c r="F126" s="14"/>
      <c r="G126" s="14"/>
      <c r="H126" s="14"/>
      <c r="I126" s="14"/>
      <c r="J126" s="14"/>
      <c r="K126" s="15">
        <f t="shared" si="0"/>
        <v>0</v>
      </c>
      <c r="L126" s="24"/>
      <c r="M126" s="14"/>
      <c r="N126" s="49"/>
      <c r="O126" s="24"/>
      <c r="P126" s="24">
        <f t="shared" si="3"/>
        <v>0</v>
      </c>
      <c r="Q126" s="23"/>
      <c r="R126" s="24"/>
      <c r="S126" s="49"/>
      <c r="T126" s="24"/>
      <c r="U126" s="24">
        <f t="shared" si="4"/>
        <v>0</v>
      </c>
      <c r="V126" s="24"/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  <c r="AK126" s="16">
        <v>0</v>
      </c>
      <c r="AL126" s="16">
        <v>0</v>
      </c>
      <c r="AM126" s="16">
        <v>0</v>
      </c>
      <c r="AN126" s="16">
        <v>0</v>
      </c>
      <c r="AO126" s="16">
        <v>0</v>
      </c>
      <c r="AP126" s="16">
        <v>0</v>
      </c>
      <c r="AQ126" s="16">
        <v>0</v>
      </c>
      <c r="AR126" s="16">
        <v>0</v>
      </c>
      <c r="AS126" s="16">
        <v>0</v>
      </c>
      <c r="AT126" s="16">
        <v>0</v>
      </c>
      <c r="AU126" s="16">
        <v>0</v>
      </c>
      <c r="AV126" s="16">
        <v>0</v>
      </c>
    </row>
    <row r="127" spans="1:48" ht="14.25" customHeight="1">
      <c r="A127" s="13"/>
      <c r="B127" s="14"/>
      <c r="C127" s="14"/>
      <c r="D127" s="14"/>
      <c r="E127" s="14"/>
      <c r="F127" s="14"/>
      <c r="G127" s="14"/>
      <c r="H127" s="14"/>
      <c r="I127" s="14"/>
      <c r="J127" s="14"/>
      <c r="K127" s="15">
        <f t="shared" si="0"/>
        <v>0</v>
      </c>
      <c r="L127" s="24"/>
      <c r="M127" s="14"/>
      <c r="N127" s="49"/>
      <c r="O127" s="24"/>
      <c r="P127" s="24">
        <f t="shared" si="3"/>
        <v>0</v>
      </c>
      <c r="Q127" s="23"/>
      <c r="R127" s="24"/>
      <c r="S127" s="49"/>
      <c r="T127" s="24"/>
      <c r="U127" s="24">
        <f t="shared" si="4"/>
        <v>0</v>
      </c>
      <c r="V127" s="24"/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  <c r="AK127" s="16">
        <v>0</v>
      </c>
      <c r="AL127" s="16">
        <v>0</v>
      </c>
      <c r="AM127" s="16">
        <v>0</v>
      </c>
      <c r="AN127" s="16">
        <v>0</v>
      </c>
      <c r="AO127" s="16">
        <v>0</v>
      </c>
      <c r="AP127" s="16">
        <v>0</v>
      </c>
      <c r="AQ127" s="16">
        <v>0</v>
      </c>
      <c r="AR127" s="16">
        <v>0</v>
      </c>
      <c r="AS127" s="16">
        <v>0</v>
      </c>
      <c r="AT127" s="16">
        <v>0</v>
      </c>
      <c r="AU127" s="16">
        <v>0</v>
      </c>
      <c r="AV127" s="16">
        <v>0</v>
      </c>
    </row>
    <row r="128" spans="1:48" ht="14.25" customHeight="1">
      <c r="A128" s="13"/>
      <c r="B128" s="14"/>
      <c r="C128" s="14"/>
      <c r="D128" s="14"/>
      <c r="E128" s="14"/>
      <c r="F128" s="14"/>
      <c r="G128" s="14"/>
      <c r="H128" s="14"/>
      <c r="I128" s="14"/>
      <c r="J128" s="14"/>
      <c r="K128" s="15">
        <f t="shared" si="0"/>
        <v>0</v>
      </c>
      <c r="L128" s="24"/>
      <c r="M128" s="14"/>
      <c r="N128" s="49"/>
      <c r="O128" s="24"/>
      <c r="P128" s="24">
        <f t="shared" si="3"/>
        <v>0</v>
      </c>
      <c r="Q128" s="23"/>
      <c r="R128" s="24"/>
      <c r="S128" s="49"/>
      <c r="T128" s="24"/>
      <c r="U128" s="24">
        <f t="shared" si="4"/>
        <v>0</v>
      </c>
      <c r="V128" s="24"/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  <c r="AK128" s="16">
        <v>0</v>
      </c>
      <c r="AL128" s="16">
        <v>0</v>
      </c>
      <c r="AM128" s="16">
        <v>0</v>
      </c>
      <c r="AN128" s="16">
        <v>0</v>
      </c>
      <c r="AO128" s="16">
        <v>0</v>
      </c>
      <c r="AP128" s="16">
        <v>0</v>
      </c>
      <c r="AQ128" s="16">
        <v>0</v>
      </c>
      <c r="AR128" s="16">
        <v>0</v>
      </c>
      <c r="AS128" s="16">
        <v>0</v>
      </c>
      <c r="AT128" s="16">
        <v>0</v>
      </c>
      <c r="AU128" s="16">
        <v>0</v>
      </c>
      <c r="AV128" s="16">
        <v>0</v>
      </c>
    </row>
    <row r="129" spans="1:48" ht="14.25" customHeight="1">
      <c r="A129" s="13"/>
      <c r="B129" s="14"/>
      <c r="C129" s="14"/>
      <c r="D129" s="14"/>
      <c r="E129" s="14"/>
      <c r="F129" s="14"/>
      <c r="G129" s="14"/>
      <c r="H129" s="14"/>
      <c r="I129" s="14"/>
      <c r="J129" s="14"/>
      <c r="K129" s="15">
        <f t="shared" si="0"/>
        <v>0</v>
      </c>
      <c r="L129" s="24"/>
      <c r="M129" s="14"/>
      <c r="N129" s="49"/>
      <c r="O129" s="24"/>
      <c r="P129" s="24">
        <f t="shared" si="3"/>
        <v>0</v>
      </c>
      <c r="Q129" s="23"/>
      <c r="R129" s="24"/>
      <c r="S129" s="49"/>
      <c r="T129" s="24"/>
      <c r="U129" s="24">
        <f t="shared" si="4"/>
        <v>0</v>
      </c>
      <c r="V129" s="24"/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  <c r="AK129" s="16">
        <v>0</v>
      </c>
      <c r="AL129" s="16">
        <v>0</v>
      </c>
      <c r="AM129" s="16">
        <v>0</v>
      </c>
      <c r="AN129" s="16">
        <v>0</v>
      </c>
      <c r="AO129" s="16">
        <v>0</v>
      </c>
      <c r="AP129" s="16">
        <v>0</v>
      </c>
      <c r="AQ129" s="16">
        <v>0</v>
      </c>
      <c r="AR129" s="16">
        <v>0</v>
      </c>
      <c r="AS129" s="16">
        <v>0</v>
      </c>
      <c r="AT129" s="16">
        <v>0</v>
      </c>
      <c r="AU129" s="16">
        <v>0</v>
      </c>
      <c r="AV129" s="16">
        <v>0</v>
      </c>
    </row>
    <row r="130" spans="1:48" ht="14.25" customHeight="1">
      <c r="A130" s="13"/>
      <c r="B130" s="14"/>
      <c r="C130" s="14"/>
      <c r="D130" s="14"/>
      <c r="E130" s="14"/>
      <c r="F130" s="14"/>
      <c r="G130" s="14"/>
      <c r="H130" s="14"/>
      <c r="I130" s="14"/>
      <c r="J130" s="14"/>
      <c r="K130" s="15">
        <f t="shared" si="0"/>
        <v>0</v>
      </c>
      <c r="L130" s="24"/>
      <c r="M130" s="14"/>
      <c r="N130" s="49"/>
      <c r="O130" s="24"/>
      <c r="P130" s="24">
        <f t="shared" si="3"/>
        <v>0</v>
      </c>
      <c r="Q130" s="23"/>
      <c r="R130" s="24"/>
      <c r="S130" s="49"/>
      <c r="T130" s="24"/>
      <c r="U130" s="24">
        <f t="shared" si="4"/>
        <v>0</v>
      </c>
      <c r="V130" s="24"/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  <c r="AK130" s="16">
        <v>0</v>
      </c>
      <c r="AL130" s="16">
        <v>0</v>
      </c>
      <c r="AM130" s="16">
        <v>0</v>
      </c>
      <c r="AN130" s="16">
        <v>0</v>
      </c>
      <c r="AO130" s="16">
        <v>0</v>
      </c>
      <c r="AP130" s="16">
        <v>0</v>
      </c>
      <c r="AQ130" s="16">
        <v>0</v>
      </c>
      <c r="AR130" s="16">
        <v>0</v>
      </c>
      <c r="AS130" s="16">
        <v>0</v>
      </c>
      <c r="AT130" s="16">
        <v>0</v>
      </c>
      <c r="AU130" s="16">
        <v>0</v>
      </c>
      <c r="AV130" s="16">
        <v>0</v>
      </c>
    </row>
    <row r="131" spans="1:48" ht="14.25" customHeight="1">
      <c r="A131" s="13"/>
      <c r="B131" s="14"/>
      <c r="C131" s="14"/>
      <c r="D131" s="14"/>
      <c r="E131" s="14"/>
      <c r="F131" s="14"/>
      <c r="G131" s="14"/>
      <c r="H131" s="14"/>
      <c r="I131" s="14"/>
      <c r="J131" s="14"/>
      <c r="K131" s="15">
        <f t="shared" si="0"/>
        <v>0</v>
      </c>
      <c r="L131" s="24"/>
      <c r="M131" s="14"/>
      <c r="N131" s="49"/>
      <c r="O131" s="24"/>
      <c r="P131" s="24">
        <f t="shared" ref="P131:P194" si="5">O131-K131</f>
        <v>0</v>
      </c>
      <c r="Q131" s="23"/>
      <c r="R131" s="24"/>
      <c r="S131" s="49"/>
      <c r="T131" s="24"/>
      <c r="U131" s="24">
        <f t="shared" ref="U131:U194" si="6">T131-O131</f>
        <v>0</v>
      </c>
      <c r="V131" s="24"/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  <c r="AK131" s="16">
        <v>0</v>
      </c>
      <c r="AL131" s="16">
        <v>0</v>
      </c>
      <c r="AM131" s="16">
        <v>0</v>
      </c>
      <c r="AN131" s="16">
        <v>0</v>
      </c>
      <c r="AO131" s="16">
        <v>0</v>
      </c>
      <c r="AP131" s="16">
        <v>0</v>
      </c>
      <c r="AQ131" s="16">
        <v>0</v>
      </c>
      <c r="AR131" s="16">
        <v>0</v>
      </c>
      <c r="AS131" s="16">
        <v>0</v>
      </c>
      <c r="AT131" s="16">
        <v>0</v>
      </c>
      <c r="AU131" s="16">
        <v>0</v>
      </c>
      <c r="AV131" s="16">
        <v>0</v>
      </c>
    </row>
    <row r="132" spans="1:48" ht="14.25" customHeight="1">
      <c r="A132" s="13"/>
      <c r="B132" s="14"/>
      <c r="C132" s="14"/>
      <c r="D132" s="14"/>
      <c r="E132" s="14"/>
      <c r="F132" s="14"/>
      <c r="G132" s="14"/>
      <c r="H132" s="14"/>
      <c r="I132" s="14"/>
      <c r="J132" s="14"/>
      <c r="K132" s="15">
        <f t="shared" si="0"/>
        <v>0</v>
      </c>
      <c r="L132" s="24"/>
      <c r="M132" s="14"/>
      <c r="N132" s="49"/>
      <c r="O132" s="24"/>
      <c r="P132" s="24">
        <f t="shared" si="5"/>
        <v>0</v>
      </c>
      <c r="Q132" s="23"/>
      <c r="R132" s="24"/>
      <c r="S132" s="49"/>
      <c r="T132" s="24"/>
      <c r="U132" s="24">
        <f t="shared" si="6"/>
        <v>0</v>
      </c>
      <c r="V132" s="24"/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  <c r="AK132" s="16">
        <v>0</v>
      </c>
      <c r="AL132" s="16">
        <v>0</v>
      </c>
      <c r="AM132" s="16">
        <v>0</v>
      </c>
      <c r="AN132" s="16">
        <v>0</v>
      </c>
      <c r="AO132" s="16">
        <v>0</v>
      </c>
      <c r="AP132" s="16">
        <v>0</v>
      </c>
      <c r="AQ132" s="16">
        <v>0</v>
      </c>
      <c r="AR132" s="16">
        <v>0</v>
      </c>
      <c r="AS132" s="16">
        <v>0</v>
      </c>
      <c r="AT132" s="16">
        <v>0</v>
      </c>
      <c r="AU132" s="16">
        <v>0</v>
      </c>
      <c r="AV132" s="16">
        <v>0</v>
      </c>
    </row>
    <row r="133" spans="1:48" ht="14.25" customHeight="1">
      <c r="A133" s="13"/>
      <c r="B133" s="14"/>
      <c r="C133" s="14"/>
      <c r="D133" s="14"/>
      <c r="E133" s="14"/>
      <c r="F133" s="14"/>
      <c r="G133" s="14"/>
      <c r="H133" s="14"/>
      <c r="I133" s="14"/>
      <c r="J133" s="14"/>
      <c r="K133" s="15">
        <f t="shared" si="0"/>
        <v>0</v>
      </c>
      <c r="L133" s="24"/>
      <c r="M133" s="14"/>
      <c r="N133" s="49"/>
      <c r="O133" s="24"/>
      <c r="P133" s="24">
        <f t="shared" si="5"/>
        <v>0</v>
      </c>
      <c r="Q133" s="23"/>
      <c r="R133" s="24"/>
      <c r="S133" s="49"/>
      <c r="T133" s="24"/>
      <c r="U133" s="24">
        <f t="shared" si="6"/>
        <v>0</v>
      </c>
      <c r="V133" s="24"/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  <c r="AK133" s="16">
        <v>0</v>
      </c>
      <c r="AL133" s="16">
        <v>0</v>
      </c>
      <c r="AM133" s="16">
        <v>0</v>
      </c>
      <c r="AN133" s="16">
        <v>0</v>
      </c>
      <c r="AO133" s="16">
        <v>0</v>
      </c>
      <c r="AP133" s="16">
        <v>0</v>
      </c>
      <c r="AQ133" s="16">
        <v>0</v>
      </c>
      <c r="AR133" s="16">
        <v>0</v>
      </c>
      <c r="AS133" s="16">
        <v>0</v>
      </c>
      <c r="AT133" s="16">
        <v>0</v>
      </c>
      <c r="AU133" s="16">
        <v>0</v>
      </c>
      <c r="AV133" s="16">
        <v>0</v>
      </c>
    </row>
    <row r="134" spans="1:48" ht="14.25" customHeight="1">
      <c r="A134" s="13"/>
      <c r="B134" s="14"/>
      <c r="C134" s="14"/>
      <c r="D134" s="14"/>
      <c r="E134" s="14"/>
      <c r="F134" s="14"/>
      <c r="G134" s="14"/>
      <c r="H134" s="14"/>
      <c r="I134" s="14"/>
      <c r="J134" s="14"/>
      <c r="K134" s="15">
        <f t="shared" si="0"/>
        <v>0</v>
      </c>
      <c r="L134" s="24"/>
      <c r="M134" s="14"/>
      <c r="N134" s="49"/>
      <c r="O134" s="24"/>
      <c r="P134" s="24">
        <f t="shared" si="5"/>
        <v>0</v>
      </c>
      <c r="Q134" s="23"/>
      <c r="R134" s="24"/>
      <c r="S134" s="49"/>
      <c r="T134" s="24"/>
      <c r="U134" s="24">
        <f t="shared" si="6"/>
        <v>0</v>
      </c>
      <c r="V134" s="24"/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  <c r="AK134" s="16">
        <v>0</v>
      </c>
      <c r="AL134" s="16">
        <v>0</v>
      </c>
      <c r="AM134" s="16">
        <v>0</v>
      </c>
      <c r="AN134" s="16">
        <v>0</v>
      </c>
      <c r="AO134" s="16">
        <v>0</v>
      </c>
      <c r="AP134" s="16">
        <v>0</v>
      </c>
      <c r="AQ134" s="16">
        <v>0</v>
      </c>
      <c r="AR134" s="16">
        <v>0</v>
      </c>
      <c r="AS134" s="16">
        <v>0</v>
      </c>
      <c r="AT134" s="16">
        <v>0</v>
      </c>
      <c r="AU134" s="16">
        <v>0</v>
      </c>
      <c r="AV134" s="16">
        <v>0</v>
      </c>
    </row>
    <row r="135" spans="1:48" ht="14.25" customHeight="1">
      <c r="A135" s="13"/>
      <c r="B135" s="14"/>
      <c r="C135" s="14"/>
      <c r="D135" s="14"/>
      <c r="E135" s="14"/>
      <c r="F135" s="14"/>
      <c r="G135" s="14"/>
      <c r="H135" s="14"/>
      <c r="I135" s="14"/>
      <c r="J135" s="14"/>
      <c r="K135" s="15">
        <f t="shared" si="0"/>
        <v>0</v>
      </c>
      <c r="L135" s="24"/>
      <c r="M135" s="14"/>
      <c r="N135" s="49"/>
      <c r="O135" s="24"/>
      <c r="P135" s="24">
        <f t="shared" si="5"/>
        <v>0</v>
      </c>
      <c r="Q135" s="23"/>
      <c r="R135" s="24"/>
      <c r="S135" s="49"/>
      <c r="T135" s="24"/>
      <c r="U135" s="24">
        <f t="shared" si="6"/>
        <v>0</v>
      </c>
      <c r="V135" s="24"/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  <c r="AK135" s="16">
        <v>0</v>
      </c>
      <c r="AL135" s="16">
        <v>0</v>
      </c>
      <c r="AM135" s="16">
        <v>0</v>
      </c>
      <c r="AN135" s="16">
        <v>0</v>
      </c>
      <c r="AO135" s="16">
        <v>0</v>
      </c>
      <c r="AP135" s="16">
        <v>0</v>
      </c>
      <c r="AQ135" s="16">
        <v>0</v>
      </c>
      <c r="AR135" s="16">
        <v>0</v>
      </c>
      <c r="AS135" s="16">
        <v>0</v>
      </c>
      <c r="AT135" s="16">
        <v>0</v>
      </c>
      <c r="AU135" s="16">
        <v>0</v>
      </c>
      <c r="AV135" s="16">
        <v>0</v>
      </c>
    </row>
    <row r="136" spans="1:48" ht="14.25" customHeight="1">
      <c r="A136" s="13"/>
      <c r="B136" s="14"/>
      <c r="C136" s="14"/>
      <c r="D136" s="14"/>
      <c r="E136" s="14"/>
      <c r="F136" s="14"/>
      <c r="G136" s="14"/>
      <c r="H136" s="14"/>
      <c r="I136" s="14"/>
      <c r="J136" s="14"/>
      <c r="K136" s="15">
        <f t="shared" si="0"/>
        <v>0</v>
      </c>
      <c r="L136" s="24"/>
      <c r="M136" s="14"/>
      <c r="N136" s="49"/>
      <c r="O136" s="24"/>
      <c r="P136" s="24">
        <f t="shared" si="5"/>
        <v>0</v>
      </c>
      <c r="Q136" s="23"/>
      <c r="R136" s="24"/>
      <c r="S136" s="49"/>
      <c r="T136" s="24"/>
      <c r="U136" s="24">
        <f t="shared" si="6"/>
        <v>0</v>
      </c>
      <c r="V136" s="24"/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  <c r="AK136" s="16">
        <v>0</v>
      </c>
      <c r="AL136" s="16">
        <v>0</v>
      </c>
      <c r="AM136" s="16">
        <v>0</v>
      </c>
      <c r="AN136" s="16">
        <v>0</v>
      </c>
      <c r="AO136" s="16">
        <v>0</v>
      </c>
      <c r="AP136" s="16">
        <v>0</v>
      </c>
      <c r="AQ136" s="16">
        <v>0</v>
      </c>
      <c r="AR136" s="16">
        <v>0</v>
      </c>
      <c r="AS136" s="16">
        <v>0</v>
      </c>
      <c r="AT136" s="16">
        <v>0</v>
      </c>
      <c r="AU136" s="16">
        <v>0</v>
      </c>
      <c r="AV136" s="16">
        <v>0</v>
      </c>
    </row>
    <row r="137" spans="1:48" ht="14.25" customHeight="1">
      <c r="A137" s="13"/>
      <c r="B137" s="14"/>
      <c r="C137" s="14"/>
      <c r="D137" s="14"/>
      <c r="E137" s="14"/>
      <c r="F137" s="14"/>
      <c r="G137" s="14"/>
      <c r="H137" s="14"/>
      <c r="I137" s="14"/>
      <c r="J137" s="14"/>
      <c r="K137" s="15">
        <f t="shared" si="0"/>
        <v>0</v>
      </c>
      <c r="L137" s="24"/>
      <c r="M137" s="14"/>
      <c r="N137" s="49"/>
      <c r="O137" s="24"/>
      <c r="P137" s="24">
        <f t="shared" si="5"/>
        <v>0</v>
      </c>
      <c r="Q137" s="23"/>
      <c r="R137" s="24"/>
      <c r="S137" s="49"/>
      <c r="T137" s="24"/>
      <c r="U137" s="24">
        <f t="shared" si="6"/>
        <v>0</v>
      </c>
      <c r="V137" s="24"/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  <c r="AK137" s="16">
        <v>0</v>
      </c>
      <c r="AL137" s="16">
        <v>0</v>
      </c>
      <c r="AM137" s="16">
        <v>0</v>
      </c>
      <c r="AN137" s="16">
        <v>0</v>
      </c>
      <c r="AO137" s="16">
        <v>0</v>
      </c>
      <c r="AP137" s="16">
        <v>0</v>
      </c>
      <c r="AQ137" s="16">
        <v>0</v>
      </c>
      <c r="AR137" s="16">
        <v>0</v>
      </c>
      <c r="AS137" s="16">
        <v>0</v>
      </c>
      <c r="AT137" s="16">
        <v>0</v>
      </c>
      <c r="AU137" s="16">
        <v>0</v>
      </c>
      <c r="AV137" s="16">
        <v>0</v>
      </c>
    </row>
    <row r="138" spans="1:48" ht="14.25" customHeight="1">
      <c r="A138" s="13"/>
      <c r="B138" s="14"/>
      <c r="C138" s="14"/>
      <c r="D138" s="14"/>
      <c r="E138" s="14"/>
      <c r="F138" s="14"/>
      <c r="G138" s="14"/>
      <c r="H138" s="14"/>
      <c r="I138" s="14"/>
      <c r="J138" s="14"/>
      <c r="K138" s="15">
        <f t="shared" si="0"/>
        <v>0</v>
      </c>
      <c r="L138" s="24"/>
      <c r="M138" s="14"/>
      <c r="N138" s="49"/>
      <c r="O138" s="24"/>
      <c r="P138" s="24">
        <f t="shared" si="5"/>
        <v>0</v>
      </c>
      <c r="Q138" s="23"/>
      <c r="R138" s="24"/>
      <c r="S138" s="49"/>
      <c r="T138" s="24"/>
      <c r="U138" s="24">
        <f t="shared" si="6"/>
        <v>0</v>
      </c>
      <c r="V138" s="24"/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  <c r="AK138" s="16">
        <v>0</v>
      </c>
      <c r="AL138" s="16">
        <v>0</v>
      </c>
      <c r="AM138" s="16">
        <v>0</v>
      </c>
      <c r="AN138" s="16">
        <v>0</v>
      </c>
      <c r="AO138" s="16">
        <v>0</v>
      </c>
      <c r="AP138" s="16">
        <v>0</v>
      </c>
      <c r="AQ138" s="16">
        <v>0</v>
      </c>
      <c r="AR138" s="16">
        <v>0</v>
      </c>
      <c r="AS138" s="16">
        <v>0</v>
      </c>
      <c r="AT138" s="16">
        <v>0</v>
      </c>
      <c r="AU138" s="16">
        <v>0</v>
      </c>
      <c r="AV138" s="16">
        <v>0</v>
      </c>
    </row>
    <row r="139" spans="1:48" ht="14.25" customHeight="1">
      <c r="A139" s="13"/>
      <c r="B139" s="14"/>
      <c r="C139" s="14"/>
      <c r="D139" s="14"/>
      <c r="E139" s="14"/>
      <c r="F139" s="14"/>
      <c r="G139" s="14"/>
      <c r="H139" s="14"/>
      <c r="I139" s="14"/>
      <c r="J139" s="14"/>
      <c r="K139" s="15">
        <f t="shared" si="0"/>
        <v>0</v>
      </c>
      <c r="L139" s="24"/>
      <c r="M139" s="14"/>
      <c r="N139" s="49"/>
      <c r="O139" s="24"/>
      <c r="P139" s="24">
        <f t="shared" si="5"/>
        <v>0</v>
      </c>
      <c r="Q139" s="23"/>
      <c r="R139" s="24"/>
      <c r="S139" s="49"/>
      <c r="T139" s="24"/>
      <c r="U139" s="24">
        <f t="shared" si="6"/>
        <v>0</v>
      </c>
      <c r="V139" s="24"/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  <c r="AK139" s="16">
        <v>0</v>
      </c>
      <c r="AL139" s="16">
        <v>0</v>
      </c>
      <c r="AM139" s="16">
        <v>0</v>
      </c>
      <c r="AN139" s="16">
        <v>0</v>
      </c>
      <c r="AO139" s="16">
        <v>0</v>
      </c>
      <c r="AP139" s="16">
        <v>0</v>
      </c>
      <c r="AQ139" s="16">
        <v>0</v>
      </c>
      <c r="AR139" s="16">
        <v>0</v>
      </c>
      <c r="AS139" s="16">
        <v>0</v>
      </c>
      <c r="AT139" s="16">
        <v>0</v>
      </c>
      <c r="AU139" s="16">
        <v>0</v>
      </c>
      <c r="AV139" s="16">
        <v>0</v>
      </c>
    </row>
    <row r="140" spans="1:48" ht="14.25" customHeight="1">
      <c r="A140" s="13"/>
      <c r="B140" s="14"/>
      <c r="C140" s="14"/>
      <c r="D140" s="14"/>
      <c r="E140" s="14"/>
      <c r="F140" s="14"/>
      <c r="G140" s="14"/>
      <c r="H140" s="14"/>
      <c r="I140" s="14"/>
      <c r="J140" s="14"/>
      <c r="K140" s="15">
        <f t="shared" si="0"/>
        <v>0</v>
      </c>
      <c r="L140" s="24"/>
      <c r="M140" s="14"/>
      <c r="N140" s="49"/>
      <c r="O140" s="24"/>
      <c r="P140" s="24">
        <f t="shared" si="5"/>
        <v>0</v>
      </c>
      <c r="Q140" s="23"/>
      <c r="R140" s="24"/>
      <c r="S140" s="49"/>
      <c r="T140" s="24"/>
      <c r="U140" s="24">
        <f t="shared" si="6"/>
        <v>0</v>
      </c>
      <c r="V140" s="24"/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  <c r="AK140" s="16">
        <v>0</v>
      </c>
      <c r="AL140" s="16">
        <v>0</v>
      </c>
      <c r="AM140" s="16">
        <v>0</v>
      </c>
      <c r="AN140" s="16">
        <v>0</v>
      </c>
      <c r="AO140" s="16">
        <v>0</v>
      </c>
      <c r="AP140" s="16">
        <v>0</v>
      </c>
      <c r="AQ140" s="16">
        <v>0</v>
      </c>
      <c r="AR140" s="16">
        <v>0</v>
      </c>
      <c r="AS140" s="16">
        <v>0</v>
      </c>
      <c r="AT140" s="16">
        <v>0</v>
      </c>
      <c r="AU140" s="16">
        <v>0</v>
      </c>
      <c r="AV140" s="16">
        <v>0</v>
      </c>
    </row>
    <row r="141" spans="1:48" ht="14.25" customHeight="1">
      <c r="A141" s="13"/>
      <c r="B141" s="14"/>
      <c r="C141" s="14"/>
      <c r="D141" s="14"/>
      <c r="E141" s="14"/>
      <c r="F141" s="14"/>
      <c r="G141" s="14"/>
      <c r="H141" s="14"/>
      <c r="I141" s="14"/>
      <c r="J141" s="14"/>
      <c r="K141" s="15">
        <f t="shared" si="0"/>
        <v>0</v>
      </c>
      <c r="L141" s="24"/>
      <c r="M141" s="14"/>
      <c r="N141" s="49"/>
      <c r="O141" s="24"/>
      <c r="P141" s="24">
        <f t="shared" si="5"/>
        <v>0</v>
      </c>
      <c r="Q141" s="23"/>
      <c r="R141" s="24"/>
      <c r="S141" s="49"/>
      <c r="T141" s="24"/>
      <c r="U141" s="24">
        <f t="shared" si="6"/>
        <v>0</v>
      </c>
      <c r="V141" s="24"/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  <c r="AK141" s="16">
        <v>0</v>
      </c>
      <c r="AL141" s="16">
        <v>0</v>
      </c>
      <c r="AM141" s="16">
        <v>0</v>
      </c>
      <c r="AN141" s="16">
        <v>0</v>
      </c>
      <c r="AO141" s="16">
        <v>0</v>
      </c>
      <c r="AP141" s="16">
        <v>0</v>
      </c>
      <c r="AQ141" s="16">
        <v>0</v>
      </c>
      <c r="AR141" s="16">
        <v>0</v>
      </c>
      <c r="AS141" s="16">
        <v>0</v>
      </c>
      <c r="AT141" s="16">
        <v>0</v>
      </c>
      <c r="AU141" s="16">
        <v>0</v>
      </c>
      <c r="AV141" s="16">
        <v>0</v>
      </c>
    </row>
    <row r="142" spans="1:48" ht="14.25" customHeight="1">
      <c r="A142" s="13"/>
      <c r="B142" s="14"/>
      <c r="C142" s="14"/>
      <c r="D142" s="14"/>
      <c r="E142" s="14"/>
      <c r="F142" s="14"/>
      <c r="G142" s="14"/>
      <c r="H142" s="14"/>
      <c r="I142" s="14"/>
      <c r="J142" s="14"/>
      <c r="K142" s="15">
        <f t="shared" si="0"/>
        <v>0</v>
      </c>
      <c r="L142" s="24"/>
      <c r="M142" s="14"/>
      <c r="N142" s="49"/>
      <c r="O142" s="24"/>
      <c r="P142" s="24">
        <f t="shared" si="5"/>
        <v>0</v>
      </c>
      <c r="Q142" s="23"/>
      <c r="R142" s="24"/>
      <c r="S142" s="49"/>
      <c r="T142" s="24"/>
      <c r="U142" s="24">
        <f t="shared" si="6"/>
        <v>0</v>
      </c>
      <c r="V142" s="24"/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  <c r="AK142" s="16">
        <v>0</v>
      </c>
      <c r="AL142" s="16">
        <v>0</v>
      </c>
      <c r="AM142" s="16">
        <v>0</v>
      </c>
      <c r="AN142" s="16">
        <v>0</v>
      </c>
      <c r="AO142" s="16">
        <v>0</v>
      </c>
      <c r="AP142" s="16">
        <v>0</v>
      </c>
      <c r="AQ142" s="16">
        <v>0</v>
      </c>
      <c r="AR142" s="16">
        <v>0</v>
      </c>
      <c r="AS142" s="16">
        <v>0</v>
      </c>
      <c r="AT142" s="16">
        <v>0</v>
      </c>
      <c r="AU142" s="16">
        <v>0</v>
      </c>
      <c r="AV142" s="16">
        <v>0</v>
      </c>
    </row>
    <row r="143" spans="1:48" ht="14.25" customHeight="1">
      <c r="A143" s="13"/>
      <c r="B143" s="14"/>
      <c r="C143" s="14"/>
      <c r="D143" s="14"/>
      <c r="E143" s="14"/>
      <c r="F143" s="14"/>
      <c r="G143" s="14"/>
      <c r="H143" s="14"/>
      <c r="I143" s="14"/>
      <c r="J143" s="14"/>
      <c r="K143" s="15">
        <f t="shared" si="0"/>
        <v>0</v>
      </c>
      <c r="L143" s="24"/>
      <c r="M143" s="14"/>
      <c r="N143" s="49"/>
      <c r="O143" s="24"/>
      <c r="P143" s="24">
        <f t="shared" si="5"/>
        <v>0</v>
      </c>
      <c r="Q143" s="23"/>
      <c r="R143" s="24"/>
      <c r="S143" s="49"/>
      <c r="T143" s="24"/>
      <c r="U143" s="24">
        <f t="shared" si="6"/>
        <v>0</v>
      </c>
      <c r="V143" s="24"/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  <c r="AK143" s="16">
        <v>0</v>
      </c>
      <c r="AL143" s="16">
        <v>0</v>
      </c>
      <c r="AM143" s="16">
        <v>0</v>
      </c>
      <c r="AN143" s="16">
        <v>0</v>
      </c>
      <c r="AO143" s="16">
        <v>0</v>
      </c>
      <c r="AP143" s="16">
        <v>0</v>
      </c>
      <c r="AQ143" s="16">
        <v>0</v>
      </c>
      <c r="AR143" s="16">
        <v>0</v>
      </c>
      <c r="AS143" s="16">
        <v>0</v>
      </c>
      <c r="AT143" s="16">
        <v>0</v>
      </c>
      <c r="AU143" s="16">
        <v>0</v>
      </c>
      <c r="AV143" s="16">
        <v>0</v>
      </c>
    </row>
    <row r="144" spans="1:48" ht="14.25" customHeight="1">
      <c r="A144" s="13"/>
      <c r="B144" s="14"/>
      <c r="C144" s="14"/>
      <c r="D144" s="14"/>
      <c r="E144" s="14"/>
      <c r="F144" s="14"/>
      <c r="G144" s="14"/>
      <c r="H144" s="14"/>
      <c r="I144" s="14"/>
      <c r="J144" s="14"/>
      <c r="K144" s="15">
        <f t="shared" si="0"/>
        <v>0</v>
      </c>
      <c r="L144" s="24"/>
      <c r="M144" s="14"/>
      <c r="N144" s="49"/>
      <c r="O144" s="24"/>
      <c r="P144" s="24">
        <f t="shared" si="5"/>
        <v>0</v>
      </c>
      <c r="Q144" s="23"/>
      <c r="R144" s="24"/>
      <c r="S144" s="49"/>
      <c r="T144" s="24"/>
      <c r="U144" s="24">
        <f t="shared" si="6"/>
        <v>0</v>
      </c>
      <c r="V144" s="24"/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  <c r="AK144" s="16">
        <v>0</v>
      </c>
      <c r="AL144" s="16">
        <v>0</v>
      </c>
      <c r="AM144" s="16">
        <v>0</v>
      </c>
      <c r="AN144" s="16">
        <v>0</v>
      </c>
      <c r="AO144" s="16">
        <v>0</v>
      </c>
      <c r="AP144" s="16">
        <v>0</v>
      </c>
      <c r="AQ144" s="16">
        <v>0</v>
      </c>
      <c r="AR144" s="16">
        <v>0</v>
      </c>
      <c r="AS144" s="16">
        <v>0</v>
      </c>
      <c r="AT144" s="16">
        <v>0</v>
      </c>
      <c r="AU144" s="16">
        <v>0</v>
      </c>
      <c r="AV144" s="16">
        <v>0</v>
      </c>
    </row>
    <row r="145" spans="1:48" ht="14.25" customHeight="1">
      <c r="A145" s="13"/>
      <c r="B145" s="14"/>
      <c r="C145" s="14"/>
      <c r="D145" s="14"/>
      <c r="E145" s="14"/>
      <c r="F145" s="14"/>
      <c r="G145" s="14"/>
      <c r="H145" s="14"/>
      <c r="I145" s="14"/>
      <c r="J145" s="14"/>
      <c r="K145" s="15">
        <f t="shared" si="0"/>
        <v>0</v>
      </c>
      <c r="L145" s="24"/>
      <c r="M145" s="14"/>
      <c r="N145" s="49"/>
      <c r="O145" s="24"/>
      <c r="P145" s="24">
        <f t="shared" si="5"/>
        <v>0</v>
      </c>
      <c r="Q145" s="23"/>
      <c r="R145" s="24"/>
      <c r="S145" s="49"/>
      <c r="T145" s="24"/>
      <c r="U145" s="24">
        <f t="shared" si="6"/>
        <v>0</v>
      </c>
      <c r="V145" s="24"/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  <c r="AK145" s="16">
        <v>0</v>
      </c>
      <c r="AL145" s="16">
        <v>0</v>
      </c>
      <c r="AM145" s="16">
        <v>0</v>
      </c>
      <c r="AN145" s="16">
        <v>0</v>
      </c>
      <c r="AO145" s="16">
        <v>0</v>
      </c>
      <c r="AP145" s="16">
        <v>0</v>
      </c>
      <c r="AQ145" s="16">
        <v>0</v>
      </c>
      <c r="AR145" s="16">
        <v>0</v>
      </c>
      <c r="AS145" s="16">
        <v>0</v>
      </c>
      <c r="AT145" s="16">
        <v>0</v>
      </c>
      <c r="AU145" s="16">
        <v>0</v>
      </c>
      <c r="AV145" s="16">
        <v>0</v>
      </c>
    </row>
    <row r="146" spans="1:48" ht="14.25" customHeight="1">
      <c r="A146" s="13"/>
      <c r="B146" s="14"/>
      <c r="C146" s="14"/>
      <c r="D146" s="14"/>
      <c r="E146" s="14"/>
      <c r="F146" s="14"/>
      <c r="G146" s="14"/>
      <c r="H146" s="14"/>
      <c r="I146" s="14"/>
      <c r="J146" s="14"/>
      <c r="K146" s="15">
        <f t="shared" si="0"/>
        <v>0</v>
      </c>
      <c r="L146" s="24"/>
      <c r="M146" s="14"/>
      <c r="N146" s="49"/>
      <c r="O146" s="24"/>
      <c r="P146" s="24">
        <f t="shared" si="5"/>
        <v>0</v>
      </c>
      <c r="Q146" s="23"/>
      <c r="R146" s="24"/>
      <c r="S146" s="49"/>
      <c r="T146" s="24"/>
      <c r="U146" s="24">
        <f t="shared" si="6"/>
        <v>0</v>
      </c>
      <c r="V146" s="24"/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  <c r="AK146" s="16">
        <v>0</v>
      </c>
      <c r="AL146" s="16">
        <v>0</v>
      </c>
      <c r="AM146" s="16">
        <v>0</v>
      </c>
      <c r="AN146" s="16">
        <v>0</v>
      </c>
      <c r="AO146" s="16">
        <v>0</v>
      </c>
      <c r="AP146" s="16">
        <v>0</v>
      </c>
      <c r="AQ146" s="16">
        <v>0</v>
      </c>
      <c r="AR146" s="16">
        <v>0</v>
      </c>
      <c r="AS146" s="16">
        <v>0</v>
      </c>
      <c r="AT146" s="16">
        <v>0</v>
      </c>
      <c r="AU146" s="16">
        <v>0</v>
      </c>
      <c r="AV146" s="16">
        <v>0</v>
      </c>
    </row>
    <row r="147" spans="1:48" ht="14.25" customHeight="1">
      <c r="A147" s="13"/>
      <c r="B147" s="14"/>
      <c r="C147" s="14"/>
      <c r="D147" s="14"/>
      <c r="E147" s="14"/>
      <c r="F147" s="14"/>
      <c r="G147" s="14"/>
      <c r="H147" s="14"/>
      <c r="I147" s="14"/>
      <c r="J147" s="14"/>
      <c r="K147" s="15">
        <f t="shared" si="0"/>
        <v>0</v>
      </c>
      <c r="L147" s="24"/>
      <c r="M147" s="14"/>
      <c r="N147" s="49"/>
      <c r="O147" s="24"/>
      <c r="P147" s="24">
        <f t="shared" si="5"/>
        <v>0</v>
      </c>
      <c r="Q147" s="23"/>
      <c r="R147" s="24"/>
      <c r="S147" s="49"/>
      <c r="T147" s="24"/>
      <c r="U147" s="24">
        <f t="shared" si="6"/>
        <v>0</v>
      </c>
      <c r="V147" s="24"/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  <c r="AK147" s="16">
        <v>0</v>
      </c>
      <c r="AL147" s="16">
        <v>0</v>
      </c>
      <c r="AM147" s="16">
        <v>0</v>
      </c>
      <c r="AN147" s="16">
        <v>0</v>
      </c>
      <c r="AO147" s="16">
        <v>0</v>
      </c>
      <c r="AP147" s="16">
        <v>0</v>
      </c>
      <c r="AQ147" s="16">
        <v>0</v>
      </c>
      <c r="AR147" s="16">
        <v>0</v>
      </c>
      <c r="AS147" s="16">
        <v>0</v>
      </c>
      <c r="AT147" s="16">
        <v>0</v>
      </c>
      <c r="AU147" s="16">
        <v>0</v>
      </c>
      <c r="AV147" s="16">
        <v>0</v>
      </c>
    </row>
    <row r="148" spans="1:48" ht="14.25" customHeight="1">
      <c r="A148" s="13"/>
      <c r="B148" s="14"/>
      <c r="C148" s="14"/>
      <c r="D148" s="14"/>
      <c r="E148" s="14"/>
      <c r="F148" s="14"/>
      <c r="G148" s="14"/>
      <c r="H148" s="14"/>
      <c r="I148" s="14"/>
      <c r="J148" s="14"/>
      <c r="K148" s="15">
        <f t="shared" si="0"/>
        <v>0</v>
      </c>
      <c r="L148" s="24"/>
      <c r="M148" s="14"/>
      <c r="N148" s="49"/>
      <c r="O148" s="24"/>
      <c r="P148" s="24">
        <f t="shared" si="5"/>
        <v>0</v>
      </c>
      <c r="Q148" s="23"/>
      <c r="R148" s="24"/>
      <c r="S148" s="49"/>
      <c r="T148" s="24"/>
      <c r="U148" s="24">
        <f t="shared" si="6"/>
        <v>0</v>
      </c>
      <c r="V148" s="24"/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  <c r="AK148" s="16">
        <v>0</v>
      </c>
      <c r="AL148" s="16">
        <v>0</v>
      </c>
      <c r="AM148" s="16">
        <v>0</v>
      </c>
      <c r="AN148" s="16">
        <v>0</v>
      </c>
      <c r="AO148" s="16">
        <v>0</v>
      </c>
      <c r="AP148" s="16">
        <v>0</v>
      </c>
      <c r="AQ148" s="16">
        <v>0</v>
      </c>
      <c r="AR148" s="16">
        <v>0</v>
      </c>
      <c r="AS148" s="16">
        <v>0</v>
      </c>
      <c r="AT148" s="16">
        <v>0</v>
      </c>
      <c r="AU148" s="16">
        <v>0</v>
      </c>
      <c r="AV148" s="16">
        <v>0</v>
      </c>
    </row>
    <row r="149" spans="1:48" ht="14.25" customHeight="1">
      <c r="A149" s="13"/>
      <c r="B149" s="14"/>
      <c r="C149" s="14"/>
      <c r="D149" s="14"/>
      <c r="E149" s="14"/>
      <c r="F149" s="14"/>
      <c r="G149" s="14"/>
      <c r="H149" s="14"/>
      <c r="I149" s="14"/>
      <c r="J149" s="14"/>
      <c r="K149" s="15">
        <f t="shared" si="0"/>
        <v>0</v>
      </c>
      <c r="L149" s="24"/>
      <c r="M149" s="14"/>
      <c r="N149" s="49"/>
      <c r="O149" s="24"/>
      <c r="P149" s="24">
        <f t="shared" si="5"/>
        <v>0</v>
      </c>
      <c r="Q149" s="23"/>
      <c r="R149" s="24"/>
      <c r="S149" s="49"/>
      <c r="T149" s="24"/>
      <c r="U149" s="24">
        <f t="shared" si="6"/>
        <v>0</v>
      </c>
      <c r="V149" s="24"/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  <c r="AK149" s="16">
        <v>0</v>
      </c>
      <c r="AL149" s="16">
        <v>0</v>
      </c>
      <c r="AM149" s="16">
        <v>0</v>
      </c>
      <c r="AN149" s="16">
        <v>0</v>
      </c>
      <c r="AO149" s="16">
        <v>0</v>
      </c>
      <c r="AP149" s="16">
        <v>0</v>
      </c>
      <c r="AQ149" s="16">
        <v>0</v>
      </c>
      <c r="AR149" s="16">
        <v>0</v>
      </c>
      <c r="AS149" s="16">
        <v>0</v>
      </c>
      <c r="AT149" s="16">
        <v>0</v>
      </c>
      <c r="AU149" s="16">
        <v>0</v>
      </c>
      <c r="AV149" s="16">
        <v>0</v>
      </c>
    </row>
    <row r="150" spans="1:48" ht="14.25" customHeight="1">
      <c r="A150" s="13"/>
      <c r="B150" s="14"/>
      <c r="C150" s="14"/>
      <c r="D150" s="14"/>
      <c r="E150" s="14"/>
      <c r="F150" s="14"/>
      <c r="G150" s="14"/>
      <c r="H150" s="14"/>
      <c r="I150" s="14"/>
      <c r="J150" s="14"/>
      <c r="K150" s="15">
        <f t="shared" si="0"/>
        <v>0</v>
      </c>
      <c r="L150" s="24"/>
      <c r="M150" s="14"/>
      <c r="N150" s="49"/>
      <c r="O150" s="24"/>
      <c r="P150" s="24">
        <f t="shared" si="5"/>
        <v>0</v>
      </c>
      <c r="Q150" s="23"/>
      <c r="R150" s="24"/>
      <c r="S150" s="49"/>
      <c r="T150" s="24"/>
      <c r="U150" s="24">
        <f t="shared" si="6"/>
        <v>0</v>
      </c>
      <c r="V150" s="24"/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  <c r="AK150" s="16">
        <v>0</v>
      </c>
      <c r="AL150" s="16">
        <v>0</v>
      </c>
      <c r="AM150" s="16">
        <v>0</v>
      </c>
      <c r="AN150" s="16">
        <v>0</v>
      </c>
      <c r="AO150" s="16">
        <v>0</v>
      </c>
      <c r="AP150" s="16">
        <v>0</v>
      </c>
      <c r="AQ150" s="16">
        <v>0</v>
      </c>
      <c r="AR150" s="16">
        <v>0</v>
      </c>
      <c r="AS150" s="16">
        <v>0</v>
      </c>
      <c r="AT150" s="16">
        <v>0</v>
      </c>
      <c r="AU150" s="16">
        <v>0</v>
      </c>
      <c r="AV150" s="16">
        <v>0</v>
      </c>
    </row>
    <row r="151" spans="1:48" ht="14.25" customHeight="1">
      <c r="A151" s="13"/>
      <c r="B151" s="14"/>
      <c r="C151" s="14"/>
      <c r="D151" s="14"/>
      <c r="E151" s="14"/>
      <c r="F151" s="14"/>
      <c r="G151" s="14"/>
      <c r="H151" s="14"/>
      <c r="I151" s="14"/>
      <c r="J151" s="14"/>
      <c r="K151" s="15">
        <f t="shared" si="0"/>
        <v>0</v>
      </c>
      <c r="L151" s="24"/>
      <c r="M151" s="14"/>
      <c r="N151" s="49"/>
      <c r="O151" s="24"/>
      <c r="P151" s="24">
        <f t="shared" si="5"/>
        <v>0</v>
      </c>
      <c r="Q151" s="23"/>
      <c r="R151" s="24"/>
      <c r="S151" s="49"/>
      <c r="T151" s="24"/>
      <c r="U151" s="24">
        <f t="shared" si="6"/>
        <v>0</v>
      </c>
      <c r="V151" s="24"/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  <c r="AK151" s="16">
        <v>0</v>
      </c>
      <c r="AL151" s="16">
        <v>0</v>
      </c>
      <c r="AM151" s="16">
        <v>0</v>
      </c>
      <c r="AN151" s="16">
        <v>0</v>
      </c>
      <c r="AO151" s="16">
        <v>0</v>
      </c>
      <c r="AP151" s="16">
        <v>0</v>
      </c>
      <c r="AQ151" s="16">
        <v>0</v>
      </c>
      <c r="AR151" s="16">
        <v>0</v>
      </c>
      <c r="AS151" s="16">
        <v>0</v>
      </c>
      <c r="AT151" s="16">
        <v>0</v>
      </c>
      <c r="AU151" s="16">
        <v>0</v>
      </c>
      <c r="AV151" s="16">
        <v>0</v>
      </c>
    </row>
    <row r="152" spans="1:48" ht="14.25" customHeight="1">
      <c r="A152" s="13"/>
      <c r="B152" s="14"/>
      <c r="C152" s="14"/>
      <c r="D152" s="14"/>
      <c r="E152" s="14"/>
      <c r="F152" s="14"/>
      <c r="G152" s="14"/>
      <c r="H152" s="14"/>
      <c r="I152" s="14"/>
      <c r="J152" s="14"/>
      <c r="K152" s="15">
        <f t="shared" si="0"/>
        <v>0</v>
      </c>
      <c r="L152" s="24"/>
      <c r="M152" s="14"/>
      <c r="N152" s="49"/>
      <c r="O152" s="24"/>
      <c r="P152" s="24">
        <f t="shared" si="5"/>
        <v>0</v>
      </c>
      <c r="Q152" s="23"/>
      <c r="R152" s="24"/>
      <c r="S152" s="49"/>
      <c r="T152" s="24"/>
      <c r="U152" s="24">
        <f t="shared" si="6"/>
        <v>0</v>
      </c>
      <c r="V152" s="24"/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  <c r="AK152" s="16">
        <v>0</v>
      </c>
      <c r="AL152" s="16">
        <v>0</v>
      </c>
      <c r="AM152" s="16">
        <v>0</v>
      </c>
      <c r="AN152" s="16">
        <v>0</v>
      </c>
      <c r="AO152" s="16">
        <v>0</v>
      </c>
      <c r="AP152" s="16">
        <v>0</v>
      </c>
      <c r="AQ152" s="16">
        <v>0</v>
      </c>
      <c r="AR152" s="16">
        <v>0</v>
      </c>
      <c r="AS152" s="16">
        <v>0</v>
      </c>
      <c r="AT152" s="16">
        <v>0</v>
      </c>
      <c r="AU152" s="16">
        <v>0</v>
      </c>
      <c r="AV152" s="16">
        <v>0</v>
      </c>
    </row>
    <row r="153" spans="1:48" ht="14.25" customHeight="1">
      <c r="A153" s="13"/>
      <c r="B153" s="14"/>
      <c r="C153" s="14"/>
      <c r="D153" s="14"/>
      <c r="E153" s="14"/>
      <c r="F153" s="14"/>
      <c r="G153" s="14"/>
      <c r="H153" s="14"/>
      <c r="I153" s="14"/>
      <c r="J153" s="14"/>
      <c r="K153" s="15">
        <f t="shared" si="0"/>
        <v>0</v>
      </c>
      <c r="L153" s="24"/>
      <c r="M153" s="14"/>
      <c r="N153" s="49"/>
      <c r="O153" s="24"/>
      <c r="P153" s="24">
        <f t="shared" si="5"/>
        <v>0</v>
      </c>
      <c r="Q153" s="23"/>
      <c r="R153" s="24"/>
      <c r="S153" s="49"/>
      <c r="T153" s="24"/>
      <c r="U153" s="24">
        <f t="shared" si="6"/>
        <v>0</v>
      </c>
      <c r="V153" s="24"/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  <c r="AK153" s="16">
        <v>0</v>
      </c>
      <c r="AL153" s="16">
        <v>0</v>
      </c>
      <c r="AM153" s="16">
        <v>0</v>
      </c>
      <c r="AN153" s="16">
        <v>0</v>
      </c>
      <c r="AO153" s="16">
        <v>0</v>
      </c>
      <c r="AP153" s="16">
        <v>0</v>
      </c>
      <c r="AQ153" s="16">
        <v>0</v>
      </c>
      <c r="AR153" s="16">
        <v>0</v>
      </c>
      <c r="AS153" s="16">
        <v>0</v>
      </c>
      <c r="AT153" s="16">
        <v>0</v>
      </c>
      <c r="AU153" s="16">
        <v>0</v>
      </c>
      <c r="AV153" s="16">
        <v>0</v>
      </c>
    </row>
    <row r="154" spans="1:48" ht="14.25" customHeight="1">
      <c r="A154" s="13"/>
      <c r="B154" s="14"/>
      <c r="C154" s="14"/>
      <c r="D154" s="14"/>
      <c r="E154" s="14"/>
      <c r="F154" s="14"/>
      <c r="G154" s="14"/>
      <c r="H154" s="14"/>
      <c r="I154" s="14"/>
      <c r="J154" s="14"/>
      <c r="K154" s="15">
        <f t="shared" si="0"/>
        <v>0</v>
      </c>
      <c r="L154" s="24"/>
      <c r="M154" s="14"/>
      <c r="N154" s="49"/>
      <c r="O154" s="24"/>
      <c r="P154" s="24">
        <f t="shared" si="5"/>
        <v>0</v>
      </c>
      <c r="Q154" s="23"/>
      <c r="R154" s="24"/>
      <c r="S154" s="49"/>
      <c r="T154" s="24"/>
      <c r="U154" s="24">
        <f t="shared" si="6"/>
        <v>0</v>
      </c>
      <c r="V154" s="24"/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  <c r="AK154" s="16">
        <v>0</v>
      </c>
      <c r="AL154" s="16">
        <v>0</v>
      </c>
      <c r="AM154" s="16">
        <v>0</v>
      </c>
      <c r="AN154" s="16">
        <v>0</v>
      </c>
      <c r="AO154" s="16">
        <v>0</v>
      </c>
      <c r="AP154" s="16">
        <v>0</v>
      </c>
      <c r="AQ154" s="16">
        <v>0</v>
      </c>
      <c r="AR154" s="16">
        <v>0</v>
      </c>
      <c r="AS154" s="16">
        <v>0</v>
      </c>
      <c r="AT154" s="16">
        <v>0</v>
      </c>
      <c r="AU154" s="16">
        <v>0</v>
      </c>
      <c r="AV154" s="16">
        <v>0</v>
      </c>
    </row>
    <row r="155" spans="1:48" ht="14.25" customHeight="1">
      <c r="A155" s="13"/>
      <c r="B155" s="14"/>
      <c r="C155" s="14"/>
      <c r="D155" s="14"/>
      <c r="E155" s="14"/>
      <c r="F155" s="14"/>
      <c r="G155" s="14"/>
      <c r="H155" s="14"/>
      <c r="I155" s="14"/>
      <c r="J155" s="14"/>
      <c r="K155" s="15">
        <f t="shared" si="0"/>
        <v>0</v>
      </c>
      <c r="L155" s="24"/>
      <c r="M155" s="14"/>
      <c r="N155" s="49"/>
      <c r="O155" s="24"/>
      <c r="P155" s="24">
        <f t="shared" si="5"/>
        <v>0</v>
      </c>
      <c r="Q155" s="23"/>
      <c r="R155" s="24"/>
      <c r="S155" s="49"/>
      <c r="T155" s="24"/>
      <c r="U155" s="24">
        <f t="shared" si="6"/>
        <v>0</v>
      </c>
      <c r="V155" s="24"/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  <c r="AK155" s="16">
        <v>0</v>
      </c>
      <c r="AL155" s="16">
        <v>0</v>
      </c>
      <c r="AM155" s="16">
        <v>0</v>
      </c>
      <c r="AN155" s="16">
        <v>0</v>
      </c>
      <c r="AO155" s="16">
        <v>0</v>
      </c>
      <c r="AP155" s="16">
        <v>0</v>
      </c>
      <c r="AQ155" s="16">
        <v>0</v>
      </c>
      <c r="AR155" s="16">
        <v>0</v>
      </c>
      <c r="AS155" s="16">
        <v>0</v>
      </c>
      <c r="AT155" s="16">
        <v>0</v>
      </c>
      <c r="AU155" s="16">
        <v>0</v>
      </c>
      <c r="AV155" s="16">
        <v>0</v>
      </c>
    </row>
    <row r="156" spans="1:48" ht="14.25" customHeight="1">
      <c r="A156" s="13"/>
      <c r="B156" s="14"/>
      <c r="C156" s="14"/>
      <c r="D156" s="14"/>
      <c r="E156" s="14"/>
      <c r="F156" s="14"/>
      <c r="G156" s="14"/>
      <c r="H156" s="14"/>
      <c r="I156" s="14"/>
      <c r="J156" s="14"/>
      <c r="K156" s="15">
        <f t="shared" si="0"/>
        <v>0</v>
      </c>
      <c r="L156" s="24"/>
      <c r="M156" s="14"/>
      <c r="N156" s="49"/>
      <c r="O156" s="24"/>
      <c r="P156" s="24">
        <f t="shared" si="5"/>
        <v>0</v>
      </c>
      <c r="Q156" s="23"/>
      <c r="R156" s="24"/>
      <c r="S156" s="49"/>
      <c r="T156" s="24"/>
      <c r="U156" s="24">
        <f t="shared" si="6"/>
        <v>0</v>
      </c>
      <c r="V156" s="24"/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  <c r="AK156" s="16">
        <v>0</v>
      </c>
      <c r="AL156" s="16">
        <v>0</v>
      </c>
      <c r="AM156" s="16">
        <v>0</v>
      </c>
      <c r="AN156" s="16">
        <v>0</v>
      </c>
      <c r="AO156" s="16">
        <v>0</v>
      </c>
      <c r="AP156" s="16">
        <v>0</v>
      </c>
      <c r="AQ156" s="16">
        <v>0</v>
      </c>
      <c r="AR156" s="16">
        <v>0</v>
      </c>
      <c r="AS156" s="16">
        <v>0</v>
      </c>
      <c r="AT156" s="16">
        <v>0</v>
      </c>
      <c r="AU156" s="16">
        <v>0</v>
      </c>
      <c r="AV156" s="16">
        <v>0</v>
      </c>
    </row>
    <row r="157" spans="1:48" ht="14.25" customHeight="1">
      <c r="A157" s="13"/>
      <c r="B157" s="14"/>
      <c r="C157" s="14"/>
      <c r="D157" s="14"/>
      <c r="E157" s="14"/>
      <c r="F157" s="14"/>
      <c r="G157" s="14"/>
      <c r="H157" s="14"/>
      <c r="I157" s="14"/>
      <c r="J157" s="14"/>
      <c r="K157" s="15">
        <f t="shared" si="0"/>
        <v>0</v>
      </c>
      <c r="L157" s="24"/>
      <c r="M157" s="14"/>
      <c r="N157" s="49"/>
      <c r="O157" s="24"/>
      <c r="P157" s="24">
        <f t="shared" si="5"/>
        <v>0</v>
      </c>
      <c r="Q157" s="23"/>
      <c r="R157" s="24"/>
      <c r="S157" s="49"/>
      <c r="T157" s="24"/>
      <c r="U157" s="24">
        <f t="shared" si="6"/>
        <v>0</v>
      </c>
      <c r="V157" s="24"/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  <c r="AK157" s="16">
        <v>0</v>
      </c>
      <c r="AL157" s="16">
        <v>0</v>
      </c>
      <c r="AM157" s="16">
        <v>0</v>
      </c>
      <c r="AN157" s="16">
        <v>0</v>
      </c>
      <c r="AO157" s="16">
        <v>0</v>
      </c>
      <c r="AP157" s="16">
        <v>0</v>
      </c>
      <c r="AQ157" s="16">
        <v>0</v>
      </c>
      <c r="AR157" s="16">
        <v>0</v>
      </c>
      <c r="AS157" s="16">
        <v>0</v>
      </c>
      <c r="AT157" s="16">
        <v>0</v>
      </c>
      <c r="AU157" s="16">
        <v>0</v>
      </c>
      <c r="AV157" s="16">
        <v>0</v>
      </c>
    </row>
    <row r="158" spans="1:48" ht="14.25" customHeight="1">
      <c r="A158" s="13"/>
      <c r="B158" s="14"/>
      <c r="C158" s="14"/>
      <c r="D158" s="14"/>
      <c r="E158" s="14"/>
      <c r="F158" s="14"/>
      <c r="G158" s="14"/>
      <c r="H158" s="14"/>
      <c r="I158" s="14"/>
      <c r="J158" s="14"/>
      <c r="K158" s="15">
        <f t="shared" si="0"/>
        <v>0</v>
      </c>
      <c r="L158" s="24"/>
      <c r="M158" s="14"/>
      <c r="N158" s="49"/>
      <c r="O158" s="24"/>
      <c r="P158" s="24">
        <f t="shared" si="5"/>
        <v>0</v>
      </c>
      <c r="Q158" s="23"/>
      <c r="R158" s="24"/>
      <c r="S158" s="49"/>
      <c r="T158" s="24"/>
      <c r="U158" s="24">
        <f t="shared" si="6"/>
        <v>0</v>
      </c>
      <c r="V158" s="24"/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  <c r="AK158" s="16">
        <v>0</v>
      </c>
      <c r="AL158" s="16">
        <v>0</v>
      </c>
      <c r="AM158" s="16">
        <v>0</v>
      </c>
      <c r="AN158" s="16">
        <v>0</v>
      </c>
      <c r="AO158" s="16">
        <v>0</v>
      </c>
      <c r="AP158" s="16">
        <v>0</v>
      </c>
      <c r="AQ158" s="16">
        <v>0</v>
      </c>
      <c r="AR158" s="16">
        <v>0</v>
      </c>
      <c r="AS158" s="16">
        <v>0</v>
      </c>
      <c r="AT158" s="16">
        <v>0</v>
      </c>
      <c r="AU158" s="16">
        <v>0</v>
      </c>
      <c r="AV158" s="16">
        <v>0</v>
      </c>
    </row>
    <row r="159" spans="1:48" ht="14.25" customHeight="1">
      <c r="A159" s="13"/>
      <c r="B159" s="14"/>
      <c r="C159" s="14"/>
      <c r="D159" s="14"/>
      <c r="E159" s="14"/>
      <c r="F159" s="14"/>
      <c r="G159" s="14"/>
      <c r="H159" s="14"/>
      <c r="I159" s="14"/>
      <c r="J159" s="14"/>
      <c r="K159" s="15">
        <f t="shared" si="0"/>
        <v>0</v>
      </c>
      <c r="L159" s="24"/>
      <c r="M159" s="14"/>
      <c r="N159" s="49"/>
      <c r="O159" s="24"/>
      <c r="P159" s="24">
        <f t="shared" si="5"/>
        <v>0</v>
      </c>
      <c r="Q159" s="23"/>
      <c r="R159" s="24"/>
      <c r="S159" s="49"/>
      <c r="T159" s="24"/>
      <c r="U159" s="24">
        <f t="shared" si="6"/>
        <v>0</v>
      </c>
      <c r="V159" s="24"/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  <c r="AK159" s="16">
        <v>0</v>
      </c>
      <c r="AL159" s="16">
        <v>0</v>
      </c>
      <c r="AM159" s="16">
        <v>0</v>
      </c>
      <c r="AN159" s="16">
        <v>0</v>
      </c>
      <c r="AO159" s="16">
        <v>0</v>
      </c>
      <c r="AP159" s="16">
        <v>0</v>
      </c>
      <c r="AQ159" s="16">
        <v>0</v>
      </c>
      <c r="AR159" s="16">
        <v>0</v>
      </c>
      <c r="AS159" s="16">
        <v>0</v>
      </c>
      <c r="AT159" s="16">
        <v>0</v>
      </c>
      <c r="AU159" s="16">
        <v>0</v>
      </c>
      <c r="AV159" s="16">
        <v>0</v>
      </c>
    </row>
    <row r="160" spans="1:48" ht="14.25" customHeight="1">
      <c r="A160" s="13"/>
      <c r="B160" s="14"/>
      <c r="C160" s="14"/>
      <c r="D160" s="14"/>
      <c r="E160" s="14"/>
      <c r="F160" s="14"/>
      <c r="G160" s="14"/>
      <c r="H160" s="14"/>
      <c r="I160" s="14"/>
      <c r="J160" s="14"/>
      <c r="K160" s="15">
        <f t="shared" si="0"/>
        <v>0</v>
      </c>
      <c r="L160" s="24"/>
      <c r="M160" s="14"/>
      <c r="N160" s="49"/>
      <c r="O160" s="24"/>
      <c r="P160" s="24">
        <f t="shared" si="5"/>
        <v>0</v>
      </c>
      <c r="Q160" s="23"/>
      <c r="R160" s="24"/>
      <c r="S160" s="49"/>
      <c r="T160" s="24"/>
      <c r="U160" s="24">
        <f t="shared" si="6"/>
        <v>0</v>
      </c>
      <c r="V160" s="24"/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  <c r="AK160" s="16">
        <v>0</v>
      </c>
      <c r="AL160" s="16">
        <v>0</v>
      </c>
      <c r="AM160" s="16">
        <v>0</v>
      </c>
      <c r="AN160" s="16">
        <v>0</v>
      </c>
      <c r="AO160" s="16">
        <v>0</v>
      </c>
      <c r="AP160" s="16">
        <v>0</v>
      </c>
      <c r="AQ160" s="16">
        <v>0</v>
      </c>
      <c r="AR160" s="16">
        <v>0</v>
      </c>
      <c r="AS160" s="16">
        <v>0</v>
      </c>
      <c r="AT160" s="16">
        <v>0</v>
      </c>
      <c r="AU160" s="16">
        <v>0</v>
      </c>
      <c r="AV160" s="16">
        <v>0</v>
      </c>
    </row>
    <row r="161" spans="1:48" ht="14.25" customHeight="1">
      <c r="A161" s="13"/>
      <c r="B161" s="14"/>
      <c r="C161" s="14"/>
      <c r="D161" s="14"/>
      <c r="E161" s="14"/>
      <c r="F161" s="14"/>
      <c r="G161" s="14"/>
      <c r="H161" s="14"/>
      <c r="I161" s="14"/>
      <c r="J161" s="14"/>
      <c r="K161" s="15">
        <f t="shared" si="0"/>
        <v>0</v>
      </c>
      <c r="L161" s="24"/>
      <c r="M161" s="14"/>
      <c r="N161" s="49"/>
      <c r="O161" s="24"/>
      <c r="P161" s="24">
        <f t="shared" si="5"/>
        <v>0</v>
      </c>
      <c r="Q161" s="23"/>
      <c r="R161" s="24"/>
      <c r="S161" s="49"/>
      <c r="T161" s="24"/>
      <c r="U161" s="24">
        <f t="shared" si="6"/>
        <v>0</v>
      </c>
      <c r="V161" s="24"/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  <c r="AK161" s="16">
        <v>0</v>
      </c>
      <c r="AL161" s="16">
        <v>0</v>
      </c>
      <c r="AM161" s="16">
        <v>0</v>
      </c>
      <c r="AN161" s="16">
        <v>0</v>
      </c>
      <c r="AO161" s="16">
        <v>0</v>
      </c>
      <c r="AP161" s="16">
        <v>0</v>
      </c>
      <c r="AQ161" s="16">
        <v>0</v>
      </c>
      <c r="AR161" s="16">
        <v>0</v>
      </c>
      <c r="AS161" s="16">
        <v>0</v>
      </c>
      <c r="AT161" s="16">
        <v>0</v>
      </c>
      <c r="AU161" s="16">
        <v>0</v>
      </c>
      <c r="AV161" s="16">
        <v>0</v>
      </c>
    </row>
    <row r="162" spans="1:48" ht="14.25" customHeight="1">
      <c r="A162" s="13"/>
      <c r="B162" s="14"/>
      <c r="C162" s="14"/>
      <c r="D162" s="14"/>
      <c r="E162" s="14"/>
      <c r="F162" s="14"/>
      <c r="G162" s="14"/>
      <c r="H162" s="14"/>
      <c r="I162" s="14"/>
      <c r="J162" s="14"/>
      <c r="K162" s="15">
        <f t="shared" si="0"/>
        <v>0</v>
      </c>
      <c r="L162" s="24"/>
      <c r="M162" s="14"/>
      <c r="N162" s="49"/>
      <c r="O162" s="24"/>
      <c r="P162" s="24">
        <f t="shared" si="5"/>
        <v>0</v>
      </c>
      <c r="Q162" s="23"/>
      <c r="R162" s="24"/>
      <c r="S162" s="49"/>
      <c r="T162" s="24"/>
      <c r="U162" s="24">
        <f t="shared" si="6"/>
        <v>0</v>
      </c>
      <c r="V162" s="24"/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  <c r="AK162" s="16">
        <v>0</v>
      </c>
      <c r="AL162" s="16">
        <v>0</v>
      </c>
      <c r="AM162" s="16">
        <v>0</v>
      </c>
      <c r="AN162" s="16">
        <v>0</v>
      </c>
      <c r="AO162" s="16">
        <v>0</v>
      </c>
      <c r="AP162" s="16">
        <v>0</v>
      </c>
      <c r="AQ162" s="16">
        <v>0</v>
      </c>
      <c r="AR162" s="16">
        <v>0</v>
      </c>
      <c r="AS162" s="16">
        <v>0</v>
      </c>
      <c r="AT162" s="16">
        <v>0</v>
      </c>
      <c r="AU162" s="16">
        <v>0</v>
      </c>
      <c r="AV162" s="16">
        <v>0</v>
      </c>
    </row>
    <row r="163" spans="1:48" ht="14.25" customHeight="1">
      <c r="A163" s="13"/>
      <c r="B163" s="14"/>
      <c r="C163" s="14"/>
      <c r="D163" s="14"/>
      <c r="E163" s="14"/>
      <c r="F163" s="14"/>
      <c r="G163" s="14"/>
      <c r="H163" s="14"/>
      <c r="I163" s="14"/>
      <c r="J163" s="14"/>
      <c r="K163" s="15">
        <f t="shared" si="0"/>
        <v>0</v>
      </c>
      <c r="L163" s="24"/>
      <c r="M163" s="14"/>
      <c r="N163" s="49"/>
      <c r="O163" s="24"/>
      <c r="P163" s="24">
        <f t="shared" si="5"/>
        <v>0</v>
      </c>
      <c r="Q163" s="23"/>
      <c r="R163" s="24"/>
      <c r="S163" s="49"/>
      <c r="T163" s="24"/>
      <c r="U163" s="24">
        <f t="shared" si="6"/>
        <v>0</v>
      </c>
      <c r="V163" s="24"/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  <c r="AK163" s="16">
        <v>0</v>
      </c>
      <c r="AL163" s="16">
        <v>0</v>
      </c>
      <c r="AM163" s="16">
        <v>0</v>
      </c>
      <c r="AN163" s="16">
        <v>0</v>
      </c>
      <c r="AO163" s="16">
        <v>0</v>
      </c>
      <c r="AP163" s="16">
        <v>0</v>
      </c>
      <c r="AQ163" s="16">
        <v>0</v>
      </c>
      <c r="AR163" s="16">
        <v>0</v>
      </c>
      <c r="AS163" s="16">
        <v>0</v>
      </c>
      <c r="AT163" s="16">
        <v>0</v>
      </c>
      <c r="AU163" s="16">
        <v>0</v>
      </c>
      <c r="AV163" s="16">
        <v>0</v>
      </c>
    </row>
    <row r="164" spans="1:48" ht="14.25" customHeight="1">
      <c r="A164" s="13"/>
      <c r="B164" s="14"/>
      <c r="C164" s="14"/>
      <c r="D164" s="14"/>
      <c r="E164" s="14"/>
      <c r="F164" s="14"/>
      <c r="G164" s="14"/>
      <c r="H164" s="14"/>
      <c r="I164" s="14"/>
      <c r="J164" s="14"/>
      <c r="K164" s="15">
        <f t="shared" si="0"/>
        <v>0</v>
      </c>
      <c r="L164" s="24"/>
      <c r="M164" s="14"/>
      <c r="N164" s="49"/>
      <c r="O164" s="24"/>
      <c r="P164" s="24">
        <f t="shared" si="5"/>
        <v>0</v>
      </c>
      <c r="Q164" s="23"/>
      <c r="R164" s="24"/>
      <c r="S164" s="49"/>
      <c r="T164" s="24"/>
      <c r="U164" s="24">
        <f t="shared" si="6"/>
        <v>0</v>
      </c>
      <c r="V164" s="24"/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  <c r="AK164" s="16">
        <v>0</v>
      </c>
      <c r="AL164" s="16">
        <v>0</v>
      </c>
      <c r="AM164" s="16">
        <v>0</v>
      </c>
      <c r="AN164" s="16">
        <v>0</v>
      </c>
      <c r="AO164" s="16">
        <v>0</v>
      </c>
      <c r="AP164" s="16">
        <v>0</v>
      </c>
      <c r="AQ164" s="16">
        <v>0</v>
      </c>
      <c r="AR164" s="16">
        <v>0</v>
      </c>
      <c r="AS164" s="16">
        <v>0</v>
      </c>
      <c r="AT164" s="16">
        <v>0</v>
      </c>
      <c r="AU164" s="16">
        <v>0</v>
      </c>
      <c r="AV164" s="16">
        <v>0</v>
      </c>
    </row>
    <row r="165" spans="1:48" ht="14.25" customHeight="1">
      <c r="A165" s="13"/>
      <c r="B165" s="14"/>
      <c r="C165" s="14"/>
      <c r="D165" s="14"/>
      <c r="E165" s="14"/>
      <c r="F165" s="14"/>
      <c r="G165" s="14"/>
      <c r="H165" s="14"/>
      <c r="I165" s="14"/>
      <c r="J165" s="14"/>
      <c r="K165" s="15">
        <f t="shared" si="0"/>
        <v>0</v>
      </c>
      <c r="L165" s="24"/>
      <c r="M165" s="14"/>
      <c r="N165" s="49"/>
      <c r="O165" s="24"/>
      <c r="P165" s="24">
        <f t="shared" si="5"/>
        <v>0</v>
      </c>
      <c r="Q165" s="23"/>
      <c r="R165" s="24"/>
      <c r="S165" s="49"/>
      <c r="T165" s="24"/>
      <c r="U165" s="24">
        <f t="shared" si="6"/>
        <v>0</v>
      </c>
      <c r="V165" s="24"/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  <c r="AK165" s="16">
        <v>0</v>
      </c>
      <c r="AL165" s="16">
        <v>0</v>
      </c>
      <c r="AM165" s="16">
        <v>0</v>
      </c>
      <c r="AN165" s="16">
        <v>0</v>
      </c>
      <c r="AO165" s="16">
        <v>0</v>
      </c>
      <c r="AP165" s="16">
        <v>0</v>
      </c>
      <c r="AQ165" s="16">
        <v>0</v>
      </c>
      <c r="AR165" s="16">
        <v>0</v>
      </c>
      <c r="AS165" s="16">
        <v>0</v>
      </c>
      <c r="AT165" s="16">
        <v>0</v>
      </c>
      <c r="AU165" s="16">
        <v>0</v>
      </c>
      <c r="AV165" s="16">
        <v>0</v>
      </c>
    </row>
    <row r="166" spans="1:48" ht="14.25" customHeight="1">
      <c r="A166" s="13"/>
      <c r="B166" s="14"/>
      <c r="C166" s="14"/>
      <c r="D166" s="14"/>
      <c r="E166" s="14"/>
      <c r="F166" s="14"/>
      <c r="G166" s="14"/>
      <c r="H166" s="14"/>
      <c r="I166" s="14"/>
      <c r="J166" s="14"/>
      <c r="K166" s="15">
        <f t="shared" si="0"/>
        <v>0</v>
      </c>
      <c r="L166" s="24"/>
      <c r="M166" s="14"/>
      <c r="N166" s="49"/>
      <c r="O166" s="24"/>
      <c r="P166" s="24">
        <f t="shared" si="5"/>
        <v>0</v>
      </c>
      <c r="Q166" s="23"/>
      <c r="R166" s="24"/>
      <c r="S166" s="49"/>
      <c r="T166" s="24"/>
      <c r="U166" s="24">
        <f t="shared" si="6"/>
        <v>0</v>
      </c>
      <c r="V166" s="24"/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  <c r="AK166" s="16">
        <v>0</v>
      </c>
      <c r="AL166" s="16">
        <v>0</v>
      </c>
      <c r="AM166" s="16">
        <v>0</v>
      </c>
      <c r="AN166" s="16">
        <v>0</v>
      </c>
      <c r="AO166" s="16">
        <v>0</v>
      </c>
      <c r="AP166" s="16">
        <v>0</v>
      </c>
      <c r="AQ166" s="16">
        <v>0</v>
      </c>
      <c r="AR166" s="16">
        <v>0</v>
      </c>
      <c r="AS166" s="16">
        <v>0</v>
      </c>
      <c r="AT166" s="16">
        <v>0</v>
      </c>
      <c r="AU166" s="16">
        <v>0</v>
      </c>
      <c r="AV166" s="16">
        <v>0</v>
      </c>
    </row>
    <row r="167" spans="1:48" ht="14.25" customHeight="1">
      <c r="A167" s="13"/>
      <c r="B167" s="14"/>
      <c r="C167" s="14"/>
      <c r="D167" s="14"/>
      <c r="E167" s="14"/>
      <c r="F167" s="14"/>
      <c r="G167" s="14"/>
      <c r="H167" s="14"/>
      <c r="I167" s="14"/>
      <c r="J167" s="14"/>
      <c r="K167" s="15">
        <f t="shared" si="0"/>
        <v>0</v>
      </c>
      <c r="L167" s="24"/>
      <c r="M167" s="14"/>
      <c r="N167" s="49"/>
      <c r="O167" s="24"/>
      <c r="P167" s="24">
        <f t="shared" si="5"/>
        <v>0</v>
      </c>
      <c r="Q167" s="23"/>
      <c r="R167" s="24"/>
      <c r="S167" s="49"/>
      <c r="T167" s="24"/>
      <c r="U167" s="24">
        <f t="shared" si="6"/>
        <v>0</v>
      </c>
      <c r="V167" s="24"/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  <c r="AK167" s="16">
        <v>0</v>
      </c>
      <c r="AL167" s="16">
        <v>0</v>
      </c>
      <c r="AM167" s="16">
        <v>0</v>
      </c>
      <c r="AN167" s="16">
        <v>0</v>
      </c>
      <c r="AO167" s="16">
        <v>0</v>
      </c>
      <c r="AP167" s="16">
        <v>0</v>
      </c>
      <c r="AQ167" s="16">
        <v>0</v>
      </c>
      <c r="AR167" s="16">
        <v>0</v>
      </c>
      <c r="AS167" s="16">
        <v>0</v>
      </c>
      <c r="AT167" s="16">
        <v>0</v>
      </c>
      <c r="AU167" s="16">
        <v>0</v>
      </c>
      <c r="AV167" s="16">
        <v>0</v>
      </c>
    </row>
    <row r="168" spans="1:48" ht="14.25" customHeight="1">
      <c r="A168" s="13"/>
      <c r="B168" s="14"/>
      <c r="C168" s="14"/>
      <c r="D168" s="14"/>
      <c r="E168" s="14"/>
      <c r="F168" s="14"/>
      <c r="G168" s="14"/>
      <c r="H168" s="14"/>
      <c r="I168" s="14"/>
      <c r="J168" s="14"/>
      <c r="K168" s="15">
        <f t="shared" si="0"/>
        <v>0</v>
      </c>
      <c r="L168" s="24"/>
      <c r="M168" s="14"/>
      <c r="N168" s="49"/>
      <c r="O168" s="24"/>
      <c r="P168" s="24">
        <f t="shared" si="5"/>
        <v>0</v>
      </c>
      <c r="Q168" s="23"/>
      <c r="R168" s="24"/>
      <c r="S168" s="49"/>
      <c r="T168" s="24"/>
      <c r="U168" s="24">
        <f t="shared" si="6"/>
        <v>0</v>
      </c>
      <c r="V168" s="24"/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  <c r="AK168" s="16">
        <v>0</v>
      </c>
      <c r="AL168" s="16">
        <v>0</v>
      </c>
      <c r="AM168" s="16">
        <v>0</v>
      </c>
      <c r="AN168" s="16">
        <v>0</v>
      </c>
      <c r="AO168" s="16">
        <v>0</v>
      </c>
      <c r="AP168" s="16">
        <v>0</v>
      </c>
      <c r="AQ168" s="16">
        <v>0</v>
      </c>
      <c r="AR168" s="16">
        <v>0</v>
      </c>
      <c r="AS168" s="16">
        <v>0</v>
      </c>
      <c r="AT168" s="16">
        <v>0</v>
      </c>
      <c r="AU168" s="16">
        <v>0</v>
      </c>
      <c r="AV168" s="16">
        <v>0</v>
      </c>
    </row>
    <row r="169" spans="1:48" ht="14.25" customHeight="1">
      <c r="A169" s="13"/>
      <c r="B169" s="14"/>
      <c r="C169" s="14"/>
      <c r="D169" s="14"/>
      <c r="E169" s="14"/>
      <c r="F169" s="14"/>
      <c r="G169" s="14"/>
      <c r="H169" s="14"/>
      <c r="I169" s="14"/>
      <c r="J169" s="14"/>
      <c r="K169" s="15">
        <f t="shared" si="0"/>
        <v>0</v>
      </c>
      <c r="L169" s="24"/>
      <c r="M169" s="14"/>
      <c r="N169" s="49"/>
      <c r="O169" s="24"/>
      <c r="P169" s="24">
        <f t="shared" si="5"/>
        <v>0</v>
      </c>
      <c r="Q169" s="23"/>
      <c r="R169" s="24"/>
      <c r="S169" s="49"/>
      <c r="T169" s="24"/>
      <c r="U169" s="24">
        <f t="shared" si="6"/>
        <v>0</v>
      </c>
      <c r="V169" s="24"/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  <c r="AK169" s="16">
        <v>0</v>
      </c>
      <c r="AL169" s="16">
        <v>0</v>
      </c>
      <c r="AM169" s="16">
        <v>0</v>
      </c>
      <c r="AN169" s="16">
        <v>0</v>
      </c>
      <c r="AO169" s="16">
        <v>0</v>
      </c>
      <c r="AP169" s="16">
        <v>0</v>
      </c>
      <c r="AQ169" s="16">
        <v>0</v>
      </c>
      <c r="AR169" s="16">
        <v>0</v>
      </c>
      <c r="AS169" s="16">
        <v>0</v>
      </c>
      <c r="AT169" s="16">
        <v>0</v>
      </c>
      <c r="AU169" s="16">
        <v>0</v>
      </c>
      <c r="AV169" s="16">
        <v>0</v>
      </c>
    </row>
    <row r="170" spans="1:48" ht="14.25" customHeight="1">
      <c r="A170" s="13"/>
      <c r="B170" s="14"/>
      <c r="C170" s="14"/>
      <c r="D170" s="14"/>
      <c r="E170" s="14"/>
      <c r="F170" s="14"/>
      <c r="G170" s="14"/>
      <c r="H170" s="14"/>
      <c r="I170" s="14"/>
      <c r="J170" s="14"/>
      <c r="K170" s="15">
        <f t="shared" si="0"/>
        <v>0</v>
      </c>
      <c r="L170" s="24"/>
      <c r="M170" s="14"/>
      <c r="N170" s="49"/>
      <c r="O170" s="24"/>
      <c r="P170" s="24">
        <f t="shared" si="5"/>
        <v>0</v>
      </c>
      <c r="Q170" s="23"/>
      <c r="R170" s="24"/>
      <c r="S170" s="49"/>
      <c r="T170" s="24"/>
      <c r="U170" s="24">
        <f t="shared" si="6"/>
        <v>0</v>
      </c>
      <c r="V170" s="24"/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  <c r="AK170" s="16">
        <v>0</v>
      </c>
      <c r="AL170" s="16">
        <v>0</v>
      </c>
      <c r="AM170" s="16">
        <v>0</v>
      </c>
      <c r="AN170" s="16">
        <v>0</v>
      </c>
      <c r="AO170" s="16">
        <v>0</v>
      </c>
      <c r="AP170" s="16">
        <v>0</v>
      </c>
      <c r="AQ170" s="16">
        <v>0</v>
      </c>
      <c r="AR170" s="16">
        <v>0</v>
      </c>
      <c r="AS170" s="16">
        <v>0</v>
      </c>
      <c r="AT170" s="16">
        <v>0</v>
      </c>
      <c r="AU170" s="16">
        <v>0</v>
      </c>
      <c r="AV170" s="16">
        <v>0</v>
      </c>
    </row>
    <row r="171" spans="1:48" ht="14.25" customHeight="1">
      <c r="A171" s="13"/>
      <c r="B171" s="14"/>
      <c r="C171" s="14"/>
      <c r="D171" s="14"/>
      <c r="E171" s="14"/>
      <c r="F171" s="14"/>
      <c r="G171" s="14"/>
      <c r="H171" s="14"/>
      <c r="I171" s="14"/>
      <c r="J171" s="14"/>
      <c r="K171" s="15">
        <f t="shared" si="0"/>
        <v>0</v>
      </c>
      <c r="L171" s="24"/>
      <c r="M171" s="14"/>
      <c r="N171" s="49"/>
      <c r="O171" s="24"/>
      <c r="P171" s="24">
        <f t="shared" si="5"/>
        <v>0</v>
      </c>
      <c r="Q171" s="23"/>
      <c r="R171" s="24"/>
      <c r="S171" s="49"/>
      <c r="T171" s="24"/>
      <c r="U171" s="24">
        <f t="shared" si="6"/>
        <v>0</v>
      </c>
      <c r="V171" s="24"/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  <c r="AK171" s="16">
        <v>0</v>
      </c>
      <c r="AL171" s="16">
        <v>0</v>
      </c>
      <c r="AM171" s="16">
        <v>0</v>
      </c>
      <c r="AN171" s="16">
        <v>0</v>
      </c>
      <c r="AO171" s="16">
        <v>0</v>
      </c>
      <c r="AP171" s="16">
        <v>0</v>
      </c>
      <c r="AQ171" s="16">
        <v>0</v>
      </c>
      <c r="AR171" s="16">
        <v>0</v>
      </c>
      <c r="AS171" s="16">
        <v>0</v>
      </c>
      <c r="AT171" s="16">
        <v>0</v>
      </c>
      <c r="AU171" s="16">
        <v>0</v>
      </c>
      <c r="AV171" s="16">
        <v>0</v>
      </c>
    </row>
    <row r="172" spans="1:48" ht="14.25" customHeight="1">
      <c r="A172" s="13"/>
      <c r="B172" s="14"/>
      <c r="C172" s="14"/>
      <c r="D172" s="14"/>
      <c r="E172" s="14"/>
      <c r="F172" s="14"/>
      <c r="G172" s="14"/>
      <c r="H172" s="14"/>
      <c r="I172" s="14"/>
      <c r="J172" s="14"/>
      <c r="K172" s="15">
        <f t="shared" si="0"/>
        <v>0</v>
      </c>
      <c r="L172" s="24"/>
      <c r="M172" s="14"/>
      <c r="N172" s="49"/>
      <c r="O172" s="24"/>
      <c r="P172" s="24">
        <f t="shared" si="5"/>
        <v>0</v>
      </c>
      <c r="Q172" s="23"/>
      <c r="R172" s="24"/>
      <c r="S172" s="49"/>
      <c r="T172" s="24"/>
      <c r="U172" s="24">
        <f t="shared" si="6"/>
        <v>0</v>
      </c>
      <c r="V172" s="24"/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  <c r="AK172" s="16">
        <v>0</v>
      </c>
      <c r="AL172" s="16">
        <v>0</v>
      </c>
      <c r="AM172" s="16">
        <v>0</v>
      </c>
      <c r="AN172" s="16">
        <v>0</v>
      </c>
      <c r="AO172" s="16">
        <v>0</v>
      </c>
      <c r="AP172" s="16">
        <v>0</v>
      </c>
      <c r="AQ172" s="16">
        <v>0</v>
      </c>
      <c r="AR172" s="16">
        <v>0</v>
      </c>
      <c r="AS172" s="16">
        <v>0</v>
      </c>
      <c r="AT172" s="16">
        <v>0</v>
      </c>
      <c r="AU172" s="16">
        <v>0</v>
      </c>
      <c r="AV172" s="16">
        <v>0</v>
      </c>
    </row>
    <row r="173" spans="1:48" ht="14.25" customHeight="1">
      <c r="A173" s="13"/>
      <c r="B173" s="14"/>
      <c r="C173" s="14"/>
      <c r="D173" s="14"/>
      <c r="E173" s="14"/>
      <c r="F173" s="14"/>
      <c r="G173" s="14"/>
      <c r="H173" s="14"/>
      <c r="I173" s="14"/>
      <c r="J173" s="14"/>
      <c r="K173" s="15">
        <f t="shared" si="0"/>
        <v>0</v>
      </c>
      <c r="L173" s="24"/>
      <c r="M173" s="14"/>
      <c r="N173" s="49"/>
      <c r="O173" s="24"/>
      <c r="P173" s="24">
        <f t="shared" si="5"/>
        <v>0</v>
      </c>
      <c r="Q173" s="23"/>
      <c r="R173" s="24"/>
      <c r="S173" s="49"/>
      <c r="T173" s="24"/>
      <c r="U173" s="24">
        <f t="shared" si="6"/>
        <v>0</v>
      </c>
      <c r="V173" s="24"/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  <c r="AK173" s="16">
        <v>0</v>
      </c>
      <c r="AL173" s="16">
        <v>0</v>
      </c>
      <c r="AM173" s="16">
        <v>0</v>
      </c>
      <c r="AN173" s="16">
        <v>0</v>
      </c>
      <c r="AO173" s="16">
        <v>0</v>
      </c>
      <c r="AP173" s="16">
        <v>0</v>
      </c>
      <c r="AQ173" s="16">
        <v>0</v>
      </c>
      <c r="AR173" s="16">
        <v>0</v>
      </c>
      <c r="AS173" s="16">
        <v>0</v>
      </c>
      <c r="AT173" s="16">
        <v>0</v>
      </c>
      <c r="AU173" s="16">
        <v>0</v>
      </c>
      <c r="AV173" s="16">
        <v>0</v>
      </c>
    </row>
    <row r="174" spans="1:48" ht="14.25" customHeight="1">
      <c r="A174" s="13"/>
      <c r="B174" s="14"/>
      <c r="C174" s="14"/>
      <c r="D174" s="14"/>
      <c r="E174" s="14"/>
      <c r="F174" s="14"/>
      <c r="G174" s="14"/>
      <c r="H174" s="14"/>
      <c r="I174" s="14"/>
      <c r="J174" s="14"/>
      <c r="K174" s="15">
        <f t="shared" si="0"/>
        <v>0</v>
      </c>
      <c r="L174" s="24"/>
      <c r="M174" s="14"/>
      <c r="N174" s="49"/>
      <c r="O174" s="24"/>
      <c r="P174" s="24">
        <f t="shared" si="5"/>
        <v>0</v>
      </c>
      <c r="Q174" s="23"/>
      <c r="R174" s="24"/>
      <c r="S174" s="49"/>
      <c r="T174" s="24"/>
      <c r="U174" s="24">
        <f t="shared" si="6"/>
        <v>0</v>
      </c>
      <c r="V174" s="24"/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  <c r="AK174" s="16">
        <v>0</v>
      </c>
      <c r="AL174" s="16">
        <v>0</v>
      </c>
      <c r="AM174" s="16">
        <v>0</v>
      </c>
      <c r="AN174" s="16">
        <v>0</v>
      </c>
      <c r="AO174" s="16">
        <v>0</v>
      </c>
      <c r="AP174" s="16">
        <v>0</v>
      </c>
      <c r="AQ174" s="16">
        <v>0</v>
      </c>
      <c r="AR174" s="16">
        <v>0</v>
      </c>
      <c r="AS174" s="16">
        <v>0</v>
      </c>
      <c r="AT174" s="16">
        <v>0</v>
      </c>
      <c r="AU174" s="16">
        <v>0</v>
      </c>
      <c r="AV174" s="16">
        <v>0</v>
      </c>
    </row>
    <row r="175" spans="1:48" ht="14.25" customHeight="1">
      <c r="A175" s="13"/>
      <c r="B175" s="14"/>
      <c r="C175" s="14"/>
      <c r="D175" s="14"/>
      <c r="E175" s="14"/>
      <c r="F175" s="14"/>
      <c r="G175" s="14"/>
      <c r="H175" s="14"/>
      <c r="I175" s="14"/>
      <c r="J175" s="14"/>
      <c r="K175" s="15">
        <f t="shared" si="0"/>
        <v>0</v>
      </c>
      <c r="L175" s="24"/>
      <c r="M175" s="14"/>
      <c r="N175" s="49"/>
      <c r="O175" s="24"/>
      <c r="P175" s="24">
        <f t="shared" si="5"/>
        <v>0</v>
      </c>
      <c r="Q175" s="23"/>
      <c r="R175" s="24"/>
      <c r="S175" s="49"/>
      <c r="T175" s="24"/>
      <c r="U175" s="24">
        <f t="shared" si="6"/>
        <v>0</v>
      </c>
      <c r="V175" s="24"/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  <c r="AK175" s="16">
        <v>0</v>
      </c>
      <c r="AL175" s="16">
        <v>0</v>
      </c>
      <c r="AM175" s="16">
        <v>0</v>
      </c>
      <c r="AN175" s="16">
        <v>0</v>
      </c>
      <c r="AO175" s="16">
        <v>0</v>
      </c>
      <c r="AP175" s="16">
        <v>0</v>
      </c>
      <c r="AQ175" s="16">
        <v>0</v>
      </c>
      <c r="AR175" s="16">
        <v>0</v>
      </c>
      <c r="AS175" s="16">
        <v>0</v>
      </c>
      <c r="AT175" s="16">
        <v>0</v>
      </c>
      <c r="AU175" s="16">
        <v>0</v>
      </c>
      <c r="AV175" s="16">
        <v>0</v>
      </c>
    </row>
    <row r="176" spans="1:48" ht="14.25" customHeight="1">
      <c r="A176" s="13"/>
      <c r="B176" s="14"/>
      <c r="C176" s="14"/>
      <c r="D176" s="14"/>
      <c r="E176" s="14"/>
      <c r="F176" s="14"/>
      <c r="G176" s="14"/>
      <c r="H176" s="14"/>
      <c r="I176" s="14"/>
      <c r="J176" s="14"/>
      <c r="K176" s="15">
        <f t="shared" si="0"/>
        <v>0</v>
      </c>
      <c r="L176" s="24"/>
      <c r="M176" s="14"/>
      <c r="N176" s="49"/>
      <c r="O176" s="24"/>
      <c r="P176" s="24">
        <f t="shared" si="5"/>
        <v>0</v>
      </c>
      <c r="Q176" s="23"/>
      <c r="R176" s="24"/>
      <c r="S176" s="49"/>
      <c r="T176" s="24"/>
      <c r="U176" s="24">
        <f t="shared" si="6"/>
        <v>0</v>
      </c>
      <c r="V176" s="24"/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  <c r="AK176" s="16">
        <v>0</v>
      </c>
      <c r="AL176" s="16">
        <v>0</v>
      </c>
      <c r="AM176" s="16">
        <v>0</v>
      </c>
      <c r="AN176" s="16">
        <v>0</v>
      </c>
      <c r="AO176" s="16">
        <v>0</v>
      </c>
      <c r="AP176" s="16">
        <v>0</v>
      </c>
      <c r="AQ176" s="16">
        <v>0</v>
      </c>
      <c r="AR176" s="16">
        <v>0</v>
      </c>
      <c r="AS176" s="16">
        <v>0</v>
      </c>
      <c r="AT176" s="16">
        <v>0</v>
      </c>
      <c r="AU176" s="16">
        <v>0</v>
      </c>
      <c r="AV176" s="16">
        <v>0</v>
      </c>
    </row>
    <row r="177" spans="1:48" ht="14.25" customHeight="1">
      <c r="A177" s="13"/>
      <c r="B177" s="14"/>
      <c r="C177" s="14"/>
      <c r="D177" s="14"/>
      <c r="E177" s="14"/>
      <c r="F177" s="14"/>
      <c r="G177" s="14"/>
      <c r="H177" s="14"/>
      <c r="I177" s="14"/>
      <c r="J177" s="14"/>
      <c r="K177" s="15">
        <f t="shared" si="0"/>
        <v>0</v>
      </c>
      <c r="L177" s="24"/>
      <c r="M177" s="14"/>
      <c r="N177" s="49"/>
      <c r="O177" s="24"/>
      <c r="P177" s="24">
        <f t="shared" si="5"/>
        <v>0</v>
      </c>
      <c r="Q177" s="23"/>
      <c r="R177" s="24"/>
      <c r="S177" s="49"/>
      <c r="T177" s="24"/>
      <c r="U177" s="24">
        <f t="shared" si="6"/>
        <v>0</v>
      </c>
      <c r="V177" s="24"/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  <c r="AK177" s="16">
        <v>0</v>
      </c>
      <c r="AL177" s="16">
        <v>0</v>
      </c>
      <c r="AM177" s="16">
        <v>0</v>
      </c>
      <c r="AN177" s="16">
        <v>0</v>
      </c>
      <c r="AO177" s="16">
        <v>0</v>
      </c>
      <c r="AP177" s="16">
        <v>0</v>
      </c>
      <c r="AQ177" s="16">
        <v>0</v>
      </c>
      <c r="AR177" s="16">
        <v>0</v>
      </c>
      <c r="AS177" s="16">
        <v>0</v>
      </c>
      <c r="AT177" s="16">
        <v>0</v>
      </c>
      <c r="AU177" s="16">
        <v>0</v>
      </c>
      <c r="AV177" s="16">
        <v>0</v>
      </c>
    </row>
    <row r="178" spans="1:48" ht="14.25" customHeight="1">
      <c r="A178" s="13"/>
      <c r="B178" s="14"/>
      <c r="C178" s="14"/>
      <c r="D178" s="14"/>
      <c r="E178" s="14"/>
      <c r="F178" s="14"/>
      <c r="G178" s="14"/>
      <c r="H178" s="14"/>
      <c r="I178" s="14"/>
      <c r="J178" s="14"/>
      <c r="K178" s="15">
        <f t="shared" si="0"/>
        <v>0</v>
      </c>
      <c r="L178" s="24"/>
      <c r="M178" s="14"/>
      <c r="N178" s="49"/>
      <c r="O178" s="24"/>
      <c r="P178" s="24">
        <f t="shared" si="5"/>
        <v>0</v>
      </c>
      <c r="Q178" s="23"/>
      <c r="R178" s="24"/>
      <c r="S178" s="49"/>
      <c r="T178" s="24"/>
      <c r="U178" s="24">
        <f t="shared" si="6"/>
        <v>0</v>
      </c>
      <c r="V178" s="24"/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  <c r="AK178" s="16">
        <v>0</v>
      </c>
      <c r="AL178" s="16">
        <v>0</v>
      </c>
      <c r="AM178" s="16">
        <v>0</v>
      </c>
      <c r="AN178" s="16">
        <v>0</v>
      </c>
      <c r="AO178" s="16">
        <v>0</v>
      </c>
      <c r="AP178" s="16">
        <v>0</v>
      </c>
      <c r="AQ178" s="16">
        <v>0</v>
      </c>
      <c r="AR178" s="16">
        <v>0</v>
      </c>
      <c r="AS178" s="16">
        <v>0</v>
      </c>
      <c r="AT178" s="16">
        <v>0</v>
      </c>
      <c r="AU178" s="16">
        <v>0</v>
      </c>
      <c r="AV178" s="16">
        <v>0</v>
      </c>
    </row>
    <row r="179" spans="1:48" ht="14.25" customHeight="1">
      <c r="A179" s="13"/>
      <c r="B179" s="14"/>
      <c r="C179" s="14"/>
      <c r="D179" s="14"/>
      <c r="E179" s="14"/>
      <c r="F179" s="14"/>
      <c r="G179" s="14"/>
      <c r="H179" s="14"/>
      <c r="I179" s="14"/>
      <c r="J179" s="14"/>
      <c r="K179" s="15">
        <f t="shared" si="0"/>
        <v>0</v>
      </c>
      <c r="L179" s="24"/>
      <c r="M179" s="14"/>
      <c r="N179" s="49"/>
      <c r="O179" s="24"/>
      <c r="P179" s="24">
        <f t="shared" si="5"/>
        <v>0</v>
      </c>
      <c r="Q179" s="23"/>
      <c r="R179" s="24"/>
      <c r="S179" s="49"/>
      <c r="T179" s="24"/>
      <c r="U179" s="24">
        <f t="shared" si="6"/>
        <v>0</v>
      </c>
      <c r="V179" s="24"/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  <c r="AK179" s="16">
        <v>0</v>
      </c>
      <c r="AL179" s="16">
        <v>0</v>
      </c>
      <c r="AM179" s="16">
        <v>0</v>
      </c>
      <c r="AN179" s="16">
        <v>0</v>
      </c>
      <c r="AO179" s="16">
        <v>0</v>
      </c>
      <c r="AP179" s="16">
        <v>0</v>
      </c>
      <c r="AQ179" s="16">
        <v>0</v>
      </c>
      <c r="AR179" s="16">
        <v>0</v>
      </c>
      <c r="AS179" s="16">
        <v>0</v>
      </c>
      <c r="AT179" s="16">
        <v>0</v>
      </c>
      <c r="AU179" s="16">
        <v>0</v>
      </c>
      <c r="AV179" s="16">
        <v>0</v>
      </c>
    </row>
    <row r="180" spans="1:48" ht="14.25" customHeight="1">
      <c r="A180" s="13"/>
      <c r="B180" s="14"/>
      <c r="C180" s="14"/>
      <c r="D180" s="14"/>
      <c r="E180" s="14"/>
      <c r="F180" s="14"/>
      <c r="G180" s="14"/>
      <c r="H180" s="14"/>
      <c r="I180" s="14"/>
      <c r="J180" s="14"/>
      <c r="K180" s="15">
        <f t="shared" si="0"/>
        <v>0</v>
      </c>
      <c r="L180" s="24"/>
      <c r="M180" s="14"/>
      <c r="N180" s="49"/>
      <c r="O180" s="24"/>
      <c r="P180" s="24">
        <f t="shared" si="5"/>
        <v>0</v>
      </c>
      <c r="Q180" s="23"/>
      <c r="R180" s="24"/>
      <c r="S180" s="49"/>
      <c r="T180" s="24"/>
      <c r="U180" s="24">
        <f t="shared" si="6"/>
        <v>0</v>
      </c>
      <c r="V180" s="24"/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  <c r="AK180" s="16">
        <v>0</v>
      </c>
      <c r="AL180" s="16">
        <v>0</v>
      </c>
      <c r="AM180" s="16">
        <v>0</v>
      </c>
      <c r="AN180" s="16">
        <v>0</v>
      </c>
      <c r="AO180" s="16">
        <v>0</v>
      </c>
      <c r="AP180" s="16">
        <v>0</v>
      </c>
      <c r="AQ180" s="16">
        <v>0</v>
      </c>
      <c r="AR180" s="16">
        <v>0</v>
      </c>
      <c r="AS180" s="16">
        <v>0</v>
      </c>
      <c r="AT180" s="16">
        <v>0</v>
      </c>
      <c r="AU180" s="16">
        <v>0</v>
      </c>
      <c r="AV180" s="16">
        <v>0</v>
      </c>
    </row>
    <row r="181" spans="1:48" ht="14.25" customHeight="1">
      <c r="A181" s="13"/>
      <c r="B181" s="14"/>
      <c r="C181" s="14"/>
      <c r="D181" s="14"/>
      <c r="E181" s="14"/>
      <c r="F181" s="14"/>
      <c r="G181" s="14"/>
      <c r="H181" s="14"/>
      <c r="I181" s="14"/>
      <c r="J181" s="14"/>
      <c r="K181" s="15">
        <f t="shared" si="0"/>
        <v>0</v>
      </c>
      <c r="L181" s="24"/>
      <c r="M181" s="14"/>
      <c r="N181" s="49"/>
      <c r="O181" s="24"/>
      <c r="P181" s="24">
        <f t="shared" si="5"/>
        <v>0</v>
      </c>
      <c r="Q181" s="23"/>
      <c r="R181" s="24"/>
      <c r="S181" s="49"/>
      <c r="T181" s="24"/>
      <c r="U181" s="24">
        <f t="shared" si="6"/>
        <v>0</v>
      </c>
      <c r="V181" s="24"/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  <c r="AK181" s="16">
        <v>0</v>
      </c>
      <c r="AL181" s="16">
        <v>0</v>
      </c>
      <c r="AM181" s="16">
        <v>0</v>
      </c>
      <c r="AN181" s="16">
        <v>0</v>
      </c>
      <c r="AO181" s="16">
        <v>0</v>
      </c>
      <c r="AP181" s="16">
        <v>0</v>
      </c>
      <c r="AQ181" s="16">
        <v>0</v>
      </c>
      <c r="AR181" s="16">
        <v>0</v>
      </c>
      <c r="AS181" s="16">
        <v>0</v>
      </c>
      <c r="AT181" s="16">
        <v>0</v>
      </c>
      <c r="AU181" s="16">
        <v>0</v>
      </c>
      <c r="AV181" s="16">
        <v>0</v>
      </c>
    </row>
    <row r="182" spans="1:48" ht="14.25" customHeight="1">
      <c r="A182" s="13"/>
      <c r="B182" s="14"/>
      <c r="C182" s="14"/>
      <c r="D182" s="14"/>
      <c r="E182" s="14"/>
      <c r="F182" s="14"/>
      <c r="G182" s="14"/>
      <c r="H182" s="14"/>
      <c r="I182" s="14"/>
      <c r="J182" s="14"/>
      <c r="K182" s="15">
        <f t="shared" si="0"/>
        <v>0</v>
      </c>
      <c r="L182" s="24"/>
      <c r="M182" s="14"/>
      <c r="N182" s="49"/>
      <c r="O182" s="24"/>
      <c r="P182" s="24">
        <f t="shared" si="5"/>
        <v>0</v>
      </c>
      <c r="Q182" s="23"/>
      <c r="R182" s="24"/>
      <c r="S182" s="49"/>
      <c r="T182" s="24"/>
      <c r="U182" s="24">
        <f t="shared" si="6"/>
        <v>0</v>
      </c>
      <c r="V182" s="24"/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  <c r="AK182" s="16">
        <v>0</v>
      </c>
      <c r="AL182" s="16">
        <v>0</v>
      </c>
      <c r="AM182" s="16">
        <v>0</v>
      </c>
      <c r="AN182" s="16">
        <v>0</v>
      </c>
      <c r="AO182" s="16">
        <v>0</v>
      </c>
      <c r="AP182" s="16">
        <v>0</v>
      </c>
      <c r="AQ182" s="16">
        <v>0</v>
      </c>
      <c r="AR182" s="16">
        <v>0</v>
      </c>
      <c r="AS182" s="16">
        <v>0</v>
      </c>
      <c r="AT182" s="16">
        <v>0</v>
      </c>
      <c r="AU182" s="16">
        <v>0</v>
      </c>
      <c r="AV182" s="16">
        <v>0</v>
      </c>
    </row>
    <row r="183" spans="1:48" ht="14.25" customHeight="1">
      <c r="A183" s="13"/>
      <c r="B183" s="14"/>
      <c r="C183" s="14"/>
      <c r="D183" s="14"/>
      <c r="E183" s="14"/>
      <c r="F183" s="14"/>
      <c r="G183" s="14"/>
      <c r="H183" s="14"/>
      <c r="I183" s="14"/>
      <c r="J183" s="14"/>
      <c r="K183" s="15">
        <f t="shared" si="0"/>
        <v>0</v>
      </c>
      <c r="L183" s="24"/>
      <c r="M183" s="14"/>
      <c r="N183" s="49"/>
      <c r="O183" s="24"/>
      <c r="P183" s="24">
        <f t="shared" si="5"/>
        <v>0</v>
      </c>
      <c r="Q183" s="23"/>
      <c r="R183" s="24"/>
      <c r="S183" s="49"/>
      <c r="T183" s="24"/>
      <c r="U183" s="24">
        <f t="shared" si="6"/>
        <v>0</v>
      </c>
      <c r="V183" s="24"/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  <c r="AK183" s="16">
        <v>0</v>
      </c>
      <c r="AL183" s="16">
        <v>0</v>
      </c>
      <c r="AM183" s="16">
        <v>0</v>
      </c>
      <c r="AN183" s="16">
        <v>0</v>
      </c>
      <c r="AO183" s="16">
        <v>0</v>
      </c>
      <c r="AP183" s="16">
        <v>0</v>
      </c>
      <c r="AQ183" s="16">
        <v>0</v>
      </c>
      <c r="AR183" s="16">
        <v>0</v>
      </c>
      <c r="AS183" s="16">
        <v>0</v>
      </c>
      <c r="AT183" s="16">
        <v>0</v>
      </c>
      <c r="AU183" s="16">
        <v>0</v>
      </c>
      <c r="AV183" s="16">
        <v>0</v>
      </c>
    </row>
    <row r="184" spans="1:48" ht="14.25" customHeight="1">
      <c r="A184" s="13"/>
      <c r="B184" s="14"/>
      <c r="C184" s="14"/>
      <c r="D184" s="14"/>
      <c r="E184" s="14"/>
      <c r="F184" s="14"/>
      <c r="G184" s="14"/>
      <c r="H184" s="14"/>
      <c r="I184" s="14"/>
      <c r="J184" s="14"/>
      <c r="K184" s="15">
        <f t="shared" si="0"/>
        <v>0</v>
      </c>
      <c r="L184" s="24"/>
      <c r="M184" s="14"/>
      <c r="N184" s="49"/>
      <c r="O184" s="24"/>
      <c r="P184" s="24">
        <f t="shared" si="5"/>
        <v>0</v>
      </c>
      <c r="Q184" s="23"/>
      <c r="R184" s="24"/>
      <c r="S184" s="49"/>
      <c r="T184" s="24"/>
      <c r="U184" s="24">
        <f t="shared" si="6"/>
        <v>0</v>
      </c>
      <c r="V184" s="24"/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  <c r="AK184" s="16">
        <v>0</v>
      </c>
      <c r="AL184" s="16">
        <v>0</v>
      </c>
      <c r="AM184" s="16">
        <v>0</v>
      </c>
      <c r="AN184" s="16">
        <v>0</v>
      </c>
      <c r="AO184" s="16">
        <v>0</v>
      </c>
      <c r="AP184" s="16">
        <v>0</v>
      </c>
      <c r="AQ184" s="16">
        <v>0</v>
      </c>
      <c r="AR184" s="16">
        <v>0</v>
      </c>
      <c r="AS184" s="16">
        <v>0</v>
      </c>
      <c r="AT184" s="16">
        <v>0</v>
      </c>
      <c r="AU184" s="16">
        <v>0</v>
      </c>
      <c r="AV184" s="16">
        <v>0</v>
      </c>
    </row>
    <row r="185" spans="1:48" ht="14.25" customHeight="1">
      <c r="A185" s="13"/>
      <c r="B185" s="14"/>
      <c r="C185" s="14"/>
      <c r="D185" s="14"/>
      <c r="E185" s="14"/>
      <c r="F185" s="14"/>
      <c r="G185" s="14"/>
      <c r="H185" s="14"/>
      <c r="I185" s="14"/>
      <c r="J185" s="14"/>
      <c r="K185" s="15">
        <f t="shared" si="0"/>
        <v>0</v>
      </c>
      <c r="L185" s="24"/>
      <c r="M185" s="14"/>
      <c r="N185" s="49"/>
      <c r="O185" s="24"/>
      <c r="P185" s="24">
        <f t="shared" si="5"/>
        <v>0</v>
      </c>
      <c r="Q185" s="23"/>
      <c r="R185" s="24"/>
      <c r="S185" s="49"/>
      <c r="T185" s="24"/>
      <c r="U185" s="24">
        <f t="shared" si="6"/>
        <v>0</v>
      </c>
      <c r="V185" s="24"/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  <c r="AK185" s="16">
        <v>0</v>
      </c>
      <c r="AL185" s="16">
        <v>0</v>
      </c>
      <c r="AM185" s="16">
        <v>0</v>
      </c>
      <c r="AN185" s="16">
        <v>0</v>
      </c>
      <c r="AO185" s="16">
        <v>0</v>
      </c>
      <c r="AP185" s="16">
        <v>0</v>
      </c>
      <c r="AQ185" s="16">
        <v>0</v>
      </c>
      <c r="AR185" s="16">
        <v>0</v>
      </c>
      <c r="AS185" s="16">
        <v>0</v>
      </c>
      <c r="AT185" s="16">
        <v>0</v>
      </c>
      <c r="AU185" s="16">
        <v>0</v>
      </c>
      <c r="AV185" s="16">
        <v>0</v>
      </c>
    </row>
    <row r="186" spans="1:48" ht="14.25" customHeight="1">
      <c r="A186" s="13"/>
      <c r="B186" s="14"/>
      <c r="C186" s="14"/>
      <c r="D186" s="14"/>
      <c r="E186" s="14"/>
      <c r="F186" s="14"/>
      <c r="G186" s="14"/>
      <c r="H186" s="14"/>
      <c r="I186" s="14"/>
      <c r="J186" s="14"/>
      <c r="K186" s="15">
        <f t="shared" si="0"/>
        <v>0</v>
      </c>
      <c r="L186" s="24"/>
      <c r="M186" s="14"/>
      <c r="N186" s="49"/>
      <c r="O186" s="24"/>
      <c r="P186" s="24">
        <f t="shared" si="5"/>
        <v>0</v>
      </c>
      <c r="Q186" s="23"/>
      <c r="R186" s="24"/>
      <c r="S186" s="49"/>
      <c r="T186" s="24"/>
      <c r="U186" s="24">
        <f t="shared" si="6"/>
        <v>0</v>
      </c>
      <c r="V186" s="24"/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  <c r="AK186" s="16">
        <v>0</v>
      </c>
      <c r="AL186" s="16">
        <v>0</v>
      </c>
      <c r="AM186" s="16">
        <v>0</v>
      </c>
      <c r="AN186" s="16">
        <v>0</v>
      </c>
      <c r="AO186" s="16">
        <v>0</v>
      </c>
      <c r="AP186" s="16">
        <v>0</v>
      </c>
      <c r="AQ186" s="16">
        <v>0</v>
      </c>
      <c r="AR186" s="16">
        <v>0</v>
      </c>
      <c r="AS186" s="16">
        <v>0</v>
      </c>
      <c r="AT186" s="16">
        <v>0</v>
      </c>
      <c r="AU186" s="16">
        <v>0</v>
      </c>
      <c r="AV186" s="16">
        <v>0</v>
      </c>
    </row>
    <row r="187" spans="1:48" ht="14.25" customHeight="1">
      <c r="A187" s="13"/>
      <c r="B187" s="14"/>
      <c r="C187" s="14"/>
      <c r="D187" s="14"/>
      <c r="E187" s="14"/>
      <c r="F187" s="14"/>
      <c r="G187" s="14"/>
      <c r="H187" s="14"/>
      <c r="I187" s="14"/>
      <c r="J187" s="14"/>
      <c r="K187" s="15">
        <f t="shared" si="0"/>
        <v>0</v>
      </c>
      <c r="L187" s="24"/>
      <c r="M187" s="14"/>
      <c r="N187" s="49"/>
      <c r="O187" s="24"/>
      <c r="P187" s="24">
        <f t="shared" si="5"/>
        <v>0</v>
      </c>
      <c r="Q187" s="23"/>
      <c r="R187" s="24"/>
      <c r="S187" s="49"/>
      <c r="T187" s="24"/>
      <c r="U187" s="24">
        <f t="shared" si="6"/>
        <v>0</v>
      </c>
      <c r="V187" s="24"/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  <c r="AK187" s="16">
        <v>0</v>
      </c>
      <c r="AL187" s="16">
        <v>0</v>
      </c>
      <c r="AM187" s="16">
        <v>0</v>
      </c>
      <c r="AN187" s="16">
        <v>0</v>
      </c>
      <c r="AO187" s="16">
        <v>0</v>
      </c>
      <c r="AP187" s="16">
        <v>0</v>
      </c>
      <c r="AQ187" s="16">
        <v>0</v>
      </c>
      <c r="AR187" s="16">
        <v>0</v>
      </c>
      <c r="AS187" s="16">
        <v>0</v>
      </c>
      <c r="AT187" s="16">
        <v>0</v>
      </c>
      <c r="AU187" s="16">
        <v>0</v>
      </c>
      <c r="AV187" s="16">
        <v>0</v>
      </c>
    </row>
    <row r="188" spans="1:48" ht="14.25" customHeight="1">
      <c r="A188" s="13"/>
      <c r="B188" s="14"/>
      <c r="C188" s="14"/>
      <c r="D188" s="14"/>
      <c r="E188" s="14"/>
      <c r="F188" s="14"/>
      <c r="G188" s="14"/>
      <c r="H188" s="14"/>
      <c r="I188" s="14"/>
      <c r="J188" s="14"/>
      <c r="K188" s="15">
        <f t="shared" si="0"/>
        <v>0</v>
      </c>
      <c r="L188" s="24"/>
      <c r="M188" s="14"/>
      <c r="N188" s="49"/>
      <c r="O188" s="24"/>
      <c r="P188" s="24">
        <f t="shared" si="5"/>
        <v>0</v>
      </c>
      <c r="Q188" s="23"/>
      <c r="R188" s="24"/>
      <c r="S188" s="49"/>
      <c r="T188" s="24"/>
      <c r="U188" s="24">
        <f t="shared" si="6"/>
        <v>0</v>
      </c>
      <c r="V188" s="24"/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  <c r="AI188" s="16">
        <v>0</v>
      </c>
      <c r="AJ188" s="16">
        <v>0</v>
      </c>
      <c r="AK188" s="16">
        <v>0</v>
      </c>
      <c r="AL188" s="16">
        <v>0</v>
      </c>
      <c r="AM188" s="16">
        <v>0</v>
      </c>
      <c r="AN188" s="16">
        <v>0</v>
      </c>
      <c r="AO188" s="16">
        <v>0</v>
      </c>
      <c r="AP188" s="16">
        <v>0</v>
      </c>
      <c r="AQ188" s="16">
        <v>0</v>
      </c>
      <c r="AR188" s="16">
        <v>0</v>
      </c>
      <c r="AS188" s="16">
        <v>0</v>
      </c>
      <c r="AT188" s="16">
        <v>0</v>
      </c>
      <c r="AU188" s="16">
        <v>0</v>
      </c>
      <c r="AV188" s="16">
        <v>0</v>
      </c>
    </row>
    <row r="189" spans="1:48" ht="14.25" customHeight="1">
      <c r="A189" s="13"/>
      <c r="B189" s="14"/>
      <c r="C189" s="14"/>
      <c r="D189" s="14"/>
      <c r="E189" s="14"/>
      <c r="F189" s="14"/>
      <c r="G189" s="14"/>
      <c r="H189" s="14"/>
      <c r="I189" s="14"/>
      <c r="J189" s="14"/>
      <c r="K189" s="15">
        <f t="shared" si="0"/>
        <v>0</v>
      </c>
      <c r="L189" s="24"/>
      <c r="M189" s="14"/>
      <c r="N189" s="49"/>
      <c r="O189" s="24"/>
      <c r="P189" s="24">
        <f t="shared" si="5"/>
        <v>0</v>
      </c>
      <c r="Q189" s="23"/>
      <c r="R189" s="24"/>
      <c r="S189" s="49"/>
      <c r="T189" s="24"/>
      <c r="U189" s="24">
        <f t="shared" si="6"/>
        <v>0</v>
      </c>
      <c r="V189" s="24"/>
      <c r="AA189" s="16">
        <v>0</v>
      </c>
      <c r="AB189" s="16">
        <v>0</v>
      </c>
      <c r="AC189" s="16">
        <v>0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  <c r="AI189" s="16">
        <v>0</v>
      </c>
      <c r="AJ189" s="16">
        <v>0</v>
      </c>
      <c r="AK189" s="16">
        <v>0</v>
      </c>
      <c r="AL189" s="16">
        <v>0</v>
      </c>
      <c r="AM189" s="16">
        <v>0</v>
      </c>
      <c r="AN189" s="16">
        <v>0</v>
      </c>
      <c r="AO189" s="16">
        <v>0</v>
      </c>
      <c r="AP189" s="16">
        <v>0</v>
      </c>
      <c r="AQ189" s="16">
        <v>0</v>
      </c>
      <c r="AR189" s="16">
        <v>0</v>
      </c>
      <c r="AS189" s="16">
        <v>0</v>
      </c>
      <c r="AT189" s="16">
        <v>0</v>
      </c>
      <c r="AU189" s="16">
        <v>0</v>
      </c>
      <c r="AV189" s="16">
        <v>0</v>
      </c>
    </row>
    <row r="190" spans="1:48" ht="14.25" customHeight="1">
      <c r="A190" s="13"/>
      <c r="B190" s="14"/>
      <c r="C190" s="14"/>
      <c r="D190" s="14"/>
      <c r="E190" s="14"/>
      <c r="F190" s="14"/>
      <c r="G190" s="14"/>
      <c r="H190" s="14"/>
      <c r="I190" s="14"/>
      <c r="J190" s="14"/>
      <c r="K190" s="15">
        <f t="shared" si="0"/>
        <v>0</v>
      </c>
      <c r="L190" s="24"/>
      <c r="M190" s="14"/>
      <c r="N190" s="49"/>
      <c r="O190" s="24"/>
      <c r="P190" s="24">
        <f t="shared" si="5"/>
        <v>0</v>
      </c>
      <c r="Q190" s="23"/>
      <c r="R190" s="24"/>
      <c r="S190" s="49"/>
      <c r="T190" s="24"/>
      <c r="U190" s="24">
        <f t="shared" si="6"/>
        <v>0</v>
      </c>
      <c r="V190" s="24"/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  <c r="AI190" s="16">
        <v>0</v>
      </c>
      <c r="AJ190" s="16">
        <v>0</v>
      </c>
      <c r="AK190" s="16">
        <v>0</v>
      </c>
      <c r="AL190" s="16">
        <v>0</v>
      </c>
      <c r="AM190" s="16">
        <v>0</v>
      </c>
      <c r="AN190" s="16">
        <v>0</v>
      </c>
      <c r="AO190" s="16">
        <v>0</v>
      </c>
      <c r="AP190" s="16">
        <v>0</v>
      </c>
      <c r="AQ190" s="16">
        <v>0</v>
      </c>
      <c r="AR190" s="16">
        <v>0</v>
      </c>
      <c r="AS190" s="16">
        <v>0</v>
      </c>
      <c r="AT190" s="16">
        <v>0</v>
      </c>
      <c r="AU190" s="16">
        <v>0</v>
      </c>
      <c r="AV190" s="16">
        <v>0</v>
      </c>
    </row>
    <row r="191" spans="1:48" ht="14.25" customHeight="1">
      <c r="A191" s="13"/>
      <c r="B191" s="14"/>
      <c r="C191" s="14"/>
      <c r="D191" s="14"/>
      <c r="E191" s="14"/>
      <c r="F191" s="14"/>
      <c r="G191" s="14"/>
      <c r="H191" s="14"/>
      <c r="I191" s="14"/>
      <c r="J191" s="14"/>
      <c r="K191" s="15">
        <f t="shared" si="0"/>
        <v>0</v>
      </c>
      <c r="L191" s="24"/>
      <c r="M191" s="14"/>
      <c r="N191" s="49"/>
      <c r="O191" s="24"/>
      <c r="P191" s="24">
        <f t="shared" si="5"/>
        <v>0</v>
      </c>
      <c r="Q191" s="23"/>
      <c r="R191" s="24"/>
      <c r="S191" s="49"/>
      <c r="T191" s="24"/>
      <c r="U191" s="24">
        <f t="shared" si="6"/>
        <v>0</v>
      </c>
      <c r="V191" s="24"/>
      <c r="AA191" s="16">
        <v>0</v>
      </c>
      <c r="AB191" s="16">
        <v>0</v>
      </c>
      <c r="AC191" s="16">
        <v>0</v>
      </c>
      <c r="AD191" s="16">
        <v>0</v>
      </c>
      <c r="AE191" s="16">
        <v>0</v>
      </c>
      <c r="AF191" s="16">
        <v>0</v>
      </c>
      <c r="AG191" s="16">
        <v>0</v>
      </c>
      <c r="AH191" s="16">
        <v>0</v>
      </c>
      <c r="AI191" s="16">
        <v>0</v>
      </c>
      <c r="AJ191" s="16">
        <v>0</v>
      </c>
      <c r="AK191" s="16">
        <v>0</v>
      </c>
      <c r="AL191" s="16">
        <v>0</v>
      </c>
      <c r="AM191" s="16">
        <v>0</v>
      </c>
      <c r="AN191" s="16">
        <v>0</v>
      </c>
      <c r="AO191" s="16">
        <v>0</v>
      </c>
      <c r="AP191" s="16">
        <v>0</v>
      </c>
      <c r="AQ191" s="16">
        <v>0</v>
      </c>
      <c r="AR191" s="16">
        <v>0</v>
      </c>
      <c r="AS191" s="16">
        <v>0</v>
      </c>
      <c r="AT191" s="16">
        <v>0</v>
      </c>
      <c r="AU191" s="16">
        <v>0</v>
      </c>
      <c r="AV191" s="16">
        <v>0</v>
      </c>
    </row>
    <row r="192" spans="1:48" ht="14.25" customHeight="1">
      <c r="A192" s="13"/>
      <c r="B192" s="14"/>
      <c r="C192" s="14"/>
      <c r="D192" s="14"/>
      <c r="E192" s="14"/>
      <c r="F192" s="14"/>
      <c r="G192" s="14"/>
      <c r="H192" s="14"/>
      <c r="I192" s="14"/>
      <c r="J192" s="14"/>
      <c r="K192" s="15">
        <f t="shared" si="0"/>
        <v>0</v>
      </c>
      <c r="L192" s="24"/>
      <c r="M192" s="14"/>
      <c r="N192" s="49"/>
      <c r="O192" s="24"/>
      <c r="P192" s="24">
        <f t="shared" si="5"/>
        <v>0</v>
      </c>
      <c r="Q192" s="23"/>
      <c r="R192" s="24"/>
      <c r="S192" s="49"/>
      <c r="T192" s="24"/>
      <c r="U192" s="24">
        <f t="shared" si="6"/>
        <v>0</v>
      </c>
      <c r="V192" s="24"/>
      <c r="AA192" s="16">
        <v>0</v>
      </c>
      <c r="AB192" s="16">
        <v>0</v>
      </c>
      <c r="AC192" s="16">
        <v>0</v>
      </c>
      <c r="AD192" s="16">
        <v>0</v>
      </c>
      <c r="AE192" s="16">
        <v>0</v>
      </c>
      <c r="AF192" s="16">
        <v>0</v>
      </c>
      <c r="AG192" s="16">
        <v>0</v>
      </c>
      <c r="AH192" s="16">
        <v>0</v>
      </c>
      <c r="AI192" s="16">
        <v>0</v>
      </c>
      <c r="AJ192" s="16">
        <v>0</v>
      </c>
      <c r="AK192" s="16">
        <v>0</v>
      </c>
      <c r="AL192" s="16">
        <v>0</v>
      </c>
      <c r="AM192" s="16">
        <v>0</v>
      </c>
      <c r="AN192" s="16">
        <v>0</v>
      </c>
      <c r="AO192" s="16">
        <v>0</v>
      </c>
      <c r="AP192" s="16">
        <v>0</v>
      </c>
      <c r="AQ192" s="16">
        <v>0</v>
      </c>
      <c r="AR192" s="16">
        <v>0</v>
      </c>
      <c r="AS192" s="16">
        <v>0</v>
      </c>
      <c r="AT192" s="16">
        <v>0</v>
      </c>
      <c r="AU192" s="16">
        <v>0</v>
      </c>
      <c r="AV192" s="16">
        <v>0</v>
      </c>
    </row>
    <row r="193" spans="1:48" ht="14.25" customHeight="1">
      <c r="A193" s="13"/>
      <c r="B193" s="14"/>
      <c r="C193" s="14"/>
      <c r="D193" s="14"/>
      <c r="E193" s="14"/>
      <c r="F193" s="14"/>
      <c r="G193" s="14"/>
      <c r="H193" s="14"/>
      <c r="I193" s="14"/>
      <c r="J193" s="14"/>
      <c r="K193" s="15">
        <f t="shared" si="0"/>
        <v>0</v>
      </c>
      <c r="L193" s="24"/>
      <c r="M193" s="14"/>
      <c r="N193" s="49"/>
      <c r="O193" s="24"/>
      <c r="P193" s="24">
        <f t="shared" si="5"/>
        <v>0</v>
      </c>
      <c r="Q193" s="23"/>
      <c r="R193" s="24"/>
      <c r="S193" s="49"/>
      <c r="T193" s="24"/>
      <c r="U193" s="24">
        <f t="shared" si="6"/>
        <v>0</v>
      </c>
      <c r="V193" s="24"/>
      <c r="AA193" s="16">
        <v>0</v>
      </c>
      <c r="AB193" s="16">
        <v>0</v>
      </c>
      <c r="AC193" s="16">
        <v>0</v>
      </c>
      <c r="AD193" s="16">
        <v>0</v>
      </c>
      <c r="AE193" s="16">
        <v>0</v>
      </c>
      <c r="AF193" s="16">
        <v>0</v>
      </c>
      <c r="AG193" s="16">
        <v>0</v>
      </c>
      <c r="AH193" s="16">
        <v>0</v>
      </c>
      <c r="AI193" s="16">
        <v>0</v>
      </c>
      <c r="AJ193" s="16">
        <v>0</v>
      </c>
      <c r="AK193" s="16">
        <v>0</v>
      </c>
      <c r="AL193" s="16">
        <v>0</v>
      </c>
      <c r="AM193" s="16">
        <v>0</v>
      </c>
      <c r="AN193" s="16">
        <v>0</v>
      </c>
      <c r="AO193" s="16">
        <v>0</v>
      </c>
      <c r="AP193" s="16">
        <v>0</v>
      </c>
      <c r="AQ193" s="16">
        <v>0</v>
      </c>
      <c r="AR193" s="16">
        <v>0</v>
      </c>
      <c r="AS193" s="16">
        <v>0</v>
      </c>
      <c r="AT193" s="16">
        <v>0</v>
      </c>
      <c r="AU193" s="16">
        <v>0</v>
      </c>
      <c r="AV193" s="16">
        <v>0</v>
      </c>
    </row>
    <row r="194" spans="1:48" ht="14.25" customHeight="1">
      <c r="A194" s="13"/>
      <c r="B194" s="14"/>
      <c r="C194" s="14"/>
      <c r="D194" s="14"/>
      <c r="E194" s="14"/>
      <c r="F194" s="14"/>
      <c r="G194" s="14"/>
      <c r="H194" s="14"/>
      <c r="I194" s="14"/>
      <c r="J194" s="14"/>
      <c r="K194" s="15">
        <f t="shared" si="0"/>
        <v>0</v>
      </c>
      <c r="L194" s="24"/>
      <c r="M194" s="14"/>
      <c r="N194" s="49"/>
      <c r="O194" s="24"/>
      <c r="P194" s="24">
        <f t="shared" si="5"/>
        <v>0</v>
      </c>
      <c r="Q194" s="23"/>
      <c r="R194" s="24"/>
      <c r="S194" s="49"/>
      <c r="T194" s="24"/>
      <c r="U194" s="24">
        <f t="shared" si="6"/>
        <v>0</v>
      </c>
      <c r="V194" s="24"/>
      <c r="AA194" s="16">
        <v>0</v>
      </c>
      <c r="AB194" s="16">
        <v>0</v>
      </c>
      <c r="AC194" s="16">
        <v>0</v>
      </c>
      <c r="AD194" s="16">
        <v>0</v>
      </c>
      <c r="AE194" s="16">
        <v>0</v>
      </c>
      <c r="AF194" s="16">
        <v>0</v>
      </c>
      <c r="AG194" s="16">
        <v>0</v>
      </c>
      <c r="AH194" s="16">
        <v>0</v>
      </c>
      <c r="AI194" s="16">
        <v>0</v>
      </c>
      <c r="AJ194" s="16">
        <v>0</v>
      </c>
      <c r="AK194" s="16">
        <v>0</v>
      </c>
      <c r="AL194" s="16">
        <v>0</v>
      </c>
      <c r="AM194" s="16">
        <v>0</v>
      </c>
      <c r="AN194" s="16">
        <v>0</v>
      </c>
      <c r="AO194" s="16">
        <v>0</v>
      </c>
      <c r="AP194" s="16">
        <v>0</v>
      </c>
      <c r="AQ194" s="16">
        <v>0</v>
      </c>
      <c r="AR194" s="16">
        <v>0</v>
      </c>
      <c r="AS194" s="16">
        <v>0</v>
      </c>
      <c r="AT194" s="16">
        <v>0</v>
      </c>
      <c r="AU194" s="16">
        <v>0</v>
      </c>
      <c r="AV194" s="16">
        <v>0</v>
      </c>
    </row>
    <row r="195" spans="1:48" ht="14.25" customHeight="1">
      <c r="A195" s="13"/>
      <c r="B195" s="14"/>
      <c r="C195" s="14"/>
      <c r="D195" s="14"/>
      <c r="E195" s="14"/>
      <c r="F195" s="14"/>
      <c r="G195" s="14"/>
      <c r="H195" s="14"/>
      <c r="I195" s="14"/>
      <c r="J195" s="14"/>
      <c r="K195" s="15">
        <f t="shared" si="0"/>
        <v>0</v>
      </c>
      <c r="L195" s="24"/>
      <c r="M195" s="14"/>
      <c r="N195" s="49"/>
      <c r="O195" s="24"/>
      <c r="P195" s="24">
        <f t="shared" ref="P195:P258" si="7">O195-K195</f>
        <v>0</v>
      </c>
      <c r="Q195" s="23"/>
      <c r="R195" s="24"/>
      <c r="S195" s="49"/>
      <c r="T195" s="24"/>
      <c r="U195" s="24">
        <f t="shared" ref="U195:U258" si="8">T195-O195</f>
        <v>0</v>
      </c>
      <c r="V195" s="24"/>
      <c r="AA195" s="16">
        <v>0</v>
      </c>
      <c r="AB195" s="16">
        <v>0</v>
      </c>
      <c r="AC195" s="16">
        <v>0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  <c r="AI195" s="16">
        <v>0</v>
      </c>
      <c r="AJ195" s="16">
        <v>0</v>
      </c>
      <c r="AK195" s="16">
        <v>0</v>
      </c>
      <c r="AL195" s="16">
        <v>0</v>
      </c>
      <c r="AM195" s="16">
        <v>0</v>
      </c>
      <c r="AN195" s="16">
        <v>0</v>
      </c>
      <c r="AO195" s="16">
        <v>0</v>
      </c>
      <c r="AP195" s="16">
        <v>0</v>
      </c>
      <c r="AQ195" s="16">
        <v>0</v>
      </c>
      <c r="AR195" s="16">
        <v>0</v>
      </c>
      <c r="AS195" s="16">
        <v>0</v>
      </c>
      <c r="AT195" s="16">
        <v>0</v>
      </c>
      <c r="AU195" s="16">
        <v>0</v>
      </c>
      <c r="AV195" s="16">
        <v>0</v>
      </c>
    </row>
    <row r="196" spans="1:48" ht="14.25" customHeight="1">
      <c r="A196" s="13"/>
      <c r="B196" s="14"/>
      <c r="C196" s="14"/>
      <c r="D196" s="14"/>
      <c r="E196" s="14"/>
      <c r="F196" s="14"/>
      <c r="G196" s="14"/>
      <c r="H196" s="14"/>
      <c r="I196" s="14"/>
      <c r="J196" s="14"/>
      <c r="K196" s="15">
        <f t="shared" si="0"/>
        <v>0</v>
      </c>
      <c r="L196" s="24"/>
      <c r="M196" s="14"/>
      <c r="N196" s="49"/>
      <c r="O196" s="24"/>
      <c r="P196" s="24">
        <f t="shared" si="7"/>
        <v>0</v>
      </c>
      <c r="Q196" s="23"/>
      <c r="R196" s="24"/>
      <c r="S196" s="49"/>
      <c r="T196" s="24"/>
      <c r="U196" s="24">
        <f t="shared" si="8"/>
        <v>0</v>
      </c>
      <c r="V196" s="24"/>
      <c r="AA196" s="16">
        <v>0</v>
      </c>
      <c r="AB196" s="16">
        <v>0</v>
      </c>
      <c r="AC196" s="16">
        <v>0</v>
      </c>
      <c r="AD196" s="16">
        <v>0</v>
      </c>
      <c r="AE196" s="16">
        <v>0</v>
      </c>
      <c r="AF196" s="16">
        <v>0</v>
      </c>
      <c r="AG196" s="16">
        <v>0</v>
      </c>
      <c r="AH196" s="16">
        <v>0</v>
      </c>
      <c r="AI196" s="16">
        <v>0</v>
      </c>
      <c r="AJ196" s="16">
        <v>0</v>
      </c>
      <c r="AK196" s="16">
        <v>0</v>
      </c>
      <c r="AL196" s="16">
        <v>0</v>
      </c>
      <c r="AM196" s="16">
        <v>0</v>
      </c>
      <c r="AN196" s="16">
        <v>0</v>
      </c>
      <c r="AO196" s="16">
        <v>0</v>
      </c>
      <c r="AP196" s="16">
        <v>0</v>
      </c>
      <c r="AQ196" s="16">
        <v>0</v>
      </c>
      <c r="AR196" s="16">
        <v>0</v>
      </c>
      <c r="AS196" s="16">
        <v>0</v>
      </c>
      <c r="AT196" s="16">
        <v>0</v>
      </c>
      <c r="AU196" s="16">
        <v>0</v>
      </c>
      <c r="AV196" s="16">
        <v>0</v>
      </c>
    </row>
    <row r="197" spans="1:48" ht="14.25" customHeight="1">
      <c r="A197" s="13"/>
      <c r="B197" s="14"/>
      <c r="C197" s="14"/>
      <c r="D197" s="14"/>
      <c r="E197" s="14"/>
      <c r="F197" s="14"/>
      <c r="G197" s="14"/>
      <c r="H197" s="14"/>
      <c r="I197" s="14"/>
      <c r="J197" s="14"/>
      <c r="K197" s="15">
        <f t="shared" si="0"/>
        <v>0</v>
      </c>
      <c r="L197" s="24"/>
      <c r="M197" s="14"/>
      <c r="N197" s="49"/>
      <c r="O197" s="24"/>
      <c r="P197" s="24">
        <f t="shared" si="7"/>
        <v>0</v>
      </c>
      <c r="Q197" s="23"/>
      <c r="R197" s="24"/>
      <c r="S197" s="49"/>
      <c r="T197" s="24"/>
      <c r="U197" s="24">
        <f t="shared" si="8"/>
        <v>0</v>
      </c>
      <c r="V197" s="24"/>
      <c r="AA197" s="16">
        <v>0</v>
      </c>
      <c r="AB197" s="16">
        <v>0</v>
      </c>
      <c r="AC197" s="16">
        <v>0</v>
      </c>
      <c r="AD197" s="16">
        <v>0</v>
      </c>
      <c r="AE197" s="16">
        <v>0</v>
      </c>
      <c r="AF197" s="16">
        <v>0</v>
      </c>
      <c r="AG197" s="16">
        <v>0</v>
      </c>
      <c r="AH197" s="16">
        <v>0</v>
      </c>
      <c r="AI197" s="16">
        <v>0</v>
      </c>
      <c r="AJ197" s="16">
        <v>0</v>
      </c>
      <c r="AK197" s="16">
        <v>0</v>
      </c>
      <c r="AL197" s="16">
        <v>0</v>
      </c>
      <c r="AM197" s="16">
        <v>0</v>
      </c>
      <c r="AN197" s="16">
        <v>0</v>
      </c>
      <c r="AO197" s="16">
        <v>0</v>
      </c>
      <c r="AP197" s="16">
        <v>0</v>
      </c>
      <c r="AQ197" s="16">
        <v>0</v>
      </c>
      <c r="AR197" s="16">
        <v>0</v>
      </c>
      <c r="AS197" s="16">
        <v>0</v>
      </c>
      <c r="AT197" s="16">
        <v>0</v>
      </c>
      <c r="AU197" s="16">
        <v>0</v>
      </c>
      <c r="AV197" s="16">
        <v>0</v>
      </c>
    </row>
    <row r="198" spans="1:48" ht="14.25" customHeight="1">
      <c r="A198" s="13"/>
      <c r="B198" s="14"/>
      <c r="C198" s="14"/>
      <c r="D198" s="14"/>
      <c r="E198" s="14"/>
      <c r="F198" s="14"/>
      <c r="G198" s="14"/>
      <c r="H198" s="14"/>
      <c r="I198" s="14"/>
      <c r="J198" s="14"/>
      <c r="K198" s="15">
        <f t="shared" si="0"/>
        <v>0</v>
      </c>
      <c r="L198" s="24"/>
      <c r="M198" s="14"/>
      <c r="N198" s="49"/>
      <c r="O198" s="24"/>
      <c r="P198" s="24">
        <f t="shared" si="7"/>
        <v>0</v>
      </c>
      <c r="Q198" s="23"/>
      <c r="R198" s="24"/>
      <c r="S198" s="49"/>
      <c r="T198" s="24"/>
      <c r="U198" s="24">
        <f t="shared" si="8"/>
        <v>0</v>
      </c>
      <c r="V198" s="24"/>
      <c r="AA198" s="16">
        <v>0</v>
      </c>
      <c r="AB198" s="16">
        <v>0</v>
      </c>
      <c r="AC198" s="16">
        <v>0</v>
      </c>
      <c r="AD198" s="16">
        <v>0</v>
      </c>
      <c r="AE198" s="16">
        <v>0</v>
      </c>
      <c r="AF198" s="16">
        <v>0</v>
      </c>
      <c r="AG198" s="16">
        <v>0</v>
      </c>
      <c r="AH198" s="16">
        <v>0</v>
      </c>
      <c r="AI198" s="16">
        <v>0</v>
      </c>
      <c r="AJ198" s="16">
        <v>0</v>
      </c>
      <c r="AK198" s="16">
        <v>0</v>
      </c>
      <c r="AL198" s="16">
        <v>0</v>
      </c>
      <c r="AM198" s="16">
        <v>0</v>
      </c>
      <c r="AN198" s="16">
        <v>0</v>
      </c>
      <c r="AO198" s="16">
        <v>0</v>
      </c>
      <c r="AP198" s="16">
        <v>0</v>
      </c>
      <c r="AQ198" s="16">
        <v>0</v>
      </c>
      <c r="AR198" s="16">
        <v>0</v>
      </c>
      <c r="AS198" s="16">
        <v>0</v>
      </c>
      <c r="AT198" s="16">
        <v>0</v>
      </c>
      <c r="AU198" s="16">
        <v>0</v>
      </c>
      <c r="AV198" s="16">
        <v>0</v>
      </c>
    </row>
    <row r="199" spans="1:48" ht="14.25" customHeight="1">
      <c r="A199" s="13"/>
      <c r="B199" s="14"/>
      <c r="C199" s="14"/>
      <c r="D199" s="14"/>
      <c r="E199" s="14"/>
      <c r="F199" s="14"/>
      <c r="G199" s="14"/>
      <c r="H199" s="14"/>
      <c r="I199" s="14"/>
      <c r="J199" s="14"/>
      <c r="K199" s="15">
        <f t="shared" si="0"/>
        <v>0</v>
      </c>
      <c r="L199" s="24"/>
      <c r="M199" s="14"/>
      <c r="N199" s="49"/>
      <c r="O199" s="24"/>
      <c r="P199" s="24">
        <f t="shared" si="7"/>
        <v>0</v>
      </c>
      <c r="Q199" s="23"/>
      <c r="R199" s="24"/>
      <c r="S199" s="49"/>
      <c r="T199" s="24"/>
      <c r="U199" s="24">
        <f t="shared" si="8"/>
        <v>0</v>
      </c>
      <c r="V199" s="24"/>
      <c r="AA199" s="16">
        <v>0</v>
      </c>
      <c r="AB199" s="16">
        <v>0</v>
      </c>
      <c r="AC199" s="16">
        <v>0</v>
      </c>
      <c r="AD199" s="16">
        <v>0</v>
      </c>
      <c r="AE199" s="16">
        <v>0</v>
      </c>
      <c r="AF199" s="16">
        <v>0</v>
      </c>
      <c r="AG199" s="16">
        <v>0</v>
      </c>
      <c r="AH199" s="16">
        <v>0</v>
      </c>
      <c r="AI199" s="16">
        <v>0</v>
      </c>
      <c r="AJ199" s="16">
        <v>0</v>
      </c>
      <c r="AK199" s="16">
        <v>0</v>
      </c>
      <c r="AL199" s="16">
        <v>0</v>
      </c>
      <c r="AM199" s="16">
        <v>0</v>
      </c>
      <c r="AN199" s="16">
        <v>0</v>
      </c>
      <c r="AO199" s="16">
        <v>0</v>
      </c>
      <c r="AP199" s="16">
        <v>0</v>
      </c>
      <c r="AQ199" s="16">
        <v>0</v>
      </c>
      <c r="AR199" s="16">
        <v>0</v>
      </c>
      <c r="AS199" s="16">
        <v>0</v>
      </c>
      <c r="AT199" s="16">
        <v>0</v>
      </c>
      <c r="AU199" s="16">
        <v>0</v>
      </c>
      <c r="AV199" s="16">
        <v>0</v>
      </c>
    </row>
    <row r="200" spans="1:48" ht="14.25" customHeight="1">
      <c r="A200" s="13"/>
      <c r="B200" s="14"/>
      <c r="C200" s="14"/>
      <c r="D200" s="14"/>
      <c r="E200" s="14"/>
      <c r="F200" s="14"/>
      <c r="G200" s="14"/>
      <c r="H200" s="14"/>
      <c r="I200" s="14"/>
      <c r="J200" s="14"/>
      <c r="K200" s="15">
        <f t="shared" ref="K200:K209" si="9">SUM(D3690:J3690)</f>
        <v>0</v>
      </c>
      <c r="L200" s="24"/>
      <c r="M200" s="14"/>
      <c r="N200" s="49"/>
      <c r="O200" s="24"/>
      <c r="P200" s="24">
        <f t="shared" ref="P200:P209" si="10">O3690-K3690</f>
        <v>0</v>
      </c>
      <c r="Q200" s="23"/>
      <c r="R200" s="24"/>
      <c r="S200" s="49"/>
      <c r="T200" s="24"/>
      <c r="U200" s="24">
        <f t="shared" ref="U200:U209" si="11">T3690-O3690</f>
        <v>0</v>
      </c>
      <c r="V200" s="24"/>
      <c r="AA200" s="16">
        <v>0</v>
      </c>
      <c r="AB200" s="16">
        <v>0</v>
      </c>
      <c r="AC200" s="16">
        <v>0</v>
      </c>
      <c r="AD200" s="16">
        <v>0</v>
      </c>
      <c r="AE200" s="16">
        <v>0</v>
      </c>
      <c r="AF200" s="16">
        <v>0</v>
      </c>
      <c r="AG200" s="16">
        <v>0</v>
      </c>
      <c r="AH200" s="16">
        <v>0</v>
      </c>
      <c r="AI200" s="16">
        <v>0</v>
      </c>
      <c r="AJ200" s="16">
        <v>0</v>
      </c>
      <c r="AK200" s="16">
        <v>0</v>
      </c>
      <c r="AL200" s="16">
        <v>0</v>
      </c>
      <c r="AM200" s="16">
        <v>0</v>
      </c>
      <c r="AN200" s="16">
        <v>0</v>
      </c>
      <c r="AO200" s="16">
        <v>0</v>
      </c>
      <c r="AP200" s="16">
        <v>0</v>
      </c>
      <c r="AQ200" s="16">
        <v>0</v>
      </c>
      <c r="AR200" s="16">
        <v>0</v>
      </c>
      <c r="AS200" s="16">
        <v>0</v>
      </c>
      <c r="AT200" s="16">
        <v>0</v>
      </c>
      <c r="AU200" s="16">
        <v>0</v>
      </c>
      <c r="AV200" s="16">
        <v>0</v>
      </c>
    </row>
    <row r="201" spans="1:48" ht="14.25" customHeight="1">
      <c r="A201" s="13"/>
      <c r="B201" s="14"/>
      <c r="C201" s="14"/>
      <c r="D201" s="14"/>
      <c r="E201" s="14"/>
      <c r="F201" s="14"/>
      <c r="G201" s="14"/>
      <c r="H201" s="14"/>
      <c r="I201" s="14"/>
      <c r="J201" s="14"/>
      <c r="K201" s="15">
        <f t="shared" si="9"/>
        <v>0</v>
      </c>
      <c r="L201" s="24"/>
      <c r="M201" s="14"/>
      <c r="N201" s="49"/>
      <c r="O201" s="24"/>
      <c r="P201" s="24">
        <f t="shared" si="10"/>
        <v>0</v>
      </c>
      <c r="Q201" s="23"/>
      <c r="R201" s="24"/>
      <c r="S201" s="49"/>
      <c r="T201" s="24"/>
      <c r="U201" s="24">
        <f t="shared" si="11"/>
        <v>0</v>
      </c>
      <c r="V201" s="24"/>
      <c r="AA201" s="16">
        <v>0</v>
      </c>
      <c r="AB201" s="16">
        <v>0</v>
      </c>
      <c r="AC201" s="16">
        <v>0</v>
      </c>
      <c r="AD201" s="16">
        <v>0</v>
      </c>
      <c r="AE201" s="16">
        <v>0</v>
      </c>
      <c r="AF201" s="16">
        <v>0</v>
      </c>
      <c r="AG201" s="16">
        <v>0</v>
      </c>
      <c r="AH201" s="16">
        <v>0</v>
      </c>
      <c r="AI201" s="16">
        <v>0</v>
      </c>
      <c r="AJ201" s="16">
        <v>0</v>
      </c>
      <c r="AK201" s="16">
        <v>0</v>
      </c>
      <c r="AL201" s="16">
        <v>0</v>
      </c>
      <c r="AM201" s="16">
        <v>0</v>
      </c>
      <c r="AN201" s="16">
        <v>0</v>
      </c>
      <c r="AO201" s="16">
        <v>0</v>
      </c>
      <c r="AP201" s="16">
        <v>0</v>
      </c>
      <c r="AQ201" s="16">
        <v>0</v>
      </c>
      <c r="AR201" s="16">
        <v>0</v>
      </c>
      <c r="AS201" s="16">
        <v>0</v>
      </c>
      <c r="AT201" s="16">
        <v>0</v>
      </c>
      <c r="AU201" s="16">
        <v>0</v>
      </c>
      <c r="AV201" s="16">
        <v>0</v>
      </c>
    </row>
    <row r="202" spans="1:48" ht="14.25" customHeight="1">
      <c r="A202" s="13"/>
      <c r="B202" s="14"/>
      <c r="C202" s="14"/>
      <c r="D202" s="14"/>
      <c r="E202" s="14"/>
      <c r="F202" s="14"/>
      <c r="G202" s="14"/>
      <c r="H202" s="14"/>
      <c r="I202" s="14"/>
      <c r="J202" s="14"/>
      <c r="K202" s="15">
        <f t="shared" si="9"/>
        <v>0</v>
      </c>
      <c r="L202" s="24"/>
      <c r="M202" s="14"/>
      <c r="N202" s="49"/>
      <c r="O202" s="24"/>
      <c r="P202" s="24">
        <f t="shared" si="10"/>
        <v>0</v>
      </c>
      <c r="Q202" s="23"/>
      <c r="R202" s="24"/>
      <c r="S202" s="49"/>
      <c r="T202" s="24"/>
      <c r="U202" s="24">
        <f t="shared" si="11"/>
        <v>0</v>
      </c>
      <c r="V202" s="24"/>
      <c r="AA202" s="16">
        <v>0</v>
      </c>
      <c r="AB202" s="16">
        <v>0</v>
      </c>
      <c r="AC202" s="16">
        <v>0</v>
      </c>
      <c r="AD202" s="16">
        <v>0</v>
      </c>
      <c r="AE202" s="16">
        <v>0</v>
      </c>
      <c r="AF202" s="16">
        <v>0</v>
      </c>
      <c r="AG202" s="16">
        <v>0</v>
      </c>
      <c r="AH202" s="16">
        <v>0</v>
      </c>
      <c r="AI202" s="16">
        <v>0</v>
      </c>
      <c r="AJ202" s="16">
        <v>0</v>
      </c>
      <c r="AK202" s="16">
        <v>0</v>
      </c>
      <c r="AL202" s="16">
        <v>0</v>
      </c>
      <c r="AM202" s="16">
        <v>0</v>
      </c>
      <c r="AN202" s="16">
        <v>0</v>
      </c>
      <c r="AO202" s="16">
        <v>0</v>
      </c>
      <c r="AP202" s="16">
        <v>0</v>
      </c>
      <c r="AQ202" s="16">
        <v>0</v>
      </c>
      <c r="AR202" s="16">
        <v>0</v>
      </c>
      <c r="AS202" s="16">
        <v>0</v>
      </c>
      <c r="AT202" s="16">
        <v>0</v>
      </c>
      <c r="AU202" s="16">
        <v>0</v>
      </c>
      <c r="AV202" s="16">
        <v>0</v>
      </c>
    </row>
    <row r="203" spans="1:48" ht="14.25" customHeight="1">
      <c r="A203" s="13"/>
      <c r="B203" s="14"/>
      <c r="C203" s="14"/>
      <c r="D203" s="14"/>
      <c r="E203" s="14"/>
      <c r="F203" s="14"/>
      <c r="G203" s="14"/>
      <c r="H203" s="14"/>
      <c r="I203" s="14"/>
      <c r="J203" s="14"/>
      <c r="K203" s="15">
        <f t="shared" si="9"/>
        <v>0</v>
      </c>
      <c r="L203" s="24"/>
      <c r="M203" s="14"/>
      <c r="N203" s="49"/>
      <c r="O203" s="24"/>
      <c r="P203" s="24">
        <f t="shared" si="10"/>
        <v>0</v>
      </c>
      <c r="Q203" s="23"/>
      <c r="R203" s="24"/>
      <c r="S203" s="49"/>
      <c r="T203" s="24"/>
      <c r="U203" s="24">
        <f t="shared" si="11"/>
        <v>0</v>
      </c>
      <c r="V203" s="24"/>
      <c r="AA203" s="16">
        <v>0</v>
      </c>
      <c r="AB203" s="16">
        <v>0</v>
      </c>
      <c r="AC203" s="16">
        <v>0</v>
      </c>
      <c r="AD203" s="16">
        <v>0</v>
      </c>
      <c r="AE203" s="16">
        <v>0</v>
      </c>
      <c r="AF203" s="16">
        <v>0</v>
      </c>
      <c r="AG203" s="16">
        <v>0</v>
      </c>
      <c r="AH203" s="16">
        <v>0</v>
      </c>
      <c r="AI203" s="16">
        <v>0</v>
      </c>
      <c r="AJ203" s="16">
        <v>0</v>
      </c>
      <c r="AK203" s="16">
        <v>0</v>
      </c>
      <c r="AL203" s="16">
        <v>0</v>
      </c>
      <c r="AM203" s="16">
        <v>0</v>
      </c>
      <c r="AN203" s="16">
        <v>0</v>
      </c>
      <c r="AO203" s="16">
        <v>0</v>
      </c>
      <c r="AP203" s="16">
        <v>0</v>
      </c>
      <c r="AQ203" s="16">
        <v>0</v>
      </c>
      <c r="AR203" s="16">
        <v>0</v>
      </c>
      <c r="AS203" s="16">
        <v>0</v>
      </c>
      <c r="AT203" s="16">
        <v>0</v>
      </c>
      <c r="AU203" s="16">
        <v>0</v>
      </c>
      <c r="AV203" s="16">
        <v>0</v>
      </c>
    </row>
    <row r="204" spans="1:48" ht="14.25" customHeight="1">
      <c r="A204" s="13"/>
      <c r="B204" s="14"/>
      <c r="C204" s="14"/>
      <c r="D204" s="14"/>
      <c r="E204" s="14"/>
      <c r="F204" s="14"/>
      <c r="G204" s="14"/>
      <c r="H204" s="14"/>
      <c r="I204" s="14"/>
      <c r="J204" s="14"/>
      <c r="K204" s="15">
        <f t="shared" si="9"/>
        <v>0</v>
      </c>
      <c r="L204" s="24"/>
      <c r="M204" s="14"/>
      <c r="N204" s="49"/>
      <c r="O204" s="24"/>
      <c r="P204" s="24">
        <f t="shared" si="10"/>
        <v>0</v>
      </c>
      <c r="Q204" s="23"/>
      <c r="R204" s="24"/>
      <c r="S204" s="49"/>
      <c r="T204" s="24"/>
      <c r="U204" s="24">
        <f t="shared" si="11"/>
        <v>0</v>
      </c>
      <c r="V204" s="24"/>
      <c r="AA204" s="16">
        <v>0</v>
      </c>
      <c r="AB204" s="16">
        <v>0</v>
      </c>
      <c r="AC204" s="16">
        <v>0</v>
      </c>
      <c r="AD204" s="16">
        <v>0</v>
      </c>
      <c r="AE204" s="16">
        <v>0</v>
      </c>
      <c r="AF204" s="16">
        <v>0</v>
      </c>
      <c r="AG204" s="16">
        <v>0</v>
      </c>
      <c r="AH204" s="16">
        <v>0</v>
      </c>
      <c r="AI204" s="16">
        <v>0</v>
      </c>
      <c r="AJ204" s="16">
        <v>0</v>
      </c>
      <c r="AK204" s="16">
        <v>0</v>
      </c>
      <c r="AL204" s="16">
        <v>0</v>
      </c>
      <c r="AM204" s="16">
        <v>0</v>
      </c>
      <c r="AN204" s="16">
        <v>0</v>
      </c>
      <c r="AO204" s="16">
        <v>0</v>
      </c>
      <c r="AP204" s="16">
        <v>0</v>
      </c>
      <c r="AQ204" s="16">
        <v>0</v>
      </c>
      <c r="AR204" s="16">
        <v>0</v>
      </c>
      <c r="AS204" s="16">
        <v>0</v>
      </c>
      <c r="AT204" s="16">
        <v>0</v>
      </c>
      <c r="AU204" s="16">
        <v>0</v>
      </c>
      <c r="AV204" s="16">
        <v>0</v>
      </c>
    </row>
    <row r="205" spans="1:48" ht="14.25" customHeight="1">
      <c r="A205" s="13"/>
      <c r="B205" s="14"/>
      <c r="C205" s="14"/>
      <c r="D205" s="14"/>
      <c r="E205" s="14"/>
      <c r="F205" s="14"/>
      <c r="G205" s="14"/>
      <c r="H205" s="14"/>
      <c r="I205" s="14"/>
      <c r="J205" s="14"/>
      <c r="K205" s="15">
        <f t="shared" si="9"/>
        <v>0</v>
      </c>
      <c r="L205" s="24"/>
      <c r="M205" s="14"/>
      <c r="N205" s="49"/>
      <c r="O205" s="24"/>
      <c r="P205" s="24">
        <f t="shared" si="10"/>
        <v>0</v>
      </c>
      <c r="Q205" s="23"/>
      <c r="R205" s="24"/>
      <c r="S205" s="49"/>
      <c r="T205" s="24"/>
      <c r="U205" s="24">
        <f t="shared" si="11"/>
        <v>0</v>
      </c>
      <c r="V205" s="24"/>
      <c r="AA205" s="16">
        <v>0</v>
      </c>
      <c r="AB205" s="16">
        <v>0</v>
      </c>
      <c r="AC205" s="16">
        <v>0</v>
      </c>
      <c r="AD205" s="16">
        <v>0</v>
      </c>
      <c r="AE205" s="16">
        <v>0</v>
      </c>
      <c r="AF205" s="16">
        <v>0</v>
      </c>
      <c r="AG205" s="16">
        <v>0</v>
      </c>
      <c r="AH205" s="16">
        <v>0</v>
      </c>
      <c r="AI205" s="16">
        <v>0</v>
      </c>
      <c r="AJ205" s="16">
        <v>0</v>
      </c>
      <c r="AK205" s="16">
        <v>0</v>
      </c>
      <c r="AL205" s="16">
        <v>0</v>
      </c>
      <c r="AM205" s="16">
        <v>0</v>
      </c>
      <c r="AN205" s="16">
        <v>0</v>
      </c>
      <c r="AO205" s="16">
        <v>0</v>
      </c>
      <c r="AP205" s="16">
        <v>0</v>
      </c>
      <c r="AQ205" s="16">
        <v>0</v>
      </c>
      <c r="AR205" s="16">
        <v>0</v>
      </c>
      <c r="AS205" s="16">
        <v>0</v>
      </c>
      <c r="AT205" s="16">
        <v>0</v>
      </c>
      <c r="AU205" s="16">
        <v>0</v>
      </c>
      <c r="AV205" s="16">
        <v>0</v>
      </c>
    </row>
    <row r="206" spans="1:48" ht="14.25" customHeight="1">
      <c r="A206" s="13"/>
      <c r="B206" s="14"/>
      <c r="C206" s="14"/>
      <c r="D206" s="14"/>
      <c r="E206" s="14"/>
      <c r="F206" s="14"/>
      <c r="G206" s="14"/>
      <c r="H206" s="14"/>
      <c r="I206" s="14"/>
      <c r="J206" s="14"/>
      <c r="K206" s="15">
        <f t="shared" si="9"/>
        <v>0</v>
      </c>
      <c r="L206" s="24"/>
      <c r="M206" s="14"/>
      <c r="N206" s="49"/>
      <c r="O206" s="24"/>
      <c r="P206" s="24">
        <f t="shared" si="10"/>
        <v>0</v>
      </c>
      <c r="Q206" s="23"/>
      <c r="R206" s="24"/>
      <c r="S206" s="49"/>
      <c r="T206" s="24"/>
      <c r="U206" s="24">
        <f t="shared" si="11"/>
        <v>0</v>
      </c>
      <c r="V206" s="24"/>
      <c r="AA206" s="16">
        <v>0</v>
      </c>
      <c r="AB206" s="16">
        <v>0</v>
      </c>
      <c r="AC206" s="16">
        <v>0</v>
      </c>
      <c r="AD206" s="16">
        <v>0</v>
      </c>
      <c r="AE206" s="16">
        <v>0</v>
      </c>
      <c r="AF206" s="16">
        <v>0</v>
      </c>
      <c r="AG206" s="16">
        <v>0</v>
      </c>
      <c r="AH206" s="16">
        <v>0</v>
      </c>
      <c r="AI206" s="16">
        <v>0</v>
      </c>
      <c r="AJ206" s="16">
        <v>0</v>
      </c>
      <c r="AK206" s="16">
        <v>0</v>
      </c>
      <c r="AL206" s="16">
        <v>0</v>
      </c>
      <c r="AM206" s="16">
        <v>0</v>
      </c>
      <c r="AN206" s="16">
        <v>0</v>
      </c>
      <c r="AO206" s="16">
        <v>0</v>
      </c>
      <c r="AP206" s="16">
        <v>0</v>
      </c>
      <c r="AQ206" s="16">
        <v>0</v>
      </c>
      <c r="AR206" s="16">
        <v>0</v>
      </c>
      <c r="AS206" s="16">
        <v>0</v>
      </c>
      <c r="AT206" s="16">
        <v>0</v>
      </c>
      <c r="AU206" s="16">
        <v>0</v>
      </c>
      <c r="AV206" s="16">
        <v>0</v>
      </c>
    </row>
    <row r="207" spans="1:48" ht="14.25" customHeight="1">
      <c r="A207" s="13"/>
      <c r="B207" s="14"/>
      <c r="C207" s="14"/>
      <c r="D207" s="14"/>
      <c r="E207" s="14"/>
      <c r="F207" s="14"/>
      <c r="G207" s="14"/>
      <c r="H207" s="14"/>
      <c r="I207" s="14"/>
      <c r="J207" s="14"/>
      <c r="K207" s="15">
        <f t="shared" si="9"/>
        <v>0</v>
      </c>
      <c r="L207" s="24"/>
      <c r="M207" s="14"/>
      <c r="N207" s="49"/>
      <c r="O207" s="24"/>
      <c r="P207" s="24">
        <f t="shared" si="10"/>
        <v>0</v>
      </c>
      <c r="Q207" s="23"/>
      <c r="R207" s="24"/>
      <c r="S207" s="49"/>
      <c r="T207" s="24"/>
      <c r="U207" s="24">
        <f t="shared" si="11"/>
        <v>0</v>
      </c>
      <c r="V207" s="24"/>
      <c r="AA207" s="16">
        <v>0</v>
      </c>
      <c r="AB207" s="16">
        <v>0</v>
      </c>
      <c r="AC207" s="16">
        <v>0</v>
      </c>
      <c r="AD207" s="16">
        <v>0</v>
      </c>
      <c r="AE207" s="16">
        <v>0</v>
      </c>
      <c r="AF207" s="16">
        <v>0</v>
      </c>
      <c r="AG207" s="16">
        <v>0</v>
      </c>
      <c r="AH207" s="16">
        <v>0</v>
      </c>
      <c r="AI207" s="16">
        <v>0</v>
      </c>
      <c r="AJ207" s="16">
        <v>0</v>
      </c>
      <c r="AK207" s="16">
        <v>0</v>
      </c>
      <c r="AL207" s="16">
        <v>0</v>
      </c>
      <c r="AM207" s="16">
        <v>0</v>
      </c>
      <c r="AN207" s="16">
        <v>0</v>
      </c>
      <c r="AO207" s="16">
        <v>0</v>
      </c>
      <c r="AP207" s="16">
        <v>0</v>
      </c>
      <c r="AQ207" s="16">
        <v>0</v>
      </c>
      <c r="AR207" s="16">
        <v>0</v>
      </c>
      <c r="AS207" s="16">
        <v>0</v>
      </c>
      <c r="AT207" s="16">
        <v>0</v>
      </c>
      <c r="AU207" s="16">
        <v>0</v>
      </c>
      <c r="AV207" s="16">
        <v>0</v>
      </c>
    </row>
    <row r="208" spans="1:48" ht="14.25" customHeight="1">
      <c r="A208" s="13"/>
      <c r="B208" s="14"/>
      <c r="C208" s="14"/>
      <c r="D208" s="14"/>
      <c r="E208" s="14"/>
      <c r="F208" s="14"/>
      <c r="G208" s="14"/>
      <c r="H208" s="14"/>
      <c r="I208" s="14"/>
      <c r="J208" s="14"/>
      <c r="K208" s="15">
        <f t="shared" si="9"/>
        <v>0</v>
      </c>
      <c r="L208" s="24"/>
      <c r="M208" s="14"/>
      <c r="N208" s="49"/>
      <c r="O208" s="24"/>
      <c r="P208" s="24">
        <f t="shared" si="10"/>
        <v>0</v>
      </c>
      <c r="Q208" s="23"/>
      <c r="R208" s="24"/>
      <c r="S208" s="49"/>
      <c r="T208" s="24"/>
      <c r="U208" s="24">
        <f t="shared" si="11"/>
        <v>0</v>
      </c>
      <c r="V208" s="24"/>
      <c r="AA208" s="16">
        <v>0</v>
      </c>
      <c r="AB208" s="16">
        <v>0</v>
      </c>
      <c r="AC208" s="16">
        <v>0</v>
      </c>
      <c r="AD208" s="16">
        <v>0</v>
      </c>
      <c r="AE208" s="16">
        <v>0</v>
      </c>
      <c r="AF208" s="16">
        <v>0</v>
      </c>
      <c r="AG208" s="16">
        <v>0</v>
      </c>
      <c r="AH208" s="16">
        <v>0</v>
      </c>
      <c r="AI208" s="16">
        <v>0</v>
      </c>
      <c r="AJ208" s="16">
        <v>0</v>
      </c>
      <c r="AK208" s="16">
        <v>0</v>
      </c>
      <c r="AL208" s="16">
        <v>0</v>
      </c>
      <c r="AM208" s="16">
        <v>0</v>
      </c>
      <c r="AN208" s="16">
        <v>0</v>
      </c>
      <c r="AO208" s="16">
        <v>0</v>
      </c>
      <c r="AP208" s="16">
        <v>0</v>
      </c>
      <c r="AQ208" s="16">
        <v>0</v>
      </c>
      <c r="AR208" s="16">
        <v>0</v>
      </c>
      <c r="AS208" s="16">
        <v>0</v>
      </c>
      <c r="AT208" s="16">
        <v>0</v>
      </c>
      <c r="AU208" s="16">
        <v>0</v>
      </c>
      <c r="AV208" s="16">
        <v>0</v>
      </c>
    </row>
    <row r="209" spans="1:48" ht="14.25" customHeight="1">
      <c r="A209" s="13"/>
      <c r="B209" s="14"/>
      <c r="C209" s="14"/>
      <c r="D209" s="14"/>
      <c r="E209" s="14"/>
      <c r="F209" s="14"/>
      <c r="G209" s="14"/>
      <c r="H209" s="14"/>
      <c r="I209" s="14"/>
      <c r="J209" s="14"/>
      <c r="K209" s="15">
        <f t="shared" si="9"/>
        <v>0</v>
      </c>
      <c r="L209" s="24"/>
      <c r="M209" s="14"/>
      <c r="N209" s="49"/>
      <c r="O209" s="24"/>
      <c r="P209" s="24">
        <f t="shared" si="10"/>
        <v>0</v>
      </c>
      <c r="Q209" s="23"/>
      <c r="R209" s="24"/>
      <c r="S209" s="49"/>
      <c r="T209" s="24"/>
      <c r="U209" s="24">
        <f t="shared" si="11"/>
        <v>0</v>
      </c>
      <c r="V209" s="24"/>
      <c r="AA209" s="16">
        <v>0</v>
      </c>
      <c r="AB209" s="16">
        <v>0</v>
      </c>
      <c r="AC209" s="16">
        <v>0</v>
      </c>
      <c r="AD209" s="16">
        <v>0</v>
      </c>
      <c r="AE209" s="16">
        <v>0</v>
      </c>
      <c r="AF209" s="16">
        <v>0</v>
      </c>
      <c r="AG209" s="16">
        <v>0</v>
      </c>
      <c r="AH209" s="16">
        <v>0</v>
      </c>
      <c r="AI209" s="16">
        <v>0</v>
      </c>
      <c r="AJ209" s="16">
        <v>0</v>
      </c>
      <c r="AK209" s="16">
        <v>0</v>
      </c>
      <c r="AL209" s="16">
        <v>0</v>
      </c>
      <c r="AM209" s="16">
        <v>0</v>
      </c>
      <c r="AN209" s="16">
        <v>0</v>
      </c>
      <c r="AO209" s="16">
        <v>0</v>
      </c>
      <c r="AP209" s="16">
        <v>0</v>
      </c>
      <c r="AQ209" s="16">
        <v>0</v>
      </c>
      <c r="AR209" s="16">
        <v>0</v>
      </c>
      <c r="AS209" s="16">
        <v>0</v>
      </c>
      <c r="AT209" s="16">
        <v>0</v>
      </c>
      <c r="AU209" s="16">
        <v>0</v>
      </c>
      <c r="AV209" s="16">
        <v>0</v>
      </c>
    </row>
    <row r="210" spans="1:48" ht="14.25" customHeight="1">
      <c r="A210" s="13"/>
      <c r="B210" s="14"/>
      <c r="C210" s="14"/>
      <c r="D210" s="14"/>
      <c r="E210" s="14"/>
      <c r="F210" s="14"/>
      <c r="G210" s="14"/>
      <c r="H210" s="14"/>
      <c r="I210" s="14"/>
      <c r="J210" s="14"/>
      <c r="K210" s="15">
        <f t="shared" si="0"/>
        <v>0</v>
      </c>
      <c r="L210" s="24"/>
      <c r="M210" s="14"/>
      <c r="N210" s="49"/>
      <c r="O210" s="24"/>
      <c r="P210" s="24">
        <f t="shared" si="7"/>
        <v>0</v>
      </c>
      <c r="Q210" s="23"/>
      <c r="R210" s="24"/>
      <c r="S210" s="49"/>
      <c r="T210" s="24"/>
      <c r="U210" s="24">
        <f t="shared" si="8"/>
        <v>0</v>
      </c>
      <c r="V210" s="24"/>
      <c r="AA210" s="16">
        <v>0</v>
      </c>
      <c r="AB210" s="16">
        <v>0</v>
      </c>
      <c r="AC210" s="16">
        <v>0</v>
      </c>
      <c r="AD210" s="16">
        <v>0</v>
      </c>
      <c r="AE210" s="16">
        <v>0</v>
      </c>
      <c r="AF210" s="16">
        <v>0</v>
      </c>
      <c r="AG210" s="16">
        <v>0</v>
      </c>
      <c r="AH210" s="16">
        <v>0</v>
      </c>
      <c r="AI210" s="16">
        <v>0</v>
      </c>
      <c r="AJ210" s="16">
        <v>0</v>
      </c>
      <c r="AK210" s="16">
        <v>0</v>
      </c>
      <c r="AL210" s="16">
        <v>0</v>
      </c>
      <c r="AM210" s="16">
        <v>0</v>
      </c>
      <c r="AN210" s="16">
        <v>0</v>
      </c>
      <c r="AO210" s="16">
        <v>0</v>
      </c>
      <c r="AP210" s="16">
        <v>0</v>
      </c>
      <c r="AQ210" s="16">
        <v>0</v>
      </c>
      <c r="AR210" s="16">
        <v>0</v>
      </c>
      <c r="AS210" s="16">
        <v>0</v>
      </c>
      <c r="AT210" s="16">
        <v>0</v>
      </c>
      <c r="AU210" s="16">
        <v>0</v>
      </c>
      <c r="AV210" s="16">
        <v>0</v>
      </c>
    </row>
    <row r="211" spans="1:48" ht="14.25" customHeight="1">
      <c r="A211" s="13"/>
      <c r="B211" s="14"/>
      <c r="C211" s="14"/>
      <c r="D211" s="14"/>
      <c r="E211" s="14"/>
      <c r="F211" s="14"/>
      <c r="G211" s="14"/>
      <c r="H211" s="14"/>
      <c r="I211" s="14"/>
      <c r="J211" s="14"/>
      <c r="K211" s="15">
        <f t="shared" si="0"/>
        <v>0</v>
      </c>
      <c r="L211" s="24"/>
      <c r="M211" s="14"/>
      <c r="N211" s="49"/>
      <c r="O211" s="24"/>
      <c r="P211" s="24">
        <f t="shared" si="7"/>
        <v>0</v>
      </c>
      <c r="Q211" s="23"/>
      <c r="R211" s="24"/>
      <c r="S211" s="49"/>
      <c r="T211" s="24"/>
      <c r="U211" s="24">
        <f t="shared" si="8"/>
        <v>0</v>
      </c>
      <c r="V211" s="24"/>
      <c r="AA211" s="16">
        <v>0</v>
      </c>
      <c r="AB211" s="16">
        <v>0</v>
      </c>
      <c r="AC211" s="16">
        <v>0</v>
      </c>
      <c r="AD211" s="16">
        <v>0</v>
      </c>
      <c r="AE211" s="16">
        <v>0</v>
      </c>
      <c r="AF211" s="16">
        <v>0</v>
      </c>
      <c r="AG211" s="16">
        <v>0</v>
      </c>
      <c r="AH211" s="16">
        <v>0</v>
      </c>
      <c r="AI211" s="16">
        <v>0</v>
      </c>
      <c r="AJ211" s="16">
        <v>0</v>
      </c>
      <c r="AK211" s="16">
        <v>0</v>
      </c>
      <c r="AL211" s="16">
        <v>0</v>
      </c>
      <c r="AM211" s="16">
        <v>0</v>
      </c>
      <c r="AN211" s="16">
        <v>0</v>
      </c>
      <c r="AO211" s="16">
        <v>0</v>
      </c>
      <c r="AP211" s="16">
        <v>0</v>
      </c>
      <c r="AQ211" s="16">
        <v>0</v>
      </c>
      <c r="AR211" s="16">
        <v>0</v>
      </c>
      <c r="AS211" s="16">
        <v>0</v>
      </c>
      <c r="AT211" s="16">
        <v>0</v>
      </c>
      <c r="AU211" s="16">
        <v>0</v>
      </c>
      <c r="AV211" s="16">
        <v>0</v>
      </c>
    </row>
    <row r="212" spans="1:48" ht="14.25" customHeight="1">
      <c r="A212" s="13"/>
      <c r="B212" s="14"/>
      <c r="C212" s="14"/>
      <c r="D212" s="14"/>
      <c r="E212" s="14"/>
      <c r="F212" s="14"/>
      <c r="G212" s="14"/>
      <c r="H212" s="14"/>
      <c r="I212" s="14"/>
      <c r="J212" s="14"/>
      <c r="K212" s="15">
        <f t="shared" si="0"/>
        <v>0</v>
      </c>
      <c r="L212" s="24"/>
      <c r="M212" s="14"/>
      <c r="N212" s="49"/>
      <c r="O212" s="24"/>
      <c r="P212" s="24">
        <f t="shared" si="7"/>
        <v>0</v>
      </c>
      <c r="Q212" s="23"/>
      <c r="R212" s="24"/>
      <c r="S212" s="49"/>
      <c r="T212" s="24"/>
      <c r="U212" s="24">
        <f t="shared" si="8"/>
        <v>0</v>
      </c>
      <c r="V212" s="24"/>
      <c r="AA212" s="16">
        <v>0</v>
      </c>
      <c r="AB212" s="16">
        <v>0</v>
      </c>
      <c r="AC212" s="16">
        <v>0</v>
      </c>
      <c r="AD212" s="16">
        <v>0</v>
      </c>
      <c r="AE212" s="16">
        <v>0</v>
      </c>
      <c r="AF212" s="16">
        <v>0</v>
      </c>
      <c r="AG212" s="16">
        <v>0</v>
      </c>
      <c r="AH212" s="16">
        <v>0</v>
      </c>
      <c r="AI212" s="16">
        <v>0</v>
      </c>
      <c r="AJ212" s="16">
        <v>0</v>
      </c>
      <c r="AK212" s="16">
        <v>0</v>
      </c>
      <c r="AL212" s="16">
        <v>0</v>
      </c>
      <c r="AM212" s="16">
        <v>0</v>
      </c>
      <c r="AN212" s="16">
        <v>0</v>
      </c>
      <c r="AO212" s="16">
        <v>0</v>
      </c>
      <c r="AP212" s="16">
        <v>0</v>
      </c>
      <c r="AQ212" s="16">
        <v>0</v>
      </c>
      <c r="AR212" s="16">
        <v>0</v>
      </c>
      <c r="AS212" s="16">
        <v>0</v>
      </c>
      <c r="AT212" s="16">
        <v>0</v>
      </c>
      <c r="AU212" s="16">
        <v>0</v>
      </c>
      <c r="AV212" s="16">
        <v>0</v>
      </c>
    </row>
    <row r="213" spans="1:48" ht="14.25" customHeight="1">
      <c r="A213" s="13"/>
      <c r="B213" s="14"/>
      <c r="C213" s="14"/>
      <c r="D213" s="14"/>
      <c r="E213" s="14"/>
      <c r="F213" s="14"/>
      <c r="G213" s="14"/>
      <c r="H213" s="14"/>
      <c r="I213" s="14"/>
      <c r="J213" s="14"/>
      <c r="K213" s="15">
        <f t="shared" si="0"/>
        <v>0</v>
      </c>
      <c r="L213" s="24"/>
      <c r="M213" s="14"/>
      <c r="N213" s="49"/>
      <c r="O213" s="24"/>
      <c r="P213" s="24">
        <f t="shared" si="7"/>
        <v>0</v>
      </c>
      <c r="Q213" s="23"/>
      <c r="R213" s="24"/>
      <c r="S213" s="49"/>
      <c r="T213" s="24"/>
      <c r="U213" s="24">
        <f t="shared" si="8"/>
        <v>0</v>
      </c>
      <c r="V213" s="24"/>
      <c r="AA213" s="16">
        <v>0</v>
      </c>
      <c r="AB213" s="16">
        <v>0</v>
      </c>
      <c r="AC213" s="16">
        <v>0</v>
      </c>
      <c r="AD213" s="16">
        <v>0</v>
      </c>
      <c r="AE213" s="16">
        <v>0</v>
      </c>
      <c r="AF213" s="16">
        <v>0</v>
      </c>
      <c r="AG213" s="16">
        <v>0</v>
      </c>
      <c r="AH213" s="16">
        <v>0</v>
      </c>
      <c r="AI213" s="16">
        <v>0</v>
      </c>
      <c r="AJ213" s="16">
        <v>0</v>
      </c>
      <c r="AK213" s="16">
        <v>0</v>
      </c>
      <c r="AL213" s="16">
        <v>0</v>
      </c>
      <c r="AM213" s="16">
        <v>0</v>
      </c>
      <c r="AN213" s="16">
        <v>0</v>
      </c>
      <c r="AO213" s="16">
        <v>0</v>
      </c>
      <c r="AP213" s="16">
        <v>0</v>
      </c>
      <c r="AQ213" s="16">
        <v>0</v>
      </c>
      <c r="AR213" s="16">
        <v>0</v>
      </c>
      <c r="AS213" s="16">
        <v>0</v>
      </c>
      <c r="AT213" s="16">
        <v>0</v>
      </c>
      <c r="AU213" s="16">
        <v>0</v>
      </c>
      <c r="AV213" s="16">
        <v>0</v>
      </c>
    </row>
    <row r="214" spans="1:48" ht="14.25" customHeight="1">
      <c r="A214" s="13"/>
      <c r="B214" s="14"/>
      <c r="C214" s="14"/>
      <c r="D214" s="14"/>
      <c r="E214" s="14"/>
      <c r="F214" s="14"/>
      <c r="G214" s="14"/>
      <c r="H214" s="14"/>
      <c r="I214" s="14"/>
      <c r="J214" s="14"/>
      <c r="K214" s="15">
        <f t="shared" si="0"/>
        <v>0</v>
      </c>
      <c r="L214" s="24"/>
      <c r="M214" s="14"/>
      <c r="N214" s="49"/>
      <c r="O214" s="24"/>
      <c r="P214" s="24">
        <f t="shared" si="7"/>
        <v>0</v>
      </c>
      <c r="Q214" s="23"/>
      <c r="R214" s="24"/>
      <c r="S214" s="49"/>
      <c r="T214" s="24"/>
      <c r="U214" s="24">
        <f t="shared" si="8"/>
        <v>0</v>
      </c>
      <c r="V214" s="24"/>
      <c r="AA214" s="16">
        <v>0</v>
      </c>
      <c r="AB214" s="16">
        <v>0</v>
      </c>
      <c r="AC214" s="16">
        <v>0</v>
      </c>
      <c r="AD214" s="16">
        <v>0</v>
      </c>
      <c r="AE214" s="16">
        <v>0</v>
      </c>
      <c r="AF214" s="16">
        <v>0</v>
      </c>
      <c r="AG214" s="16">
        <v>0</v>
      </c>
      <c r="AH214" s="16">
        <v>0</v>
      </c>
      <c r="AI214" s="16">
        <v>0</v>
      </c>
      <c r="AJ214" s="16">
        <v>0</v>
      </c>
      <c r="AK214" s="16">
        <v>0</v>
      </c>
      <c r="AL214" s="16">
        <v>0</v>
      </c>
      <c r="AM214" s="16">
        <v>0</v>
      </c>
      <c r="AN214" s="16">
        <v>0</v>
      </c>
      <c r="AO214" s="16">
        <v>0</v>
      </c>
      <c r="AP214" s="16">
        <v>0</v>
      </c>
      <c r="AQ214" s="16">
        <v>0</v>
      </c>
      <c r="AR214" s="16">
        <v>0</v>
      </c>
      <c r="AS214" s="16">
        <v>0</v>
      </c>
      <c r="AT214" s="16">
        <v>0</v>
      </c>
      <c r="AU214" s="16">
        <v>0</v>
      </c>
      <c r="AV214" s="16">
        <v>0</v>
      </c>
    </row>
    <row r="215" spans="1:48" ht="14.25" customHeight="1">
      <c r="A215" s="13"/>
      <c r="B215" s="14"/>
      <c r="C215" s="14"/>
      <c r="D215" s="14"/>
      <c r="E215" s="14"/>
      <c r="F215" s="14"/>
      <c r="G215" s="14"/>
      <c r="H215" s="14"/>
      <c r="I215" s="14"/>
      <c r="J215" s="14"/>
      <c r="K215" s="15">
        <f t="shared" si="0"/>
        <v>0</v>
      </c>
      <c r="L215" s="24"/>
      <c r="M215" s="14"/>
      <c r="N215" s="49"/>
      <c r="O215" s="24"/>
      <c r="P215" s="24">
        <f t="shared" si="7"/>
        <v>0</v>
      </c>
      <c r="Q215" s="23"/>
      <c r="R215" s="24"/>
      <c r="S215" s="49"/>
      <c r="T215" s="24"/>
      <c r="U215" s="24">
        <f t="shared" si="8"/>
        <v>0</v>
      </c>
      <c r="V215" s="24"/>
      <c r="AA215" s="16">
        <v>0</v>
      </c>
      <c r="AB215" s="16">
        <v>0</v>
      </c>
      <c r="AC215" s="16">
        <v>0</v>
      </c>
      <c r="AD215" s="16">
        <v>0</v>
      </c>
      <c r="AE215" s="16">
        <v>0</v>
      </c>
      <c r="AF215" s="16">
        <v>0</v>
      </c>
      <c r="AG215" s="16">
        <v>0</v>
      </c>
      <c r="AH215" s="16">
        <v>0</v>
      </c>
      <c r="AI215" s="16">
        <v>0</v>
      </c>
      <c r="AJ215" s="16">
        <v>0</v>
      </c>
      <c r="AK215" s="16">
        <v>0</v>
      </c>
      <c r="AL215" s="16">
        <v>0</v>
      </c>
      <c r="AM215" s="16">
        <v>0</v>
      </c>
      <c r="AN215" s="16">
        <v>0</v>
      </c>
      <c r="AO215" s="16">
        <v>0</v>
      </c>
      <c r="AP215" s="16">
        <v>0</v>
      </c>
      <c r="AQ215" s="16">
        <v>0</v>
      </c>
      <c r="AR215" s="16">
        <v>0</v>
      </c>
      <c r="AS215" s="16">
        <v>0</v>
      </c>
      <c r="AT215" s="16">
        <v>0</v>
      </c>
      <c r="AU215" s="16">
        <v>0</v>
      </c>
      <c r="AV215" s="16">
        <v>0</v>
      </c>
    </row>
    <row r="216" spans="1:48" ht="14.25" customHeight="1">
      <c r="A216" s="13"/>
      <c r="B216" s="14"/>
      <c r="C216" s="14"/>
      <c r="D216" s="14"/>
      <c r="E216" s="14"/>
      <c r="F216" s="14"/>
      <c r="G216" s="14"/>
      <c r="H216" s="14"/>
      <c r="I216" s="14"/>
      <c r="J216" s="14"/>
      <c r="K216" s="15">
        <f t="shared" si="0"/>
        <v>0</v>
      </c>
      <c r="L216" s="24"/>
      <c r="M216" s="14"/>
      <c r="N216" s="49"/>
      <c r="O216" s="24"/>
      <c r="P216" s="24">
        <f t="shared" si="7"/>
        <v>0</v>
      </c>
      <c r="Q216" s="23"/>
      <c r="R216" s="24"/>
      <c r="S216" s="49"/>
      <c r="T216" s="24"/>
      <c r="U216" s="24">
        <f t="shared" si="8"/>
        <v>0</v>
      </c>
      <c r="V216" s="24"/>
      <c r="AA216" s="16">
        <v>0</v>
      </c>
      <c r="AB216" s="16">
        <v>0</v>
      </c>
      <c r="AC216" s="16">
        <v>0</v>
      </c>
      <c r="AD216" s="16">
        <v>0</v>
      </c>
      <c r="AE216" s="16">
        <v>0</v>
      </c>
      <c r="AF216" s="16">
        <v>0</v>
      </c>
      <c r="AG216" s="16">
        <v>0</v>
      </c>
      <c r="AH216" s="16">
        <v>0</v>
      </c>
      <c r="AI216" s="16">
        <v>0</v>
      </c>
      <c r="AJ216" s="16">
        <v>0</v>
      </c>
      <c r="AK216" s="16">
        <v>0</v>
      </c>
      <c r="AL216" s="16">
        <v>0</v>
      </c>
      <c r="AM216" s="16">
        <v>0</v>
      </c>
      <c r="AN216" s="16">
        <v>0</v>
      </c>
      <c r="AO216" s="16">
        <v>0</v>
      </c>
      <c r="AP216" s="16">
        <v>0</v>
      </c>
      <c r="AQ216" s="16">
        <v>0</v>
      </c>
      <c r="AR216" s="16">
        <v>0</v>
      </c>
      <c r="AS216" s="16">
        <v>0</v>
      </c>
      <c r="AT216" s="16">
        <v>0</v>
      </c>
      <c r="AU216" s="16">
        <v>0</v>
      </c>
      <c r="AV216" s="16">
        <v>0</v>
      </c>
    </row>
    <row r="217" spans="1:48" ht="14.25" customHeight="1">
      <c r="A217" s="13"/>
      <c r="B217" s="14"/>
      <c r="C217" s="14"/>
      <c r="D217" s="14"/>
      <c r="E217" s="14"/>
      <c r="F217" s="14"/>
      <c r="G217" s="14"/>
      <c r="H217" s="14"/>
      <c r="I217" s="14"/>
      <c r="J217" s="14"/>
      <c r="K217" s="15">
        <f t="shared" si="0"/>
        <v>0</v>
      </c>
      <c r="L217" s="24"/>
      <c r="M217" s="14"/>
      <c r="N217" s="49"/>
      <c r="O217" s="24"/>
      <c r="P217" s="24">
        <f t="shared" si="7"/>
        <v>0</v>
      </c>
      <c r="Q217" s="23"/>
      <c r="R217" s="24"/>
      <c r="S217" s="49"/>
      <c r="T217" s="24"/>
      <c r="U217" s="24">
        <f t="shared" si="8"/>
        <v>0</v>
      </c>
      <c r="V217" s="24"/>
      <c r="AA217" s="16">
        <v>0</v>
      </c>
      <c r="AB217" s="16">
        <v>0</v>
      </c>
      <c r="AC217" s="16">
        <v>0</v>
      </c>
      <c r="AD217" s="16">
        <v>0</v>
      </c>
      <c r="AE217" s="16">
        <v>0</v>
      </c>
      <c r="AF217" s="16">
        <v>0</v>
      </c>
      <c r="AG217" s="16">
        <v>0</v>
      </c>
      <c r="AH217" s="16">
        <v>0</v>
      </c>
      <c r="AI217" s="16">
        <v>0</v>
      </c>
      <c r="AJ217" s="16">
        <v>0</v>
      </c>
      <c r="AK217" s="16">
        <v>0</v>
      </c>
      <c r="AL217" s="16">
        <v>0</v>
      </c>
      <c r="AM217" s="16">
        <v>0</v>
      </c>
      <c r="AN217" s="16">
        <v>0</v>
      </c>
      <c r="AO217" s="16">
        <v>0</v>
      </c>
      <c r="AP217" s="16">
        <v>0</v>
      </c>
      <c r="AQ217" s="16">
        <v>0</v>
      </c>
      <c r="AR217" s="16">
        <v>0</v>
      </c>
      <c r="AS217" s="16">
        <v>0</v>
      </c>
      <c r="AT217" s="16">
        <v>0</v>
      </c>
      <c r="AU217" s="16">
        <v>0</v>
      </c>
      <c r="AV217" s="16">
        <v>0</v>
      </c>
    </row>
    <row r="218" spans="1:48" ht="14.25" customHeight="1">
      <c r="A218" s="13"/>
      <c r="B218" s="14"/>
      <c r="C218" s="14"/>
      <c r="D218" s="14"/>
      <c r="E218" s="14"/>
      <c r="F218" s="14"/>
      <c r="G218" s="14"/>
      <c r="H218" s="14"/>
      <c r="I218" s="14"/>
      <c r="J218" s="14"/>
      <c r="K218" s="15">
        <f t="shared" si="0"/>
        <v>0</v>
      </c>
      <c r="L218" s="24"/>
      <c r="M218" s="14"/>
      <c r="N218" s="49"/>
      <c r="O218" s="24"/>
      <c r="P218" s="24">
        <f t="shared" si="7"/>
        <v>0</v>
      </c>
      <c r="Q218" s="23"/>
      <c r="R218" s="24"/>
      <c r="S218" s="49"/>
      <c r="T218" s="24"/>
      <c r="U218" s="24">
        <f t="shared" si="8"/>
        <v>0</v>
      </c>
      <c r="V218" s="24"/>
      <c r="AA218" s="16">
        <v>0</v>
      </c>
      <c r="AB218" s="16">
        <v>0</v>
      </c>
      <c r="AC218" s="16">
        <v>0</v>
      </c>
      <c r="AD218" s="16">
        <v>0</v>
      </c>
      <c r="AE218" s="16">
        <v>0</v>
      </c>
      <c r="AF218" s="16">
        <v>0</v>
      </c>
      <c r="AG218" s="16">
        <v>0</v>
      </c>
      <c r="AH218" s="16">
        <v>0</v>
      </c>
      <c r="AI218" s="16">
        <v>0</v>
      </c>
      <c r="AJ218" s="16">
        <v>0</v>
      </c>
      <c r="AK218" s="16">
        <v>0</v>
      </c>
      <c r="AL218" s="16">
        <v>0</v>
      </c>
      <c r="AM218" s="16">
        <v>0</v>
      </c>
      <c r="AN218" s="16">
        <v>0</v>
      </c>
      <c r="AO218" s="16">
        <v>0</v>
      </c>
      <c r="AP218" s="16">
        <v>0</v>
      </c>
      <c r="AQ218" s="16">
        <v>0</v>
      </c>
      <c r="AR218" s="16">
        <v>0</v>
      </c>
      <c r="AS218" s="16">
        <v>0</v>
      </c>
      <c r="AT218" s="16">
        <v>0</v>
      </c>
      <c r="AU218" s="16">
        <v>0</v>
      </c>
      <c r="AV218" s="16">
        <v>0</v>
      </c>
    </row>
    <row r="219" spans="1:48" ht="14.25" customHeight="1">
      <c r="A219" s="13"/>
      <c r="B219" s="14"/>
      <c r="C219" s="14"/>
      <c r="D219" s="14"/>
      <c r="E219" s="14"/>
      <c r="F219" s="14"/>
      <c r="G219" s="14"/>
      <c r="H219" s="14"/>
      <c r="I219" s="14"/>
      <c r="J219" s="14"/>
      <c r="K219" s="15">
        <f t="shared" si="0"/>
        <v>0</v>
      </c>
      <c r="L219" s="24"/>
      <c r="M219" s="14"/>
      <c r="N219" s="49"/>
      <c r="O219" s="24"/>
      <c r="P219" s="24">
        <f t="shared" si="7"/>
        <v>0</v>
      </c>
      <c r="Q219" s="23"/>
      <c r="R219" s="24"/>
      <c r="S219" s="49"/>
      <c r="T219" s="24"/>
      <c r="U219" s="24">
        <f t="shared" si="8"/>
        <v>0</v>
      </c>
      <c r="V219" s="24"/>
      <c r="AA219" s="16">
        <v>0</v>
      </c>
      <c r="AB219" s="16">
        <v>0</v>
      </c>
      <c r="AC219" s="16">
        <v>0</v>
      </c>
      <c r="AD219" s="16">
        <v>0</v>
      </c>
      <c r="AE219" s="16">
        <v>0</v>
      </c>
      <c r="AF219" s="16">
        <v>0</v>
      </c>
      <c r="AG219" s="16">
        <v>0</v>
      </c>
      <c r="AH219" s="16">
        <v>0</v>
      </c>
      <c r="AI219" s="16">
        <v>0</v>
      </c>
      <c r="AJ219" s="16">
        <v>0</v>
      </c>
      <c r="AK219" s="16">
        <v>0</v>
      </c>
      <c r="AL219" s="16">
        <v>0</v>
      </c>
      <c r="AM219" s="16">
        <v>0</v>
      </c>
      <c r="AN219" s="16">
        <v>0</v>
      </c>
      <c r="AO219" s="16">
        <v>0</v>
      </c>
      <c r="AP219" s="16">
        <v>0</v>
      </c>
      <c r="AQ219" s="16">
        <v>0</v>
      </c>
      <c r="AR219" s="16">
        <v>0</v>
      </c>
      <c r="AS219" s="16">
        <v>0</v>
      </c>
      <c r="AT219" s="16">
        <v>0</v>
      </c>
      <c r="AU219" s="16">
        <v>0</v>
      </c>
      <c r="AV219" s="16">
        <v>0</v>
      </c>
    </row>
    <row r="220" spans="1:48" ht="14.25" customHeight="1">
      <c r="A220" s="13"/>
      <c r="B220" s="14"/>
      <c r="C220" s="14"/>
      <c r="D220" s="14"/>
      <c r="E220" s="14"/>
      <c r="F220" s="14"/>
      <c r="G220" s="14"/>
      <c r="H220" s="14"/>
      <c r="I220" s="14"/>
      <c r="J220" s="14"/>
      <c r="K220" s="15">
        <f>SUM(D2369:J2369)</f>
        <v>0</v>
      </c>
      <c r="L220" s="24"/>
      <c r="M220" s="14"/>
      <c r="N220" s="49"/>
      <c r="O220" s="24"/>
      <c r="P220" s="24">
        <f>O2369-K2369</f>
        <v>0</v>
      </c>
      <c r="Q220" s="23"/>
      <c r="R220" s="24"/>
      <c r="S220" s="49"/>
      <c r="T220" s="24"/>
      <c r="U220" s="24">
        <f>T2369-O2369</f>
        <v>0</v>
      </c>
      <c r="V220" s="24"/>
      <c r="AA220" s="16">
        <v>0</v>
      </c>
      <c r="AB220" s="16">
        <v>0</v>
      </c>
      <c r="AC220" s="16">
        <v>0</v>
      </c>
      <c r="AD220" s="16">
        <v>0</v>
      </c>
      <c r="AE220" s="16">
        <v>0</v>
      </c>
      <c r="AF220" s="16">
        <v>0</v>
      </c>
      <c r="AG220" s="16">
        <v>0</v>
      </c>
      <c r="AH220" s="16">
        <v>0</v>
      </c>
      <c r="AI220" s="16">
        <v>0</v>
      </c>
      <c r="AJ220" s="16">
        <v>0</v>
      </c>
      <c r="AK220" s="16">
        <v>0</v>
      </c>
      <c r="AL220" s="16">
        <v>0</v>
      </c>
      <c r="AM220" s="16">
        <v>0</v>
      </c>
      <c r="AN220" s="16">
        <v>0</v>
      </c>
      <c r="AO220" s="16">
        <v>0</v>
      </c>
      <c r="AP220" s="16">
        <v>0</v>
      </c>
      <c r="AQ220" s="16">
        <v>0</v>
      </c>
      <c r="AR220" s="16">
        <v>0</v>
      </c>
      <c r="AS220" s="16">
        <v>0</v>
      </c>
      <c r="AT220" s="16">
        <v>0</v>
      </c>
      <c r="AU220" s="16">
        <v>0</v>
      </c>
      <c r="AV220" s="16">
        <v>0</v>
      </c>
    </row>
    <row r="221" spans="1:48" ht="14.25" customHeight="1">
      <c r="A221" s="13"/>
      <c r="B221" s="14"/>
      <c r="C221" s="14"/>
      <c r="D221" s="14"/>
      <c r="E221" s="14"/>
      <c r="F221" s="14"/>
      <c r="G221" s="14"/>
      <c r="H221" s="14"/>
      <c r="I221" s="14"/>
      <c r="J221" s="14"/>
      <c r="K221" s="15">
        <f t="shared" si="0"/>
        <v>0</v>
      </c>
      <c r="L221" s="24"/>
      <c r="M221" s="14"/>
      <c r="N221" s="49"/>
      <c r="O221" s="24"/>
      <c r="P221" s="24">
        <f t="shared" si="7"/>
        <v>0</v>
      </c>
      <c r="Q221" s="23"/>
      <c r="R221" s="24"/>
      <c r="S221" s="49"/>
      <c r="T221" s="24"/>
      <c r="U221" s="24">
        <f t="shared" si="8"/>
        <v>0</v>
      </c>
      <c r="V221" s="24"/>
      <c r="AA221" s="16">
        <v>0</v>
      </c>
      <c r="AB221" s="16">
        <v>0</v>
      </c>
      <c r="AC221" s="16">
        <v>0</v>
      </c>
      <c r="AD221" s="16">
        <v>0</v>
      </c>
      <c r="AE221" s="16">
        <v>0</v>
      </c>
      <c r="AF221" s="16">
        <v>0</v>
      </c>
      <c r="AG221" s="16">
        <v>0</v>
      </c>
      <c r="AH221" s="16">
        <v>0</v>
      </c>
      <c r="AI221" s="16">
        <v>0</v>
      </c>
      <c r="AJ221" s="16">
        <v>0</v>
      </c>
      <c r="AK221" s="16">
        <v>0</v>
      </c>
      <c r="AL221" s="16">
        <v>0</v>
      </c>
      <c r="AM221" s="16">
        <v>0</v>
      </c>
      <c r="AN221" s="16">
        <v>0</v>
      </c>
      <c r="AO221" s="16">
        <v>0</v>
      </c>
      <c r="AP221" s="16">
        <v>0</v>
      </c>
      <c r="AQ221" s="16">
        <v>0</v>
      </c>
      <c r="AR221" s="16">
        <v>0</v>
      </c>
      <c r="AS221" s="16">
        <v>0</v>
      </c>
      <c r="AT221" s="16">
        <v>0</v>
      </c>
      <c r="AU221" s="16">
        <v>0</v>
      </c>
      <c r="AV221" s="16">
        <v>0</v>
      </c>
    </row>
    <row r="222" spans="1:48" ht="14.25" customHeight="1">
      <c r="A222" s="13"/>
      <c r="B222" s="14"/>
      <c r="C222" s="14"/>
      <c r="D222" s="14"/>
      <c r="E222" s="14"/>
      <c r="F222" s="14"/>
      <c r="G222" s="14"/>
      <c r="H222" s="14"/>
      <c r="I222" s="14"/>
      <c r="J222" s="14"/>
      <c r="K222" s="15">
        <f t="shared" si="0"/>
        <v>0</v>
      </c>
      <c r="L222" s="24"/>
      <c r="M222" s="14"/>
      <c r="N222" s="49"/>
      <c r="O222" s="24"/>
      <c r="P222" s="24">
        <f t="shared" si="7"/>
        <v>0</v>
      </c>
      <c r="Q222" s="23"/>
      <c r="R222" s="24"/>
      <c r="S222" s="49"/>
      <c r="T222" s="24"/>
      <c r="U222" s="24">
        <f t="shared" si="8"/>
        <v>0</v>
      </c>
      <c r="V222" s="24"/>
      <c r="AA222" s="16">
        <v>0</v>
      </c>
      <c r="AB222" s="16">
        <v>0</v>
      </c>
      <c r="AC222" s="16">
        <v>0</v>
      </c>
      <c r="AD222" s="16">
        <v>0</v>
      </c>
      <c r="AE222" s="16">
        <v>0</v>
      </c>
      <c r="AF222" s="16">
        <v>0</v>
      </c>
      <c r="AG222" s="16">
        <v>0</v>
      </c>
      <c r="AH222" s="16">
        <v>0</v>
      </c>
      <c r="AI222" s="16">
        <v>0</v>
      </c>
      <c r="AJ222" s="16">
        <v>0</v>
      </c>
      <c r="AK222" s="16">
        <v>0</v>
      </c>
      <c r="AL222" s="16">
        <v>0</v>
      </c>
      <c r="AM222" s="16">
        <v>0</v>
      </c>
      <c r="AN222" s="16">
        <v>0</v>
      </c>
      <c r="AO222" s="16">
        <v>0</v>
      </c>
      <c r="AP222" s="16">
        <v>0</v>
      </c>
      <c r="AQ222" s="16">
        <v>0</v>
      </c>
      <c r="AR222" s="16">
        <v>0</v>
      </c>
      <c r="AS222" s="16">
        <v>0</v>
      </c>
      <c r="AT222" s="16">
        <v>0</v>
      </c>
      <c r="AU222" s="16">
        <v>0</v>
      </c>
      <c r="AV222" s="16">
        <v>0</v>
      </c>
    </row>
    <row r="223" spans="1:48" ht="14.25" customHeight="1">
      <c r="A223" s="13"/>
      <c r="B223" s="14"/>
      <c r="C223" s="14"/>
      <c r="D223" s="14"/>
      <c r="E223" s="14"/>
      <c r="F223" s="14"/>
      <c r="G223" s="14"/>
      <c r="H223" s="14"/>
      <c r="I223" s="14"/>
      <c r="J223" s="14"/>
      <c r="K223" s="15">
        <f t="shared" si="0"/>
        <v>0</v>
      </c>
      <c r="L223" s="24"/>
      <c r="M223" s="14"/>
      <c r="N223" s="49"/>
      <c r="O223" s="24"/>
      <c r="P223" s="24">
        <f t="shared" si="7"/>
        <v>0</v>
      </c>
      <c r="Q223" s="23"/>
      <c r="R223" s="24"/>
      <c r="S223" s="49"/>
      <c r="T223" s="24"/>
      <c r="U223" s="24">
        <f t="shared" si="8"/>
        <v>0</v>
      </c>
      <c r="V223" s="24"/>
      <c r="AA223" s="16">
        <v>0</v>
      </c>
      <c r="AB223" s="16">
        <v>0</v>
      </c>
      <c r="AC223" s="16">
        <v>0</v>
      </c>
      <c r="AD223" s="16">
        <v>0</v>
      </c>
      <c r="AE223" s="16">
        <v>0</v>
      </c>
      <c r="AF223" s="16">
        <v>0</v>
      </c>
      <c r="AG223" s="16">
        <v>0</v>
      </c>
      <c r="AH223" s="16">
        <v>0</v>
      </c>
      <c r="AI223" s="16">
        <v>0</v>
      </c>
      <c r="AJ223" s="16">
        <v>0</v>
      </c>
      <c r="AK223" s="16">
        <v>0</v>
      </c>
      <c r="AL223" s="16">
        <v>0</v>
      </c>
      <c r="AM223" s="16">
        <v>0</v>
      </c>
      <c r="AN223" s="16">
        <v>0</v>
      </c>
      <c r="AO223" s="16">
        <v>0</v>
      </c>
      <c r="AP223" s="16">
        <v>0</v>
      </c>
      <c r="AQ223" s="16">
        <v>0</v>
      </c>
      <c r="AR223" s="16">
        <v>0</v>
      </c>
      <c r="AS223" s="16">
        <v>0</v>
      </c>
      <c r="AT223" s="16">
        <v>0</v>
      </c>
      <c r="AU223" s="16">
        <v>0</v>
      </c>
      <c r="AV223" s="16">
        <v>0</v>
      </c>
    </row>
    <row r="224" spans="1:48" ht="14.25" customHeight="1">
      <c r="A224" s="13"/>
      <c r="B224" s="14"/>
      <c r="C224" s="14"/>
      <c r="D224" s="14"/>
      <c r="E224" s="14"/>
      <c r="F224" s="14"/>
      <c r="G224" s="14"/>
      <c r="H224" s="14"/>
      <c r="I224" s="14"/>
      <c r="J224" s="14"/>
      <c r="K224" s="15">
        <f t="shared" si="0"/>
        <v>0</v>
      </c>
      <c r="L224" s="24"/>
      <c r="M224" s="14"/>
      <c r="N224" s="49"/>
      <c r="O224" s="24"/>
      <c r="P224" s="24">
        <f t="shared" si="7"/>
        <v>0</v>
      </c>
      <c r="Q224" s="23"/>
      <c r="R224" s="24"/>
      <c r="S224" s="49"/>
      <c r="T224" s="24"/>
      <c r="U224" s="24">
        <f t="shared" si="8"/>
        <v>0</v>
      </c>
      <c r="V224" s="24"/>
      <c r="AA224" s="16">
        <v>0</v>
      </c>
      <c r="AB224" s="16">
        <v>0</v>
      </c>
      <c r="AC224" s="16">
        <v>0</v>
      </c>
      <c r="AD224" s="16">
        <v>0</v>
      </c>
      <c r="AE224" s="16">
        <v>0</v>
      </c>
      <c r="AF224" s="16">
        <v>0</v>
      </c>
      <c r="AG224" s="16">
        <v>0</v>
      </c>
      <c r="AH224" s="16">
        <v>0</v>
      </c>
      <c r="AI224" s="16">
        <v>0</v>
      </c>
      <c r="AJ224" s="16">
        <v>0</v>
      </c>
      <c r="AK224" s="16">
        <v>0</v>
      </c>
      <c r="AL224" s="16">
        <v>0</v>
      </c>
      <c r="AM224" s="16">
        <v>0</v>
      </c>
      <c r="AN224" s="16">
        <v>0</v>
      </c>
      <c r="AO224" s="16">
        <v>0</v>
      </c>
      <c r="AP224" s="16">
        <v>0</v>
      </c>
      <c r="AQ224" s="16">
        <v>0</v>
      </c>
      <c r="AR224" s="16">
        <v>0</v>
      </c>
      <c r="AS224" s="16">
        <v>0</v>
      </c>
      <c r="AT224" s="16">
        <v>0</v>
      </c>
      <c r="AU224" s="16">
        <v>0</v>
      </c>
      <c r="AV224" s="16">
        <v>0</v>
      </c>
    </row>
    <row r="225" spans="1:48" ht="14.25" customHeight="1">
      <c r="A225" s="13"/>
      <c r="B225" s="14"/>
      <c r="C225" s="14"/>
      <c r="D225" s="14"/>
      <c r="E225" s="14"/>
      <c r="F225" s="14"/>
      <c r="G225" s="14"/>
      <c r="H225" s="14"/>
      <c r="I225" s="14"/>
      <c r="J225" s="14"/>
      <c r="K225" s="15">
        <f t="shared" si="0"/>
        <v>0</v>
      </c>
      <c r="L225" s="24"/>
      <c r="M225" s="14"/>
      <c r="N225" s="49"/>
      <c r="O225" s="24"/>
      <c r="P225" s="24">
        <f t="shared" si="7"/>
        <v>0</v>
      </c>
      <c r="Q225" s="23"/>
      <c r="R225" s="24"/>
      <c r="S225" s="49"/>
      <c r="T225" s="24"/>
      <c r="U225" s="24">
        <f t="shared" si="8"/>
        <v>0</v>
      </c>
      <c r="V225" s="24"/>
      <c r="AA225" s="16">
        <v>0</v>
      </c>
      <c r="AB225" s="16">
        <v>0</v>
      </c>
      <c r="AC225" s="16">
        <v>0</v>
      </c>
      <c r="AD225" s="16">
        <v>0</v>
      </c>
      <c r="AE225" s="16">
        <v>0</v>
      </c>
      <c r="AF225" s="16">
        <v>0</v>
      </c>
      <c r="AG225" s="16">
        <v>0</v>
      </c>
      <c r="AH225" s="16">
        <v>0</v>
      </c>
      <c r="AI225" s="16">
        <v>0</v>
      </c>
      <c r="AJ225" s="16">
        <v>0</v>
      </c>
      <c r="AK225" s="16">
        <v>0</v>
      </c>
      <c r="AL225" s="16">
        <v>0</v>
      </c>
      <c r="AM225" s="16">
        <v>0</v>
      </c>
      <c r="AN225" s="16">
        <v>0</v>
      </c>
      <c r="AO225" s="16">
        <v>0</v>
      </c>
      <c r="AP225" s="16">
        <v>0</v>
      </c>
      <c r="AQ225" s="16">
        <v>0</v>
      </c>
      <c r="AR225" s="16">
        <v>0</v>
      </c>
      <c r="AS225" s="16">
        <v>0</v>
      </c>
      <c r="AT225" s="16">
        <v>0</v>
      </c>
      <c r="AU225" s="16">
        <v>0</v>
      </c>
      <c r="AV225" s="16">
        <v>0</v>
      </c>
    </row>
    <row r="226" spans="1:48" ht="14.25" customHeight="1">
      <c r="A226" s="13"/>
      <c r="B226" s="14"/>
      <c r="C226" s="14"/>
      <c r="D226" s="14"/>
      <c r="E226" s="14"/>
      <c r="F226" s="14"/>
      <c r="G226" s="14"/>
      <c r="H226" s="14"/>
      <c r="I226" s="14"/>
      <c r="J226" s="14"/>
      <c r="K226" s="15">
        <f t="shared" ref="K226:K369" si="12">SUM(D226:J226)</f>
        <v>0</v>
      </c>
      <c r="L226" s="24"/>
      <c r="M226" s="14"/>
      <c r="N226" s="49"/>
      <c r="O226" s="24"/>
      <c r="P226" s="24">
        <f t="shared" si="7"/>
        <v>0</v>
      </c>
      <c r="Q226" s="23"/>
      <c r="R226" s="24"/>
      <c r="S226" s="49"/>
      <c r="T226" s="24"/>
      <c r="U226" s="24">
        <f t="shared" si="8"/>
        <v>0</v>
      </c>
      <c r="V226" s="24"/>
      <c r="AA226" s="16">
        <v>0</v>
      </c>
      <c r="AB226" s="16">
        <v>0</v>
      </c>
      <c r="AC226" s="16">
        <v>0</v>
      </c>
      <c r="AD226" s="16">
        <v>0</v>
      </c>
      <c r="AE226" s="16">
        <v>0</v>
      </c>
      <c r="AF226" s="16">
        <v>0</v>
      </c>
      <c r="AG226" s="16">
        <v>0</v>
      </c>
      <c r="AH226" s="16">
        <v>0</v>
      </c>
      <c r="AI226" s="16">
        <v>0</v>
      </c>
      <c r="AJ226" s="16">
        <v>0</v>
      </c>
      <c r="AK226" s="16">
        <v>0</v>
      </c>
      <c r="AL226" s="16">
        <v>0</v>
      </c>
      <c r="AM226" s="16">
        <v>0</v>
      </c>
      <c r="AN226" s="16">
        <v>0</v>
      </c>
      <c r="AO226" s="16">
        <v>0</v>
      </c>
      <c r="AP226" s="16">
        <v>0</v>
      </c>
      <c r="AQ226" s="16">
        <v>0</v>
      </c>
      <c r="AR226" s="16">
        <v>0</v>
      </c>
      <c r="AS226" s="16">
        <v>0</v>
      </c>
      <c r="AT226" s="16">
        <v>0</v>
      </c>
      <c r="AU226" s="16">
        <v>0</v>
      </c>
      <c r="AV226" s="16">
        <v>0</v>
      </c>
    </row>
    <row r="227" spans="1:48" ht="14.25" customHeight="1">
      <c r="A227" s="13"/>
      <c r="B227" s="14"/>
      <c r="C227" s="14"/>
      <c r="D227" s="14"/>
      <c r="E227" s="14"/>
      <c r="F227" s="14"/>
      <c r="G227" s="14"/>
      <c r="H227" s="14"/>
      <c r="I227" s="14"/>
      <c r="J227" s="14"/>
      <c r="K227" s="15">
        <f t="shared" si="12"/>
        <v>0</v>
      </c>
      <c r="L227" s="24"/>
      <c r="M227" s="14"/>
      <c r="N227" s="49"/>
      <c r="O227" s="24"/>
      <c r="P227" s="24">
        <f t="shared" si="7"/>
        <v>0</v>
      </c>
      <c r="Q227" s="23"/>
      <c r="R227" s="24"/>
      <c r="S227" s="49"/>
      <c r="T227" s="24"/>
      <c r="U227" s="24">
        <f t="shared" si="8"/>
        <v>0</v>
      </c>
      <c r="V227" s="24"/>
      <c r="AA227" s="16">
        <v>0</v>
      </c>
      <c r="AB227" s="16">
        <v>0</v>
      </c>
      <c r="AC227" s="16">
        <v>0</v>
      </c>
      <c r="AD227" s="16">
        <v>0</v>
      </c>
      <c r="AE227" s="16">
        <v>0</v>
      </c>
      <c r="AF227" s="16">
        <v>0</v>
      </c>
      <c r="AG227" s="16">
        <v>0</v>
      </c>
      <c r="AH227" s="16">
        <v>0</v>
      </c>
      <c r="AI227" s="16">
        <v>0</v>
      </c>
      <c r="AJ227" s="16">
        <v>0</v>
      </c>
      <c r="AK227" s="16">
        <v>0</v>
      </c>
      <c r="AL227" s="16">
        <v>0</v>
      </c>
      <c r="AM227" s="16">
        <v>0</v>
      </c>
      <c r="AN227" s="16">
        <v>0</v>
      </c>
      <c r="AO227" s="16">
        <v>0</v>
      </c>
      <c r="AP227" s="16">
        <v>0</v>
      </c>
      <c r="AQ227" s="16">
        <v>0</v>
      </c>
      <c r="AR227" s="16">
        <v>0</v>
      </c>
      <c r="AS227" s="16">
        <v>0</v>
      </c>
      <c r="AT227" s="16">
        <v>0</v>
      </c>
      <c r="AU227" s="16">
        <v>0</v>
      </c>
      <c r="AV227" s="16">
        <v>0</v>
      </c>
    </row>
    <row r="228" spans="1:48" ht="14.25" customHeight="1">
      <c r="A228" s="13"/>
      <c r="B228" s="14"/>
      <c r="C228" s="14"/>
      <c r="D228" s="14"/>
      <c r="E228" s="14"/>
      <c r="F228" s="14"/>
      <c r="G228" s="14"/>
      <c r="H228" s="14"/>
      <c r="I228" s="14"/>
      <c r="J228" s="14"/>
      <c r="K228" s="15">
        <f t="shared" si="12"/>
        <v>0</v>
      </c>
      <c r="L228" s="24"/>
      <c r="M228" s="14"/>
      <c r="N228" s="49"/>
      <c r="O228" s="24"/>
      <c r="P228" s="24">
        <f t="shared" si="7"/>
        <v>0</v>
      </c>
      <c r="Q228" s="23"/>
      <c r="R228" s="24"/>
      <c r="S228" s="49"/>
      <c r="T228" s="24"/>
      <c r="U228" s="24">
        <f t="shared" si="8"/>
        <v>0</v>
      </c>
      <c r="V228" s="24"/>
      <c r="AA228" s="16">
        <v>0</v>
      </c>
      <c r="AB228" s="16">
        <v>0</v>
      </c>
      <c r="AC228" s="16">
        <v>0</v>
      </c>
      <c r="AD228" s="16">
        <v>0</v>
      </c>
      <c r="AE228" s="16">
        <v>0</v>
      </c>
      <c r="AF228" s="16">
        <v>0</v>
      </c>
      <c r="AG228" s="16">
        <v>0</v>
      </c>
      <c r="AH228" s="16">
        <v>0</v>
      </c>
      <c r="AI228" s="16">
        <v>0</v>
      </c>
      <c r="AJ228" s="16">
        <v>0</v>
      </c>
      <c r="AK228" s="16">
        <v>0</v>
      </c>
      <c r="AL228" s="16">
        <v>0</v>
      </c>
      <c r="AM228" s="16">
        <v>0</v>
      </c>
      <c r="AN228" s="16">
        <v>0</v>
      </c>
      <c r="AO228" s="16">
        <v>0</v>
      </c>
      <c r="AP228" s="16">
        <v>0</v>
      </c>
      <c r="AQ228" s="16">
        <v>0</v>
      </c>
      <c r="AR228" s="16">
        <v>0</v>
      </c>
      <c r="AS228" s="16">
        <v>0</v>
      </c>
      <c r="AT228" s="16">
        <v>0</v>
      </c>
      <c r="AU228" s="16">
        <v>0</v>
      </c>
      <c r="AV228" s="16">
        <v>0</v>
      </c>
    </row>
    <row r="229" spans="1:48" ht="14.25" customHeight="1">
      <c r="A229" s="13"/>
      <c r="B229" s="14"/>
      <c r="C229" s="14"/>
      <c r="D229" s="14"/>
      <c r="E229" s="14"/>
      <c r="F229" s="14"/>
      <c r="G229" s="14"/>
      <c r="H229" s="14"/>
      <c r="I229" s="14"/>
      <c r="J229" s="14"/>
      <c r="K229" s="15">
        <f t="shared" si="12"/>
        <v>0</v>
      </c>
      <c r="L229" s="24"/>
      <c r="M229" s="14"/>
      <c r="N229" s="49"/>
      <c r="O229" s="24"/>
      <c r="P229" s="24">
        <f t="shared" si="7"/>
        <v>0</v>
      </c>
      <c r="Q229" s="23"/>
      <c r="R229" s="24"/>
      <c r="S229" s="49"/>
      <c r="T229" s="24"/>
      <c r="U229" s="24">
        <f t="shared" si="8"/>
        <v>0</v>
      </c>
      <c r="V229" s="24"/>
      <c r="AA229" s="16">
        <v>0</v>
      </c>
      <c r="AB229" s="16">
        <v>0</v>
      </c>
      <c r="AC229" s="16">
        <v>0</v>
      </c>
      <c r="AD229" s="16">
        <v>0</v>
      </c>
      <c r="AE229" s="16">
        <v>0</v>
      </c>
      <c r="AF229" s="16">
        <v>0</v>
      </c>
      <c r="AG229" s="16">
        <v>0</v>
      </c>
      <c r="AH229" s="16">
        <v>0</v>
      </c>
      <c r="AI229" s="16">
        <v>0</v>
      </c>
      <c r="AJ229" s="16">
        <v>0</v>
      </c>
      <c r="AK229" s="16">
        <v>0</v>
      </c>
      <c r="AL229" s="16">
        <v>0</v>
      </c>
      <c r="AM229" s="16">
        <v>0</v>
      </c>
      <c r="AN229" s="16">
        <v>0</v>
      </c>
      <c r="AO229" s="16">
        <v>0</v>
      </c>
      <c r="AP229" s="16">
        <v>0</v>
      </c>
      <c r="AQ229" s="16">
        <v>0</v>
      </c>
      <c r="AR229" s="16">
        <v>0</v>
      </c>
      <c r="AS229" s="16">
        <v>0</v>
      </c>
      <c r="AT229" s="16">
        <v>0</v>
      </c>
      <c r="AU229" s="16">
        <v>0</v>
      </c>
      <c r="AV229" s="16">
        <v>0</v>
      </c>
    </row>
    <row r="230" spans="1:48" ht="14.25" customHeight="1">
      <c r="A230" s="13"/>
      <c r="B230" s="14"/>
      <c r="C230" s="14"/>
      <c r="D230" s="14"/>
      <c r="E230" s="14"/>
      <c r="F230" s="14"/>
      <c r="G230" s="14"/>
      <c r="H230" s="14"/>
      <c r="I230" s="14"/>
      <c r="J230" s="14"/>
      <c r="K230" s="15">
        <f t="shared" si="12"/>
        <v>0</v>
      </c>
      <c r="L230" s="24"/>
      <c r="M230" s="14"/>
      <c r="N230" s="49"/>
      <c r="O230" s="24"/>
      <c r="P230" s="24">
        <f t="shared" si="7"/>
        <v>0</v>
      </c>
      <c r="Q230" s="23"/>
      <c r="R230" s="24"/>
      <c r="S230" s="49"/>
      <c r="T230" s="24"/>
      <c r="U230" s="24">
        <f t="shared" si="8"/>
        <v>0</v>
      </c>
      <c r="V230" s="24"/>
      <c r="AA230" s="16">
        <v>0</v>
      </c>
      <c r="AB230" s="16">
        <v>0</v>
      </c>
      <c r="AC230" s="16">
        <v>0</v>
      </c>
      <c r="AD230" s="16">
        <v>0</v>
      </c>
      <c r="AE230" s="16">
        <v>0</v>
      </c>
      <c r="AF230" s="16">
        <v>0</v>
      </c>
      <c r="AG230" s="16">
        <v>0</v>
      </c>
      <c r="AH230" s="16">
        <v>0</v>
      </c>
      <c r="AI230" s="16">
        <v>0</v>
      </c>
      <c r="AJ230" s="16">
        <v>0</v>
      </c>
      <c r="AK230" s="16">
        <v>0</v>
      </c>
      <c r="AL230" s="16">
        <v>0</v>
      </c>
      <c r="AM230" s="16">
        <v>0</v>
      </c>
      <c r="AN230" s="16">
        <v>0</v>
      </c>
      <c r="AO230" s="16">
        <v>0</v>
      </c>
      <c r="AP230" s="16">
        <v>0</v>
      </c>
      <c r="AQ230" s="16">
        <v>0</v>
      </c>
      <c r="AR230" s="16">
        <v>0</v>
      </c>
      <c r="AS230" s="16">
        <v>0</v>
      </c>
      <c r="AT230" s="16">
        <v>0</v>
      </c>
      <c r="AU230" s="16">
        <v>0</v>
      </c>
      <c r="AV230" s="16">
        <v>0</v>
      </c>
    </row>
    <row r="231" spans="1:48" ht="14.25" customHeight="1">
      <c r="A231" s="13"/>
      <c r="B231" s="14"/>
      <c r="C231" s="14"/>
      <c r="D231" s="14"/>
      <c r="E231" s="14"/>
      <c r="F231" s="14"/>
      <c r="G231" s="14"/>
      <c r="H231" s="14"/>
      <c r="I231" s="14"/>
      <c r="J231" s="14"/>
      <c r="K231" s="15">
        <f t="shared" si="12"/>
        <v>0</v>
      </c>
      <c r="L231" s="24"/>
      <c r="M231" s="14"/>
      <c r="N231" s="49"/>
      <c r="O231" s="24"/>
      <c r="P231" s="24">
        <f t="shared" si="7"/>
        <v>0</v>
      </c>
      <c r="Q231" s="23"/>
      <c r="R231" s="24"/>
      <c r="S231" s="49"/>
      <c r="T231" s="24"/>
      <c r="U231" s="24">
        <f t="shared" si="8"/>
        <v>0</v>
      </c>
      <c r="V231" s="24"/>
      <c r="AA231" s="16">
        <v>0</v>
      </c>
      <c r="AB231" s="16">
        <v>0</v>
      </c>
      <c r="AC231" s="16">
        <v>0</v>
      </c>
      <c r="AD231" s="16">
        <v>0</v>
      </c>
      <c r="AE231" s="16">
        <v>0</v>
      </c>
      <c r="AF231" s="16">
        <v>0</v>
      </c>
      <c r="AG231" s="16">
        <v>0</v>
      </c>
      <c r="AH231" s="16">
        <v>0</v>
      </c>
      <c r="AI231" s="16">
        <v>0</v>
      </c>
      <c r="AJ231" s="16">
        <v>0</v>
      </c>
      <c r="AK231" s="16">
        <v>0</v>
      </c>
      <c r="AL231" s="16">
        <v>0</v>
      </c>
      <c r="AM231" s="16">
        <v>0</v>
      </c>
      <c r="AN231" s="16">
        <v>0</v>
      </c>
      <c r="AO231" s="16">
        <v>0</v>
      </c>
      <c r="AP231" s="16">
        <v>0</v>
      </c>
      <c r="AQ231" s="16">
        <v>0</v>
      </c>
      <c r="AR231" s="16">
        <v>0</v>
      </c>
      <c r="AS231" s="16">
        <v>0</v>
      </c>
      <c r="AT231" s="16">
        <v>0</v>
      </c>
      <c r="AU231" s="16">
        <v>0</v>
      </c>
      <c r="AV231" s="16">
        <v>0</v>
      </c>
    </row>
    <row r="232" spans="1:48" ht="14.25" customHeight="1">
      <c r="A232" s="13"/>
      <c r="B232" s="14"/>
      <c r="C232" s="14"/>
      <c r="D232" s="14"/>
      <c r="E232" s="14"/>
      <c r="F232" s="14"/>
      <c r="G232" s="14"/>
      <c r="H232" s="14"/>
      <c r="I232" s="14"/>
      <c r="J232" s="14"/>
      <c r="K232" s="15">
        <f t="shared" si="12"/>
        <v>0</v>
      </c>
      <c r="L232" s="24"/>
      <c r="M232" s="14"/>
      <c r="N232" s="49"/>
      <c r="O232" s="24"/>
      <c r="P232" s="24">
        <f t="shared" si="7"/>
        <v>0</v>
      </c>
      <c r="Q232" s="23"/>
      <c r="R232" s="24"/>
      <c r="S232" s="49"/>
      <c r="T232" s="24"/>
      <c r="U232" s="24">
        <f t="shared" si="8"/>
        <v>0</v>
      </c>
      <c r="V232" s="24"/>
      <c r="AA232" s="16">
        <v>0</v>
      </c>
      <c r="AB232" s="16">
        <v>0</v>
      </c>
      <c r="AC232" s="16">
        <v>0</v>
      </c>
      <c r="AD232" s="16">
        <v>0</v>
      </c>
      <c r="AE232" s="16">
        <v>0</v>
      </c>
      <c r="AF232" s="16">
        <v>0</v>
      </c>
      <c r="AG232" s="16">
        <v>0</v>
      </c>
      <c r="AH232" s="16">
        <v>0</v>
      </c>
      <c r="AI232" s="16">
        <v>0</v>
      </c>
      <c r="AJ232" s="16">
        <v>0</v>
      </c>
      <c r="AK232" s="16">
        <v>0</v>
      </c>
      <c r="AL232" s="16">
        <v>0</v>
      </c>
      <c r="AM232" s="16">
        <v>0</v>
      </c>
      <c r="AN232" s="16">
        <v>0</v>
      </c>
      <c r="AO232" s="16">
        <v>0</v>
      </c>
      <c r="AP232" s="16">
        <v>0</v>
      </c>
      <c r="AQ232" s="16">
        <v>0</v>
      </c>
      <c r="AR232" s="16">
        <v>0</v>
      </c>
      <c r="AS232" s="16">
        <v>0</v>
      </c>
      <c r="AT232" s="16">
        <v>0</v>
      </c>
      <c r="AU232" s="16">
        <v>0</v>
      </c>
      <c r="AV232" s="16">
        <v>0</v>
      </c>
    </row>
    <row r="233" spans="1:48" ht="14.25" customHeight="1">
      <c r="A233" s="13"/>
      <c r="B233" s="14"/>
      <c r="C233" s="14"/>
      <c r="D233" s="14"/>
      <c r="E233" s="14"/>
      <c r="F233" s="14"/>
      <c r="G233" s="14"/>
      <c r="H233" s="14"/>
      <c r="I233" s="14"/>
      <c r="J233" s="14"/>
      <c r="K233" s="15">
        <f t="shared" si="12"/>
        <v>0</v>
      </c>
      <c r="L233" s="24"/>
      <c r="M233" s="14"/>
      <c r="N233" s="49"/>
      <c r="O233" s="24"/>
      <c r="P233" s="24">
        <f t="shared" si="7"/>
        <v>0</v>
      </c>
      <c r="Q233" s="23"/>
      <c r="R233" s="24"/>
      <c r="S233" s="49"/>
      <c r="T233" s="24"/>
      <c r="U233" s="24">
        <f t="shared" si="8"/>
        <v>0</v>
      </c>
      <c r="V233" s="24"/>
      <c r="AA233" s="16">
        <v>0</v>
      </c>
      <c r="AB233" s="16">
        <v>0</v>
      </c>
      <c r="AC233" s="16">
        <v>0</v>
      </c>
      <c r="AD233" s="16">
        <v>0</v>
      </c>
      <c r="AE233" s="16">
        <v>0</v>
      </c>
      <c r="AF233" s="16">
        <v>0</v>
      </c>
      <c r="AG233" s="16">
        <v>0</v>
      </c>
      <c r="AH233" s="16">
        <v>0</v>
      </c>
      <c r="AI233" s="16">
        <v>0</v>
      </c>
      <c r="AJ233" s="16">
        <v>0</v>
      </c>
      <c r="AK233" s="16">
        <v>0</v>
      </c>
      <c r="AL233" s="16">
        <v>0</v>
      </c>
      <c r="AM233" s="16">
        <v>0</v>
      </c>
      <c r="AN233" s="16">
        <v>0</v>
      </c>
      <c r="AO233" s="16">
        <v>0</v>
      </c>
      <c r="AP233" s="16">
        <v>0</v>
      </c>
      <c r="AQ233" s="16">
        <v>0</v>
      </c>
      <c r="AR233" s="16">
        <v>0</v>
      </c>
      <c r="AS233" s="16">
        <v>0</v>
      </c>
      <c r="AT233" s="16">
        <v>0</v>
      </c>
      <c r="AU233" s="16">
        <v>0</v>
      </c>
      <c r="AV233" s="16">
        <v>0</v>
      </c>
    </row>
    <row r="234" spans="1:48" ht="14.25" customHeight="1">
      <c r="A234" s="13"/>
      <c r="B234" s="14"/>
      <c r="C234" s="14"/>
      <c r="D234" s="14"/>
      <c r="E234" s="14"/>
      <c r="F234" s="14"/>
      <c r="G234" s="14"/>
      <c r="H234" s="14"/>
      <c r="I234" s="14"/>
      <c r="J234" s="14"/>
      <c r="K234" s="15">
        <f t="shared" si="12"/>
        <v>0</v>
      </c>
      <c r="L234" s="24"/>
      <c r="M234" s="14"/>
      <c r="N234" s="49"/>
      <c r="O234" s="24"/>
      <c r="P234" s="24">
        <f t="shared" si="7"/>
        <v>0</v>
      </c>
      <c r="Q234" s="23"/>
      <c r="R234" s="24"/>
      <c r="S234" s="49"/>
      <c r="T234" s="24"/>
      <c r="U234" s="24">
        <f t="shared" si="8"/>
        <v>0</v>
      </c>
      <c r="V234" s="24"/>
      <c r="AA234" s="16">
        <v>0</v>
      </c>
      <c r="AB234" s="16">
        <v>0</v>
      </c>
      <c r="AC234" s="16">
        <v>0</v>
      </c>
      <c r="AD234" s="16">
        <v>0</v>
      </c>
      <c r="AE234" s="16">
        <v>0</v>
      </c>
      <c r="AF234" s="16">
        <v>0</v>
      </c>
      <c r="AG234" s="16">
        <v>0</v>
      </c>
      <c r="AH234" s="16">
        <v>0</v>
      </c>
      <c r="AI234" s="16">
        <v>0</v>
      </c>
      <c r="AJ234" s="16">
        <v>0</v>
      </c>
      <c r="AK234" s="16">
        <v>0</v>
      </c>
      <c r="AL234" s="16">
        <v>0</v>
      </c>
      <c r="AM234" s="16">
        <v>0</v>
      </c>
      <c r="AN234" s="16">
        <v>0</v>
      </c>
      <c r="AO234" s="16">
        <v>0</v>
      </c>
      <c r="AP234" s="16">
        <v>0</v>
      </c>
      <c r="AQ234" s="16">
        <v>0</v>
      </c>
      <c r="AR234" s="16">
        <v>0</v>
      </c>
      <c r="AS234" s="16">
        <v>0</v>
      </c>
      <c r="AT234" s="16">
        <v>0</v>
      </c>
      <c r="AU234" s="16">
        <v>0</v>
      </c>
      <c r="AV234" s="16">
        <v>0</v>
      </c>
    </row>
    <row r="235" spans="1:48" ht="14.25" customHeight="1">
      <c r="A235" s="13"/>
      <c r="B235" s="14"/>
      <c r="C235" s="14"/>
      <c r="D235" s="14"/>
      <c r="E235" s="14"/>
      <c r="F235" s="14"/>
      <c r="G235" s="14"/>
      <c r="H235" s="14"/>
      <c r="I235" s="14"/>
      <c r="J235" s="14"/>
      <c r="K235" s="15">
        <f t="shared" si="12"/>
        <v>0</v>
      </c>
      <c r="L235" s="24"/>
      <c r="M235" s="14"/>
      <c r="N235" s="49"/>
      <c r="O235" s="24"/>
      <c r="P235" s="24">
        <f t="shared" si="7"/>
        <v>0</v>
      </c>
      <c r="Q235" s="23"/>
      <c r="R235" s="24"/>
      <c r="S235" s="49"/>
      <c r="T235" s="24"/>
      <c r="U235" s="24">
        <f t="shared" si="8"/>
        <v>0</v>
      </c>
      <c r="V235" s="24"/>
      <c r="AA235" s="16">
        <v>0</v>
      </c>
      <c r="AB235" s="16">
        <v>0</v>
      </c>
      <c r="AC235" s="16">
        <v>0</v>
      </c>
      <c r="AD235" s="16">
        <v>0</v>
      </c>
      <c r="AE235" s="16">
        <v>0</v>
      </c>
      <c r="AF235" s="16">
        <v>0</v>
      </c>
      <c r="AG235" s="16">
        <v>0</v>
      </c>
      <c r="AH235" s="16">
        <v>0</v>
      </c>
      <c r="AI235" s="16">
        <v>0</v>
      </c>
      <c r="AJ235" s="16">
        <v>0</v>
      </c>
      <c r="AK235" s="16">
        <v>0</v>
      </c>
      <c r="AL235" s="16">
        <v>0</v>
      </c>
      <c r="AM235" s="16">
        <v>0</v>
      </c>
      <c r="AN235" s="16">
        <v>0</v>
      </c>
      <c r="AO235" s="16">
        <v>0</v>
      </c>
      <c r="AP235" s="16">
        <v>0</v>
      </c>
      <c r="AQ235" s="16">
        <v>0</v>
      </c>
      <c r="AR235" s="16">
        <v>0</v>
      </c>
      <c r="AS235" s="16">
        <v>0</v>
      </c>
      <c r="AT235" s="16">
        <v>0</v>
      </c>
      <c r="AU235" s="16">
        <v>0</v>
      </c>
      <c r="AV235" s="16">
        <v>0</v>
      </c>
    </row>
    <row r="236" spans="1:48" ht="14.25" customHeight="1">
      <c r="A236" s="13"/>
      <c r="B236" s="14"/>
      <c r="C236" s="14"/>
      <c r="D236" s="14"/>
      <c r="E236" s="14"/>
      <c r="F236" s="14"/>
      <c r="G236" s="14"/>
      <c r="H236" s="14"/>
      <c r="I236" s="14"/>
      <c r="J236" s="14"/>
      <c r="K236" s="15">
        <f t="shared" si="12"/>
        <v>0</v>
      </c>
      <c r="L236" s="24"/>
      <c r="M236" s="14"/>
      <c r="N236" s="49"/>
      <c r="O236" s="24"/>
      <c r="P236" s="24">
        <f t="shared" si="7"/>
        <v>0</v>
      </c>
      <c r="Q236" s="23"/>
      <c r="R236" s="24"/>
      <c r="S236" s="49"/>
      <c r="T236" s="24"/>
      <c r="U236" s="24">
        <f t="shared" si="8"/>
        <v>0</v>
      </c>
      <c r="V236" s="24"/>
      <c r="AA236" s="16">
        <v>0</v>
      </c>
      <c r="AB236" s="16">
        <v>0</v>
      </c>
      <c r="AC236" s="16">
        <v>0</v>
      </c>
      <c r="AD236" s="16">
        <v>0</v>
      </c>
      <c r="AE236" s="16">
        <v>0</v>
      </c>
      <c r="AF236" s="16">
        <v>0</v>
      </c>
      <c r="AG236" s="16">
        <v>0</v>
      </c>
      <c r="AH236" s="16">
        <v>0</v>
      </c>
      <c r="AI236" s="16">
        <v>0</v>
      </c>
      <c r="AJ236" s="16">
        <v>0</v>
      </c>
      <c r="AK236" s="16">
        <v>0</v>
      </c>
      <c r="AL236" s="16">
        <v>0</v>
      </c>
      <c r="AM236" s="16">
        <v>0</v>
      </c>
      <c r="AN236" s="16">
        <v>0</v>
      </c>
      <c r="AO236" s="16">
        <v>0</v>
      </c>
      <c r="AP236" s="16">
        <v>0</v>
      </c>
      <c r="AQ236" s="16">
        <v>0</v>
      </c>
      <c r="AR236" s="16">
        <v>0</v>
      </c>
      <c r="AS236" s="16">
        <v>0</v>
      </c>
      <c r="AT236" s="16">
        <v>0</v>
      </c>
      <c r="AU236" s="16">
        <v>0</v>
      </c>
      <c r="AV236" s="16">
        <v>0</v>
      </c>
    </row>
    <row r="237" spans="1:48" ht="14.25" customHeight="1">
      <c r="A237" s="13"/>
      <c r="B237" s="14"/>
      <c r="C237" s="14"/>
      <c r="D237" s="14"/>
      <c r="E237" s="14"/>
      <c r="F237" s="14"/>
      <c r="G237" s="14"/>
      <c r="H237" s="14"/>
      <c r="I237" s="14"/>
      <c r="J237" s="14"/>
      <c r="K237" s="15">
        <f t="shared" si="12"/>
        <v>0</v>
      </c>
      <c r="L237" s="24"/>
      <c r="M237" s="14"/>
      <c r="N237" s="49"/>
      <c r="O237" s="24"/>
      <c r="P237" s="24">
        <f t="shared" si="7"/>
        <v>0</v>
      </c>
      <c r="Q237" s="23"/>
      <c r="R237" s="24"/>
      <c r="S237" s="49"/>
      <c r="T237" s="24"/>
      <c r="U237" s="24">
        <f t="shared" si="8"/>
        <v>0</v>
      </c>
      <c r="V237" s="24"/>
      <c r="AA237" s="16">
        <v>0</v>
      </c>
      <c r="AB237" s="16">
        <v>0</v>
      </c>
      <c r="AC237" s="16">
        <v>0</v>
      </c>
      <c r="AD237" s="16">
        <v>0</v>
      </c>
      <c r="AE237" s="16">
        <v>0</v>
      </c>
      <c r="AF237" s="16">
        <v>0</v>
      </c>
      <c r="AG237" s="16">
        <v>0</v>
      </c>
      <c r="AH237" s="16">
        <v>0</v>
      </c>
      <c r="AI237" s="16">
        <v>0</v>
      </c>
      <c r="AJ237" s="16">
        <v>0</v>
      </c>
      <c r="AK237" s="16">
        <v>0</v>
      </c>
      <c r="AL237" s="16">
        <v>0</v>
      </c>
      <c r="AM237" s="16">
        <v>0</v>
      </c>
      <c r="AN237" s="16">
        <v>0</v>
      </c>
      <c r="AO237" s="16">
        <v>0</v>
      </c>
      <c r="AP237" s="16">
        <v>0</v>
      </c>
      <c r="AQ237" s="16">
        <v>0</v>
      </c>
      <c r="AR237" s="16">
        <v>0</v>
      </c>
      <c r="AS237" s="16">
        <v>0</v>
      </c>
      <c r="AT237" s="16">
        <v>0</v>
      </c>
      <c r="AU237" s="16">
        <v>0</v>
      </c>
      <c r="AV237" s="16">
        <v>0</v>
      </c>
    </row>
    <row r="238" spans="1:48" ht="14.25" customHeight="1">
      <c r="A238" s="13"/>
      <c r="B238" s="14"/>
      <c r="C238" s="14"/>
      <c r="D238" s="14"/>
      <c r="E238" s="14"/>
      <c r="F238" s="14"/>
      <c r="G238" s="14"/>
      <c r="H238" s="14"/>
      <c r="I238" s="14"/>
      <c r="J238" s="14"/>
      <c r="K238" s="15">
        <f t="shared" si="12"/>
        <v>0</v>
      </c>
      <c r="L238" s="24"/>
      <c r="M238" s="14"/>
      <c r="N238" s="49"/>
      <c r="O238" s="24"/>
      <c r="P238" s="24">
        <f t="shared" si="7"/>
        <v>0</v>
      </c>
      <c r="Q238" s="23"/>
      <c r="R238" s="24"/>
      <c r="S238" s="49"/>
      <c r="T238" s="24"/>
      <c r="U238" s="24">
        <f t="shared" si="8"/>
        <v>0</v>
      </c>
      <c r="V238" s="24"/>
      <c r="AA238" s="16">
        <v>0</v>
      </c>
      <c r="AB238" s="16">
        <v>0</v>
      </c>
      <c r="AC238" s="16">
        <v>0</v>
      </c>
      <c r="AD238" s="16">
        <v>0</v>
      </c>
      <c r="AE238" s="16">
        <v>0</v>
      </c>
      <c r="AF238" s="16">
        <v>0</v>
      </c>
      <c r="AG238" s="16">
        <v>0</v>
      </c>
      <c r="AH238" s="16">
        <v>0</v>
      </c>
      <c r="AI238" s="16">
        <v>0</v>
      </c>
      <c r="AJ238" s="16">
        <v>0</v>
      </c>
      <c r="AK238" s="16">
        <v>0</v>
      </c>
      <c r="AL238" s="16">
        <v>0</v>
      </c>
      <c r="AM238" s="16">
        <v>0</v>
      </c>
      <c r="AN238" s="16">
        <v>0</v>
      </c>
      <c r="AO238" s="16">
        <v>0</v>
      </c>
      <c r="AP238" s="16">
        <v>0</v>
      </c>
      <c r="AQ238" s="16">
        <v>0</v>
      </c>
      <c r="AR238" s="16">
        <v>0</v>
      </c>
      <c r="AS238" s="16">
        <v>0</v>
      </c>
      <c r="AT238" s="16">
        <v>0</v>
      </c>
      <c r="AU238" s="16">
        <v>0</v>
      </c>
      <c r="AV238" s="16">
        <v>0</v>
      </c>
    </row>
    <row r="239" spans="1:48" ht="14.25" customHeight="1">
      <c r="A239" s="13"/>
      <c r="B239" s="14"/>
      <c r="C239" s="14"/>
      <c r="D239" s="14"/>
      <c r="E239" s="14"/>
      <c r="F239" s="14"/>
      <c r="G239" s="14"/>
      <c r="H239" s="14"/>
      <c r="I239" s="14"/>
      <c r="J239" s="14"/>
      <c r="K239" s="15">
        <f t="shared" si="12"/>
        <v>0</v>
      </c>
      <c r="L239" s="24"/>
      <c r="M239" s="14"/>
      <c r="N239" s="49"/>
      <c r="O239" s="24"/>
      <c r="P239" s="24">
        <f t="shared" si="7"/>
        <v>0</v>
      </c>
      <c r="Q239" s="23"/>
      <c r="R239" s="24"/>
      <c r="S239" s="49"/>
      <c r="T239" s="24"/>
      <c r="U239" s="24">
        <f t="shared" si="8"/>
        <v>0</v>
      </c>
      <c r="V239" s="24"/>
      <c r="AA239" s="16">
        <v>0</v>
      </c>
      <c r="AB239" s="16">
        <v>0</v>
      </c>
      <c r="AC239" s="16">
        <v>0</v>
      </c>
      <c r="AD239" s="16">
        <v>0</v>
      </c>
      <c r="AE239" s="16">
        <v>0</v>
      </c>
      <c r="AF239" s="16">
        <v>0</v>
      </c>
      <c r="AG239" s="16">
        <v>0</v>
      </c>
      <c r="AH239" s="16">
        <v>0</v>
      </c>
      <c r="AI239" s="16">
        <v>0</v>
      </c>
      <c r="AJ239" s="16">
        <v>0</v>
      </c>
      <c r="AK239" s="16">
        <v>0</v>
      </c>
      <c r="AL239" s="16">
        <v>0</v>
      </c>
      <c r="AM239" s="16">
        <v>0</v>
      </c>
      <c r="AN239" s="16">
        <v>0</v>
      </c>
      <c r="AO239" s="16">
        <v>0</v>
      </c>
      <c r="AP239" s="16">
        <v>0</v>
      </c>
      <c r="AQ239" s="16">
        <v>0</v>
      </c>
      <c r="AR239" s="16">
        <v>0</v>
      </c>
      <c r="AS239" s="16">
        <v>0</v>
      </c>
      <c r="AT239" s="16">
        <v>0</v>
      </c>
      <c r="AU239" s="16">
        <v>0</v>
      </c>
      <c r="AV239" s="16">
        <v>0</v>
      </c>
    </row>
    <row r="240" spans="1:48" ht="14.25" customHeight="1">
      <c r="A240" s="13"/>
      <c r="B240" s="14"/>
      <c r="C240" s="14"/>
      <c r="D240" s="14"/>
      <c r="E240" s="14"/>
      <c r="F240" s="14"/>
      <c r="G240" s="14"/>
      <c r="H240" s="14"/>
      <c r="I240" s="14"/>
      <c r="J240" s="14"/>
      <c r="K240" s="15">
        <f t="shared" si="12"/>
        <v>0</v>
      </c>
      <c r="L240" s="24"/>
      <c r="M240" s="14"/>
      <c r="N240" s="49"/>
      <c r="O240" s="24"/>
      <c r="P240" s="24">
        <f t="shared" si="7"/>
        <v>0</v>
      </c>
      <c r="Q240" s="23"/>
      <c r="R240" s="24"/>
      <c r="S240" s="49"/>
      <c r="T240" s="24"/>
      <c r="U240" s="24">
        <f t="shared" si="8"/>
        <v>0</v>
      </c>
      <c r="V240" s="24"/>
      <c r="AA240" s="16">
        <v>0</v>
      </c>
      <c r="AB240" s="16">
        <v>0</v>
      </c>
      <c r="AC240" s="16">
        <v>0</v>
      </c>
      <c r="AD240" s="16">
        <v>0</v>
      </c>
      <c r="AE240" s="16">
        <v>0</v>
      </c>
      <c r="AF240" s="16">
        <v>0</v>
      </c>
      <c r="AG240" s="16">
        <v>0</v>
      </c>
      <c r="AH240" s="16">
        <v>0</v>
      </c>
      <c r="AI240" s="16">
        <v>0</v>
      </c>
      <c r="AJ240" s="16">
        <v>0</v>
      </c>
      <c r="AK240" s="16">
        <v>0</v>
      </c>
      <c r="AL240" s="16">
        <v>0</v>
      </c>
      <c r="AM240" s="16">
        <v>0</v>
      </c>
      <c r="AN240" s="16">
        <v>0</v>
      </c>
      <c r="AO240" s="16">
        <v>0</v>
      </c>
      <c r="AP240" s="16">
        <v>0</v>
      </c>
      <c r="AQ240" s="16">
        <v>0</v>
      </c>
      <c r="AR240" s="16">
        <v>0</v>
      </c>
      <c r="AS240" s="16">
        <v>0</v>
      </c>
      <c r="AT240" s="16">
        <v>0</v>
      </c>
      <c r="AU240" s="16">
        <v>0</v>
      </c>
      <c r="AV240" s="16">
        <v>0</v>
      </c>
    </row>
    <row r="241" spans="1:48" ht="14.25" customHeight="1">
      <c r="A241" s="13"/>
      <c r="B241" s="14"/>
      <c r="C241" s="14"/>
      <c r="D241" s="14"/>
      <c r="E241" s="14"/>
      <c r="F241" s="14"/>
      <c r="G241" s="14"/>
      <c r="H241" s="14"/>
      <c r="I241" s="14"/>
      <c r="J241" s="14"/>
      <c r="K241" s="15">
        <f t="shared" si="12"/>
        <v>0</v>
      </c>
      <c r="L241" s="24"/>
      <c r="M241" s="14"/>
      <c r="N241" s="49"/>
      <c r="O241" s="24"/>
      <c r="P241" s="24">
        <f t="shared" si="7"/>
        <v>0</v>
      </c>
      <c r="Q241" s="23"/>
      <c r="R241" s="24"/>
      <c r="S241" s="49"/>
      <c r="T241" s="24"/>
      <c r="U241" s="24">
        <f t="shared" si="8"/>
        <v>0</v>
      </c>
      <c r="V241" s="24"/>
      <c r="AA241" s="16">
        <v>0</v>
      </c>
      <c r="AB241" s="16">
        <v>0</v>
      </c>
      <c r="AC241" s="16">
        <v>0</v>
      </c>
      <c r="AD241" s="16">
        <v>0</v>
      </c>
      <c r="AE241" s="16">
        <v>0</v>
      </c>
      <c r="AF241" s="16">
        <v>0</v>
      </c>
      <c r="AG241" s="16">
        <v>0</v>
      </c>
      <c r="AH241" s="16">
        <v>0</v>
      </c>
      <c r="AI241" s="16">
        <v>0</v>
      </c>
      <c r="AJ241" s="16">
        <v>0</v>
      </c>
      <c r="AK241" s="16">
        <v>0</v>
      </c>
      <c r="AL241" s="16">
        <v>0</v>
      </c>
      <c r="AM241" s="16">
        <v>0</v>
      </c>
      <c r="AN241" s="16">
        <v>0</v>
      </c>
      <c r="AO241" s="16">
        <v>0</v>
      </c>
      <c r="AP241" s="16">
        <v>0</v>
      </c>
      <c r="AQ241" s="16">
        <v>0</v>
      </c>
      <c r="AR241" s="16">
        <v>0</v>
      </c>
      <c r="AS241" s="16">
        <v>0</v>
      </c>
      <c r="AT241" s="16">
        <v>0</v>
      </c>
      <c r="AU241" s="16">
        <v>0</v>
      </c>
      <c r="AV241" s="16">
        <v>0</v>
      </c>
    </row>
    <row r="242" spans="1:48" ht="14.25" customHeight="1">
      <c r="A242" s="13"/>
      <c r="B242" s="14"/>
      <c r="C242" s="14"/>
      <c r="D242" s="14"/>
      <c r="E242" s="14"/>
      <c r="F242" s="14"/>
      <c r="G242" s="14"/>
      <c r="H242" s="14"/>
      <c r="I242" s="14"/>
      <c r="J242" s="14"/>
      <c r="K242" s="15">
        <f t="shared" si="12"/>
        <v>0</v>
      </c>
      <c r="L242" s="24"/>
      <c r="M242" s="14"/>
      <c r="N242" s="49"/>
      <c r="O242" s="24"/>
      <c r="P242" s="24">
        <f t="shared" si="7"/>
        <v>0</v>
      </c>
      <c r="Q242" s="23"/>
      <c r="R242" s="24"/>
      <c r="S242" s="49"/>
      <c r="T242" s="24"/>
      <c r="U242" s="24">
        <f t="shared" si="8"/>
        <v>0</v>
      </c>
      <c r="V242" s="24"/>
      <c r="AA242" s="16">
        <v>0</v>
      </c>
      <c r="AB242" s="16">
        <v>0</v>
      </c>
      <c r="AC242" s="16">
        <v>0</v>
      </c>
      <c r="AD242" s="16">
        <v>0</v>
      </c>
      <c r="AE242" s="16">
        <v>0</v>
      </c>
      <c r="AF242" s="16">
        <v>0</v>
      </c>
      <c r="AG242" s="16">
        <v>0</v>
      </c>
      <c r="AH242" s="16">
        <v>0</v>
      </c>
      <c r="AI242" s="16">
        <v>0</v>
      </c>
      <c r="AJ242" s="16">
        <v>0</v>
      </c>
      <c r="AK242" s="16">
        <v>0</v>
      </c>
      <c r="AL242" s="16">
        <v>0</v>
      </c>
      <c r="AM242" s="16">
        <v>0</v>
      </c>
      <c r="AN242" s="16">
        <v>0</v>
      </c>
      <c r="AO242" s="16">
        <v>0</v>
      </c>
      <c r="AP242" s="16">
        <v>0</v>
      </c>
      <c r="AQ242" s="16">
        <v>0</v>
      </c>
      <c r="AR242" s="16">
        <v>0</v>
      </c>
      <c r="AS242" s="16">
        <v>0</v>
      </c>
      <c r="AT242" s="16">
        <v>0</v>
      </c>
      <c r="AU242" s="16">
        <v>0</v>
      </c>
      <c r="AV242" s="16">
        <v>0</v>
      </c>
    </row>
    <row r="243" spans="1:48" ht="14.25" customHeight="1">
      <c r="A243" s="13"/>
      <c r="B243" s="14"/>
      <c r="C243" s="14"/>
      <c r="D243" s="14"/>
      <c r="E243" s="14"/>
      <c r="F243" s="14"/>
      <c r="G243" s="14"/>
      <c r="H243" s="14"/>
      <c r="I243" s="14"/>
      <c r="J243" s="14"/>
      <c r="K243" s="15">
        <f t="shared" si="12"/>
        <v>0</v>
      </c>
      <c r="L243" s="24"/>
      <c r="M243" s="14"/>
      <c r="N243" s="49"/>
      <c r="O243" s="24"/>
      <c r="P243" s="24">
        <f t="shared" si="7"/>
        <v>0</v>
      </c>
      <c r="Q243" s="23"/>
      <c r="R243" s="24"/>
      <c r="S243" s="49"/>
      <c r="T243" s="24"/>
      <c r="U243" s="24">
        <f t="shared" si="8"/>
        <v>0</v>
      </c>
      <c r="V243" s="24"/>
      <c r="AA243" s="16">
        <v>0</v>
      </c>
      <c r="AB243" s="16">
        <v>0</v>
      </c>
      <c r="AC243" s="16">
        <v>0</v>
      </c>
      <c r="AD243" s="16">
        <v>0</v>
      </c>
      <c r="AE243" s="16">
        <v>0</v>
      </c>
      <c r="AF243" s="16">
        <v>0</v>
      </c>
      <c r="AG243" s="16">
        <v>0</v>
      </c>
      <c r="AH243" s="16">
        <v>0</v>
      </c>
      <c r="AI243" s="16">
        <v>0</v>
      </c>
      <c r="AJ243" s="16">
        <v>0</v>
      </c>
      <c r="AK243" s="16">
        <v>0</v>
      </c>
      <c r="AL243" s="16">
        <v>0</v>
      </c>
      <c r="AM243" s="16">
        <v>0</v>
      </c>
      <c r="AN243" s="16">
        <v>0</v>
      </c>
      <c r="AO243" s="16">
        <v>0</v>
      </c>
      <c r="AP243" s="16">
        <v>0</v>
      </c>
      <c r="AQ243" s="16">
        <v>0</v>
      </c>
      <c r="AR243" s="16">
        <v>0</v>
      </c>
      <c r="AS243" s="16">
        <v>0</v>
      </c>
      <c r="AT243" s="16">
        <v>0</v>
      </c>
      <c r="AU243" s="16">
        <v>0</v>
      </c>
      <c r="AV243" s="16">
        <v>0</v>
      </c>
    </row>
    <row r="244" spans="1:48" ht="14.25" customHeight="1">
      <c r="A244" s="13"/>
      <c r="B244" s="14"/>
      <c r="C244" s="14"/>
      <c r="D244" s="14"/>
      <c r="E244" s="14"/>
      <c r="F244" s="14"/>
      <c r="G244" s="14"/>
      <c r="H244" s="14"/>
      <c r="I244" s="14"/>
      <c r="J244" s="14"/>
      <c r="K244" s="15">
        <f t="shared" si="12"/>
        <v>0</v>
      </c>
      <c r="L244" s="24"/>
      <c r="M244" s="14"/>
      <c r="N244" s="49"/>
      <c r="O244" s="24"/>
      <c r="P244" s="24">
        <f t="shared" si="7"/>
        <v>0</v>
      </c>
      <c r="Q244" s="23"/>
      <c r="R244" s="24"/>
      <c r="S244" s="49"/>
      <c r="T244" s="24"/>
      <c r="U244" s="24">
        <f t="shared" si="8"/>
        <v>0</v>
      </c>
      <c r="V244" s="24"/>
      <c r="AA244" s="16">
        <v>0</v>
      </c>
      <c r="AB244" s="16">
        <v>0</v>
      </c>
      <c r="AC244" s="16">
        <v>0</v>
      </c>
      <c r="AD244" s="16">
        <v>0</v>
      </c>
      <c r="AE244" s="16">
        <v>0</v>
      </c>
      <c r="AF244" s="16">
        <v>0</v>
      </c>
      <c r="AG244" s="16">
        <v>0</v>
      </c>
      <c r="AH244" s="16">
        <v>0</v>
      </c>
      <c r="AI244" s="16">
        <v>0</v>
      </c>
      <c r="AJ244" s="16">
        <v>0</v>
      </c>
      <c r="AK244" s="16">
        <v>0</v>
      </c>
      <c r="AL244" s="16">
        <v>0</v>
      </c>
      <c r="AM244" s="16">
        <v>0</v>
      </c>
      <c r="AN244" s="16">
        <v>0</v>
      </c>
      <c r="AO244" s="16">
        <v>0</v>
      </c>
      <c r="AP244" s="16">
        <v>0</v>
      </c>
      <c r="AQ244" s="16">
        <v>0</v>
      </c>
      <c r="AR244" s="16">
        <v>0</v>
      </c>
      <c r="AS244" s="16">
        <v>0</v>
      </c>
      <c r="AT244" s="16">
        <v>0</v>
      </c>
      <c r="AU244" s="16">
        <v>0</v>
      </c>
      <c r="AV244" s="16">
        <v>0</v>
      </c>
    </row>
    <row r="245" spans="1:48" ht="14.25" customHeight="1">
      <c r="A245" s="13"/>
      <c r="B245" s="14"/>
      <c r="C245" s="14"/>
      <c r="D245" s="14"/>
      <c r="E245" s="14"/>
      <c r="F245" s="14"/>
      <c r="G245" s="14"/>
      <c r="H245" s="14"/>
      <c r="I245" s="14"/>
      <c r="J245" s="14"/>
      <c r="K245" s="15">
        <f t="shared" si="12"/>
        <v>0</v>
      </c>
      <c r="L245" s="24"/>
      <c r="M245" s="14"/>
      <c r="N245" s="49"/>
      <c r="O245" s="24"/>
      <c r="P245" s="24">
        <f t="shared" si="7"/>
        <v>0</v>
      </c>
      <c r="Q245" s="23"/>
      <c r="R245" s="24"/>
      <c r="S245" s="49"/>
      <c r="T245" s="24"/>
      <c r="U245" s="24">
        <f t="shared" si="8"/>
        <v>0</v>
      </c>
      <c r="V245" s="24"/>
      <c r="AA245" s="16">
        <v>0</v>
      </c>
      <c r="AB245" s="16">
        <v>0</v>
      </c>
      <c r="AC245" s="16">
        <v>0</v>
      </c>
      <c r="AD245" s="16">
        <v>0</v>
      </c>
      <c r="AE245" s="16">
        <v>0</v>
      </c>
      <c r="AF245" s="16">
        <v>0</v>
      </c>
      <c r="AG245" s="16">
        <v>0</v>
      </c>
      <c r="AH245" s="16">
        <v>0</v>
      </c>
      <c r="AI245" s="16">
        <v>0</v>
      </c>
      <c r="AJ245" s="16">
        <v>0</v>
      </c>
      <c r="AK245" s="16">
        <v>0</v>
      </c>
      <c r="AL245" s="16">
        <v>0</v>
      </c>
      <c r="AM245" s="16">
        <v>0</v>
      </c>
      <c r="AN245" s="16">
        <v>0</v>
      </c>
      <c r="AO245" s="16">
        <v>0</v>
      </c>
      <c r="AP245" s="16">
        <v>0</v>
      </c>
      <c r="AQ245" s="16">
        <v>0</v>
      </c>
      <c r="AR245" s="16">
        <v>0</v>
      </c>
      <c r="AS245" s="16">
        <v>0</v>
      </c>
      <c r="AT245" s="16">
        <v>0</v>
      </c>
      <c r="AU245" s="16">
        <v>0</v>
      </c>
      <c r="AV245" s="16">
        <v>0</v>
      </c>
    </row>
    <row r="246" spans="1:48" ht="14.25" customHeight="1">
      <c r="A246" s="13"/>
      <c r="B246" s="14"/>
      <c r="C246" s="14"/>
      <c r="D246" s="14"/>
      <c r="E246" s="14"/>
      <c r="F246" s="14"/>
      <c r="G246" s="14"/>
      <c r="H246" s="14"/>
      <c r="I246" s="14"/>
      <c r="J246" s="14"/>
      <c r="K246" s="15">
        <f t="shared" si="12"/>
        <v>0</v>
      </c>
      <c r="L246" s="24"/>
      <c r="M246" s="14"/>
      <c r="N246" s="49"/>
      <c r="O246" s="24"/>
      <c r="P246" s="24">
        <f t="shared" si="7"/>
        <v>0</v>
      </c>
      <c r="Q246" s="23"/>
      <c r="R246" s="24"/>
      <c r="S246" s="49"/>
      <c r="T246" s="24"/>
      <c r="U246" s="24">
        <f t="shared" si="8"/>
        <v>0</v>
      </c>
      <c r="V246" s="24"/>
      <c r="AA246" s="16">
        <v>0</v>
      </c>
      <c r="AB246" s="16">
        <v>0</v>
      </c>
      <c r="AC246" s="16">
        <v>0</v>
      </c>
      <c r="AD246" s="16">
        <v>0</v>
      </c>
      <c r="AE246" s="16">
        <v>0</v>
      </c>
      <c r="AF246" s="16">
        <v>0</v>
      </c>
      <c r="AG246" s="16">
        <v>0</v>
      </c>
      <c r="AH246" s="16">
        <v>0</v>
      </c>
      <c r="AI246" s="16">
        <v>0</v>
      </c>
      <c r="AJ246" s="16">
        <v>0</v>
      </c>
      <c r="AK246" s="16">
        <v>0</v>
      </c>
      <c r="AL246" s="16">
        <v>0</v>
      </c>
      <c r="AM246" s="16">
        <v>0</v>
      </c>
      <c r="AN246" s="16">
        <v>0</v>
      </c>
      <c r="AO246" s="16">
        <v>0</v>
      </c>
      <c r="AP246" s="16">
        <v>0</v>
      </c>
      <c r="AQ246" s="16">
        <v>0</v>
      </c>
      <c r="AR246" s="16">
        <v>0</v>
      </c>
      <c r="AS246" s="16">
        <v>0</v>
      </c>
      <c r="AT246" s="16">
        <v>0</v>
      </c>
      <c r="AU246" s="16">
        <v>0</v>
      </c>
      <c r="AV246" s="16">
        <v>0</v>
      </c>
    </row>
    <row r="247" spans="1:48" ht="14.25" customHeight="1">
      <c r="A247" s="13"/>
      <c r="B247" s="14"/>
      <c r="C247" s="14"/>
      <c r="D247" s="14"/>
      <c r="E247" s="14"/>
      <c r="F247" s="14"/>
      <c r="G247" s="14"/>
      <c r="H247" s="14"/>
      <c r="I247" s="14"/>
      <c r="J247" s="14"/>
      <c r="K247" s="15">
        <f t="shared" si="12"/>
        <v>0</v>
      </c>
      <c r="L247" s="24"/>
      <c r="M247" s="14"/>
      <c r="N247" s="49"/>
      <c r="O247" s="24"/>
      <c r="P247" s="24">
        <f t="shared" si="7"/>
        <v>0</v>
      </c>
      <c r="Q247" s="23"/>
      <c r="R247" s="24"/>
      <c r="S247" s="49"/>
      <c r="T247" s="24"/>
      <c r="U247" s="24">
        <f t="shared" si="8"/>
        <v>0</v>
      </c>
      <c r="V247" s="24"/>
      <c r="AA247" s="16">
        <v>0</v>
      </c>
      <c r="AB247" s="16">
        <v>0</v>
      </c>
      <c r="AC247" s="16">
        <v>0</v>
      </c>
      <c r="AD247" s="16">
        <v>0</v>
      </c>
      <c r="AE247" s="16">
        <v>0</v>
      </c>
      <c r="AF247" s="16">
        <v>0</v>
      </c>
      <c r="AG247" s="16">
        <v>0</v>
      </c>
      <c r="AH247" s="16">
        <v>0</v>
      </c>
      <c r="AI247" s="16">
        <v>0</v>
      </c>
      <c r="AJ247" s="16">
        <v>0</v>
      </c>
      <c r="AK247" s="16">
        <v>0</v>
      </c>
      <c r="AL247" s="16">
        <v>0</v>
      </c>
      <c r="AM247" s="16">
        <v>0</v>
      </c>
      <c r="AN247" s="16">
        <v>0</v>
      </c>
      <c r="AO247" s="16">
        <v>0</v>
      </c>
      <c r="AP247" s="16">
        <v>0</v>
      </c>
      <c r="AQ247" s="16">
        <v>0</v>
      </c>
      <c r="AR247" s="16">
        <v>0</v>
      </c>
      <c r="AS247" s="16">
        <v>0</v>
      </c>
      <c r="AT247" s="16">
        <v>0</v>
      </c>
      <c r="AU247" s="16">
        <v>0</v>
      </c>
      <c r="AV247" s="16">
        <v>0</v>
      </c>
    </row>
    <row r="248" spans="1:48" ht="14.25" customHeight="1">
      <c r="A248" s="13"/>
      <c r="B248" s="14"/>
      <c r="C248" s="14"/>
      <c r="D248" s="14"/>
      <c r="E248" s="14"/>
      <c r="F248" s="14"/>
      <c r="G248" s="14"/>
      <c r="H248" s="14"/>
      <c r="I248" s="14"/>
      <c r="J248" s="14"/>
      <c r="K248" s="15">
        <f t="shared" si="12"/>
        <v>0</v>
      </c>
      <c r="L248" s="24"/>
      <c r="M248" s="14"/>
      <c r="N248" s="49"/>
      <c r="O248" s="24"/>
      <c r="P248" s="24">
        <f t="shared" si="7"/>
        <v>0</v>
      </c>
      <c r="Q248" s="23"/>
      <c r="R248" s="24"/>
      <c r="S248" s="49"/>
      <c r="T248" s="24"/>
      <c r="U248" s="24">
        <f t="shared" si="8"/>
        <v>0</v>
      </c>
      <c r="V248" s="24"/>
      <c r="AA248" s="16">
        <v>0</v>
      </c>
      <c r="AB248" s="16">
        <v>0</v>
      </c>
      <c r="AC248" s="16">
        <v>0</v>
      </c>
      <c r="AD248" s="16">
        <v>0</v>
      </c>
      <c r="AE248" s="16">
        <v>0</v>
      </c>
      <c r="AF248" s="16">
        <v>0</v>
      </c>
      <c r="AG248" s="16">
        <v>0</v>
      </c>
      <c r="AH248" s="16">
        <v>0</v>
      </c>
      <c r="AI248" s="16">
        <v>0</v>
      </c>
      <c r="AJ248" s="16">
        <v>0</v>
      </c>
      <c r="AK248" s="16">
        <v>0</v>
      </c>
      <c r="AL248" s="16">
        <v>0</v>
      </c>
      <c r="AM248" s="16">
        <v>0</v>
      </c>
      <c r="AN248" s="16">
        <v>0</v>
      </c>
      <c r="AO248" s="16">
        <v>0</v>
      </c>
      <c r="AP248" s="16">
        <v>0</v>
      </c>
      <c r="AQ248" s="16">
        <v>0</v>
      </c>
      <c r="AR248" s="16">
        <v>0</v>
      </c>
      <c r="AS248" s="16">
        <v>0</v>
      </c>
      <c r="AT248" s="16">
        <v>0</v>
      </c>
      <c r="AU248" s="16">
        <v>0</v>
      </c>
      <c r="AV248" s="16">
        <v>0</v>
      </c>
    </row>
    <row r="249" spans="1:48" ht="14.25" customHeight="1">
      <c r="A249" s="13"/>
      <c r="B249" s="14"/>
      <c r="C249" s="14"/>
      <c r="D249" s="14"/>
      <c r="E249" s="14"/>
      <c r="F249" s="14"/>
      <c r="G249" s="14"/>
      <c r="H249" s="14"/>
      <c r="I249" s="14"/>
      <c r="J249" s="14"/>
      <c r="K249" s="15">
        <f t="shared" si="12"/>
        <v>0</v>
      </c>
      <c r="L249" s="24"/>
      <c r="M249" s="14"/>
      <c r="N249" s="49"/>
      <c r="O249" s="24"/>
      <c r="P249" s="24">
        <f t="shared" si="7"/>
        <v>0</v>
      </c>
      <c r="Q249" s="23"/>
      <c r="R249" s="24"/>
      <c r="S249" s="49"/>
      <c r="T249" s="24"/>
      <c r="U249" s="24">
        <f t="shared" si="8"/>
        <v>0</v>
      </c>
      <c r="V249" s="24"/>
      <c r="AA249" s="16">
        <v>0</v>
      </c>
      <c r="AB249" s="16">
        <v>0</v>
      </c>
      <c r="AC249" s="16">
        <v>0</v>
      </c>
      <c r="AD249" s="16">
        <v>0</v>
      </c>
      <c r="AE249" s="16">
        <v>0</v>
      </c>
      <c r="AF249" s="16">
        <v>0</v>
      </c>
      <c r="AG249" s="16">
        <v>0</v>
      </c>
      <c r="AH249" s="16">
        <v>0</v>
      </c>
      <c r="AI249" s="16">
        <v>0</v>
      </c>
      <c r="AJ249" s="16">
        <v>0</v>
      </c>
      <c r="AK249" s="16">
        <v>0</v>
      </c>
      <c r="AL249" s="16">
        <v>0</v>
      </c>
      <c r="AM249" s="16">
        <v>0</v>
      </c>
      <c r="AN249" s="16">
        <v>0</v>
      </c>
      <c r="AO249" s="16">
        <v>0</v>
      </c>
      <c r="AP249" s="16">
        <v>0</v>
      </c>
      <c r="AQ249" s="16">
        <v>0</v>
      </c>
      <c r="AR249" s="16">
        <v>0</v>
      </c>
      <c r="AS249" s="16">
        <v>0</v>
      </c>
      <c r="AT249" s="16">
        <v>0</v>
      </c>
      <c r="AU249" s="16">
        <v>0</v>
      </c>
      <c r="AV249" s="16">
        <v>0</v>
      </c>
    </row>
    <row r="250" spans="1:48" ht="14.25" customHeight="1">
      <c r="A250" s="13"/>
      <c r="B250" s="14"/>
      <c r="C250" s="14"/>
      <c r="D250" s="14"/>
      <c r="E250" s="14"/>
      <c r="F250" s="14"/>
      <c r="G250" s="14"/>
      <c r="H250" s="14"/>
      <c r="I250" s="14"/>
      <c r="J250" s="14"/>
      <c r="K250" s="15">
        <f t="shared" si="12"/>
        <v>0</v>
      </c>
      <c r="L250" s="24"/>
      <c r="M250" s="14"/>
      <c r="N250" s="49"/>
      <c r="O250" s="24"/>
      <c r="P250" s="24">
        <f t="shared" si="7"/>
        <v>0</v>
      </c>
      <c r="Q250" s="23"/>
      <c r="R250" s="24"/>
      <c r="S250" s="49"/>
      <c r="T250" s="24"/>
      <c r="U250" s="24">
        <f t="shared" si="8"/>
        <v>0</v>
      </c>
      <c r="V250" s="24"/>
      <c r="AA250" s="16">
        <v>0</v>
      </c>
      <c r="AB250" s="16">
        <v>0</v>
      </c>
      <c r="AC250" s="16">
        <v>0</v>
      </c>
      <c r="AD250" s="16">
        <v>0</v>
      </c>
      <c r="AE250" s="16">
        <v>0</v>
      </c>
      <c r="AF250" s="16">
        <v>0</v>
      </c>
      <c r="AG250" s="16">
        <v>0</v>
      </c>
      <c r="AH250" s="16">
        <v>0</v>
      </c>
      <c r="AI250" s="16">
        <v>0</v>
      </c>
      <c r="AJ250" s="16">
        <v>0</v>
      </c>
      <c r="AK250" s="16">
        <v>0</v>
      </c>
      <c r="AL250" s="16">
        <v>0</v>
      </c>
      <c r="AM250" s="16">
        <v>0</v>
      </c>
      <c r="AN250" s="16">
        <v>0</v>
      </c>
      <c r="AO250" s="16">
        <v>0</v>
      </c>
      <c r="AP250" s="16">
        <v>0</v>
      </c>
      <c r="AQ250" s="16">
        <v>0</v>
      </c>
      <c r="AR250" s="16">
        <v>0</v>
      </c>
      <c r="AS250" s="16">
        <v>0</v>
      </c>
      <c r="AT250" s="16">
        <v>0</v>
      </c>
      <c r="AU250" s="16">
        <v>0</v>
      </c>
      <c r="AV250" s="16">
        <v>0</v>
      </c>
    </row>
    <row r="251" spans="1:48" ht="14.25" customHeight="1">
      <c r="A251" s="13"/>
      <c r="B251" s="14"/>
      <c r="C251" s="14"/>
      <c r="D251" s="14"/>
      <c r="E251" s="14"/>
      <c r="F251" s="14"/>
      <c r="G251" s="14"/>
      <c r="H251" s="14"/>
      <c r="I251" s="14"/>
      <c r="J251" s="14"/>
      <c r="K251" s="15">
        <f t="shared" si="12"/>
        <v>0</v>
      </c>
      <c r="L251" s="24"/>
      <c r="M251" s="14"/>
      <c r="N251" s="49"/>
      <c r="O251" s="24"/>
      <c r="P251" s="24">
        <f t="shared" si="7"/>
        <v>0</v>
      </c>
      <c r="Q251" s="23"/>
      <c r="R251" s="24"/>
      <c r="S251" s="49"/>
      <c r="T251" s="24"/>
      <c r="U251" s="24">
        <f t="shared" si="8"/>
        <v>0</v>
      </c>
      <c r="V251" s="24"/>
      <c r="AA251" s="16">
        <v>0</v>
      </c>
      <c r="AB251" s="16">
        <v>0</v>
      </c>
      <c r="AC251" s="16">
        <v>0</v>
      </c>
      <c r="AD251" s="16">
        <v>0</v>
      </c>
      <c r="AE251" s="16">
        <v>0</v>
      </c>
      <c r="AF251" s="16">
        <v>0</v>
      </c>
      <c r="AG251" s="16">
        <v>0</v>
      </c>
      <c r="AH251" s="16">
        <v>0</v>
      </c>
      <c r="AI251" s="16">
        <v>0</v>
      </c>
      <c r="AJ251" s="16">
        <v>0</v>
      </c>
      <c r="AK251" s="16">
        <v>0</v>
      </c>
      <c r="AL251" s="16">
        <v>0</v>
      </c>
      <c r="AM251" s="16">
        <v>0</v>
      </c>
      <c r="AN251" s="16">
        <v>0</v>
      </c>
      <c r="AO251" s="16">
        <v>0</v>
      </c>
      <c r="AP251" s="16">
        <v>0</v>
      </c>
      <c r="AQ251" s="16">
        <v>0</v>
      </c>
      <c r="AR251" s="16">
        <v>0</v>
      </c>
      <c r="AS251" s="16">
        <v>0</v>
      </c>
      <c r="AT251" s="16">
        <v>0</v>
      </c>
      <c r="AU251" s="16">
        <v>0</v>
      </c>
      <c r="AV251" s="16">
        <v>0</v>
      </c>
    </row>
    <row r="252" spans="1:48" ht="14.25" customHeight="1">
      <c r="A252" s="13"/>
      <c r="B252" s="14"/>
      <c r="C252" s="14"/>
      <c r="D252" s="14"/>
      <c r="E252" s="14"/>
      <c r="F252" s="14"/>
      <c r="G252" s="14"/>
      <c r="H252" s="14"/>
      <c r="I252" s="14"/>
      <c r="J252" s="14"/>
      <c r="K252" s="15">
        <f t="shared" si="12"/>
        <v>0</v>
      </c>
      <c r="L252" s="24"/>
      <c r="M252" s="14"/>
      <c r="N252" s="49"/>
      <c r="O252" s="24"/>
      <c r="P252" s="24">
        <f t="shared" si="7"/>
        <v>0</v>
      </c>
      <c r="Q252" s="23"/>
      <c r="R252" s="24"/>
      <c r="S252" s="49"/>
      <c r="T252" s="24"/>
      <c r="U252" s="24">
        <f t="shared" si="8"/>
        <v>0</v>
      </c>
      <c r="V252" s="24"/>
      <c r="AA252" s="16">
        <v>0</v>
      </c>
      <c r="AB252" s="16">
        <v>0</v>
      </c>
      <c r="AC252" s="16">
        <v>0</v>
      </c>
      <c r="AD252" s="16">
        <v>0</v>
      </c>
      <c r="AE252" s="16">
        <v>0</v>
      </c>
      <c r="AF252" s="16">
        <v>0</v>
      </c>
      <c r="AG252" s="16">
        <v>0</v>
      </c>
      <c r="AH252" s="16">
        <v>0</v>
      </c>
      <c r="AI252" s="16">
        <v>0</v>
      </c>
      <c r="AJ252" s="16">
        <v>0</v>
      </c>
      <c r="AK252" s="16">
        <v>0</v>
      </c>
      <c r="AL252" s="16">
        <v>0</v>
      </c>
      <c r="AM252" s="16">
        <v>0</v>
      </c>
      <c r="AN252" s="16">
        <v>0</v>
      </c>
      <c r="AO252" s="16">
        <v>0</v>
      </c>
      <c r="AP252" s="16">
        <v>0</v>
      </c>
      <c r="AQ252" s="16">
        <v>0</v>
      </c>
      <c r="AR252" s="16">
        <v>0</v>
      </c>
      <c r="AS252" s="16">
        <v>0</v>
      </c>
      <c r="AT252" s="16">
        <v>0</v>
      </c>
      <c r="AU252" s="16">
        <v>0</v>
      </c>
      <c r="AV252" s="16">
        <v>0</v>
      </c>
    </row>
    <row r="253" spans="1:48" ht="14.25" customHeight="1">
      <c r="A253" s="13"/>
      <c r="B253" s="14"/>
      <c r="C253" s="14"/>
      <c r="D253" s="14"/>
      <c r="E253" s="14"/>
      <c r="F253" s="14"/>
      <c r="G253" s="14"/>
      <c r="H253" s="14"/>
      <c r="I253" s="14"/>
      <c r="J253" s="14"/>
      <c r="K253" s="15">
        <f t="shared" si="12"/>
        <v>0</v>
      </c>
      <c r="L253" s="24"/>
      <c r="M253" s="14"/>
      <c r="N253" s="49"/>
      <c r="O253" s="24"/>
      <c r="P253" s="24">
        <f t="shared" si="7"/>
        <v>0</v>
      </c>
      <c r="Q253" s="23"/>
      <c r="R253" s="24"/>
      <c r="S253" s="49"/>
      <c r="T253" s="24"/>
      <c r="U253" s="24">
        <f t="shared" si="8"/>
        <v>0</v>
      </c>
      <c r="V253" s="24"/>
      <c r="AA253" s="16">
        <v>0</v>
      </c>
      <c r="AB253" s="16">
        <v>0</v>
      </c>
      <c r="AC253" s="16">
        <v>0</v>
      </c>
      <c r="AD253" s="16">
        <v>0</v>
      </c>
      <c r="AE253" s="16">
        <v>0</v>
      </c>
      <c r="AF253" s="16">
        <v>0</v>
      </c>
      <c r="AG253" s="16">
        <v>0</v>
      </c>
      <c r="AH253" s="16">
        <v>0</v>
      </c>
      <c r="AI253" s="16">
        <v>0</v>
      </c>
      <c r="AJ253" s="16">
        <v>0</v>
      </c>
      <c r="AK253" s="16">
        <v>0</v>
      </c>
      <c r="AL253" s="16">
        <v>0</v>
      </c>
      <c r="AM253" s="16">
        <v>0</v>
      </c>
      <c r="AN253" s="16">
        <v>0</v>
      </c>
      <c r="AO253" s="16">
        <v>0</v>
      </c>
      <c r="AP253" s="16">
        <v>0</v>
      </c>
      <c r="AQ253" s="16">
        <v>0</v>
      </c>
      <c r="AR253" s="16">
        <v>0</v>
      </c>
      <c r="AS253" s="16">
        <v>0</v>
      </c>
      <c r="AT253" s="16">
        <v>0</v>
      </c>
      <c r="AU253" s="16">
        <v>0</v>
      </c>
      <c r="AV253" s="16">
        <v>0</v>
      </c>
    </row>
    <row r="254" spans="1:48" ht="14.25" customHeight="1">
      <c r="A254" s="13"/>
      <c r="B254" s="14"/>
      <c r="C254" s="14"/>
      <c r="D254" s="14"/>
      <c r="E254" s="14"/>
      <c r="F254" s="14"/>
      <c r="G254" s="14"/>
      <c r="H254" s="14"/>
      <c r="I254" s="14"/>
      <c r="J254" s="14"/>
      <c r="K254" s="15">
        <f t="shared" si="12"/>
        <v>0</v>
      </c>
      <c r="L254" s="24"/>
      <c r="M254" s="14"/>
      <c r="N254" s="49"/>
      <c r="O254" s="24"/>
      <c r="P254" s="24">
        <f t="shared" si="7"/>
        <v>0</v>
      </c>
      <c r="Q254" s="23"/>
      <c r="R254" s="24"/>
      <c r="S254" s="49"/>
      <c r="T254" s="24"/>
      <c r="U254" s="24">
        <f t="shared" si="8"/>
        <v>0</v>
      </c>
      <c r="V254" s="24"/>
      <c r="AA254" s="16">
        <v>0</v>
      </c>
      <c r="AB254" s="16">
        <v>0</v>
      </c>
      <c r="AC254" s="16">
        <v>0</v>
      </c>
      <c r="AD254" s="16">
        <v>0</v>
      </c>
      <c r="AE254" s="16">
        <v>0</v>
      </c>
      <c r="AF254" s="16">
        <v>0</v>
      </c>
      <c r="AG254" s="16">
        <v>0</v>
      </c>
      <c r="AH254" s="16">
        <v>0</v>
      </c>
      <c r="AI254" s="16">
        <v>0</v>
      </c>
      <c r="AJ254" s="16">
        <v>0</v>
      </c>
      <c r="AK254" s="16">
        <v>0</v>
      </c>
      <c r="AL254" s="16">
        <v>0</v>
      </c>
      <c r="AM254" s="16">
        <v>0</v>
      </c>
      <c r="AN254" s="16">
        <v>0</v>
      </c>
      <c r="AO254" s="16">
        <v>0</v>
      </c>
      <c r="AP254" s="16">
        <v>0</v>
      </c>
      <c r="AQ254" s="16">
        <v>0</v>
      </c>
      <c r="AR254" s="16">
        <v>0</v>
      </c>
      <c r="AS254" s="16">
        <v>0</v>
      </c>
      <c r="AT254" s="16">
        <v>0</v>
      </c>
      <c r="AU254" s="16">
        <v>0</v>
      </c>
      <c r="AV254" s="16">
        <v>0</v>
      </c>
    </row>
    <row r="255" spans="1:48" ht="14.25" customHeight="1">
      <c r="A255" s="13"/>
      <c r="B255" s="14"/>
      <c r="C255" s="14"/>
      <c r="D255" s="14"/>
      <c r="E255" s="14"/>
      <c r="F255" s="14"/>
      <c r="G255" s="14"/>
      <c r="H255" s="14"/>
      <c r="I255" s="14"/>
      <c r="J255" s="14"/>
      <c r="K255" s="15">
        <f t="shared" si="12"/>
        <v>0</v>
      </c>
      <c r="L255" s="24"/>
      <c r="M255" s="14"/>
      <c r="N255" s="49"/>
      <c r="O255" s="24"/>
      <c r="P255" s="24">
        <f t="shared" si="7"/>
        <v>0</v>
      </c>
      <c r="Q255" s="23"/>
      <c r="R255" s="24"/>
      <c r="S255" s="49"/>
      <c r="T255" s="24"/>
      <c r="U255" s="24">
        <f t="shared" si="8"/>
        <v>0</v>
      </c>
      <c r="V255" s="24"/>
      <c r="AA255" s="16">
        <v>0</v>
      </c>
      <c r="AB255" s="16">
        <v>0</v>
      </c>
      <c r="AC255" s="16">
        <v>0</v>
      </c>
      <c r="AD255" s="16">
        <v>0</v>
      </c>
      <c r="AE255" s="16">
        <v>0</v>
      </c>
      <c r="AF255" s="16">
        <v>0</v>
      </c>
      <c r="AG255" s="16">
        <v>0</v>
      </c>
      <c r="AH255" s="16">
        <v>0</v>
      </c>
      <c r="AI255" s="16">
        <v>0</v>
      </c>
      <c r="AJ255" s="16">
        <v>0</v>
      </c>
      <c r="AK255" s="16">
        <v>0</v>
      </c>
      <c r="AL255" s="16">
        <v>0</v>
      </c>
      <c r="AM255" s="16">
        <v>0</v>
      </c>
      <c r="AN255" s="16">
        <v>0</v>
      </c>
      <c r="AO255" s="16">
        <v>0</v>
      </c>
      <c r="AP255" s="16">
        <v>0</v>
      </c>
      <c r="AQ255" s="16">
        <v>0</v>
      </c>
      <c r="AR255" s="16">
        <v>0</v>
      </c>
      <c r="AS255" s="16">
        <v>0</v>
      </c>
      <c r="AT255" s="16">
        <v>0</v>
      </c>
      <c r="AU255" s="16">
        <v>0</v>
      </c>
      <c r="AV255" s="16">
        <v>0</v>
      </c>
    </row>
    <row r="256" spans="1:48" ht="14.25" customHeight="1">
      <c r="A256" s="13"/>
      <c r="B256" s="14"/>
      <c r="C256" s="14"/>
      <c r="D256" s="14"/>
      <c r="E256" s="14"/>
      <c r="F256" s="14"/>
      <c r="G256" s="14"/>
      <c r="H256" s="14"/>
      <c r="I256" s="14"/>
      <c r="J256" s="14"/>
      <c r="K256" s="15">
        <f t="shared" si="12"/>
        <v>0</v>
      </c>
      <c r="L256" s="24"/>
      <c r="M256" s="14"/>
      <c r="N256" s="49"/>
      <c r="O256" s="24"/>
      <c r="P256" s="24">
        <f t="shared" si="7"/>
        <v>0</v>
      </c>
      <c r="Q256" s="23"/>
      <c r="R256" s="24"/>
      <c r="S256" s="49"/>
      <c r="T256" s="24"/>
      <c r="U256" s="24">
        <f t="shared" si="8"/>
        <v>0</v>
      </c>
      <c r="V256" s="24"/>
      <c r="AA256" s="16">
        <v>0</v>
      </c>
      <c r="AB256" s="16">
        <v>0</v>
      </c>
      <c r="AC256" s="16">
        <v>0</v>
      </c>
      <c r="AD256" s="16">
        <v>0</v>
      </c>
      <c r="AE256" s="16">
        <v>0</v>
      </c>
      <c r="AF256" s="16">
        <v>0</v>
      </c>
      <c r="AG256" s="16">
        <v>0</v>
      </c>
      <c r="AH256" s="16">
        <v>0</v>
      </c>
      <c r="AI256" s="16">
        <v>0</v>
      </c>
      <c r="AJ256" s="16">
        <v>0</v>
      </c>
      <c r="AK256" s="16">
        <v>0</v>
      </c>
      <c r="AL256" s="16">
        <v>0</v>
      </c>
      <c r="AM256" s="16">
        <v>0</v>
      </c>
      <c r="AN256" s="16">
        <v>0</v>
      </c>
      <c r="AO256" s="16">
        <v>0</v>
      </c>
      <c r="AP256" s="16">
        <v>0</v>
      </c>
      <c r="AQ256" s="16">
        <v>0</v>
      </c>
      <c r="AR256" s="16">
        <v>0</v>
      </c>
      <c r="AS256" s="16">
        <v>0</v>
      </c>
      <c r="AT256" s="16">
        <v>0</v>
      </c>
      <c r="AU256" s="16">
        <v>0</v>
      </c>
      <c r="AV256" s="16">
        <v>0</v>
      </c>
    </row>
    <row r="257" spans="1:48" ht="14.25" customHeight="1">
      <c r="A257" s="13"/>
      <c r="B257" s="14"/>
      <c r="C257" s="14"/>
      <c r="D257" s="14"/>
      <c r="E257" s="14"/>
      <c r="F257" s="14"/>
      <c r="G257" s="14"/>
      <c r="H257" s="14"/>
      <c r="I257" s="14"/>
      <c r="J257" s="14"/>
      <c r="K257" s="15">
        <f t="shared" si="12"/>
        <v>0</v>
      </c>
      <c r="L257" s="24"/>
      <c r="M257" s="14"/>
      <c r="N257" s="49"/>
      <c r="O257" s="24"/>
      <c r="P257" s="24">
        <f t="shared" si="7"/>
        <v>0</v>
      </c>
      <c r="Q257" s="23"/>
      <c r="R257" s="24"/>
      <c r="S257" s="49"/>
      <c r="T257" s="24"/>
      <c r="U257" s="24">
        <f t="shared" si="8"/>
        <v>0</v>
      </c>
      <c r="V257" s="24"/>
      <c r="AA257" s="16">
        <v>0</v>
      </c>
      <c r="AB257" s="16">
        <v>0</v>
      </c>
      <c r="AC257" s="16">
        <v>0</v>
      </c>
      <c r="AD257" s="16">
        <v>0</v>
      </c>
      <c r="AE257" s="16">
        <v>0</v>
      </c>
      <c r="AF257" s="16">
        <v>0</v>
      </c>
      <c r="AG257" s="16">
        <v>0</v>
      </c>
      <c r="AH257" s="16">
        <v>0</v>
      </c>
      <c r="AI257" s="16">
        <v>0</v>
      </c>
      <c r="AJ257" s="16">
        <v>0</v>
      </c>
      <c r="AK257" s="16">
        <v>0</v>
      </c>
      <c r="AL257" s="16">
        <v>0</v>
      </c>
      <c r="AM257" s="16">
        <v>0</v>
      </c>
      <c r="AN257" s="16">
        <v>0</v>
      </c>
      <c r="AO257" s="16">
        <v>0</v>
      </c>
      <c r="AP257" s="16">
        <v>0</v>
      </c>
      <c r="AQ257" s="16">
        <v>0</v>
      </c>
      <c r="AR257" s="16">
        <v>0</v>
      </c>
      <c r="AS257" s="16">
        <v>0</v>
      </c>
      <c r="AT257" s="16">
        <v>0</v>
      </c>
      <c r="AU257" s="16">
        <v>0</v>
      </c>
      <c r="AV257" s="16">
        <v>0</v>
      </c>
    </row>
    <row r="258" spans="1:48" ht="14.25" customHeight="1">
      <c r="A258" s="13"/>
      <c r="B258" s="14"/>
      <c r="C258" s="14"/>
      <c r="D258" s="14"/>
      <c r="E258" s="14"/>
      <c r="F258" s="14"/>
      <c r="G258" s="14"/>
      <c r="H258" s="14"/>
      <c r="I258" s="14"/>
      <c r="J258" s="14"/>
      <c r="K258" s="15">
        <f t="shared" si="12"/>
        <v>0</v>
      </c>
      <c r="L258" s="24"/>
      <c r="M258" s="14"/>
      <c r="N258" s="49"/>
      <c r="O258" s="24"/>
      <c r="P258" s="24">
        <f t="shared" si="7"/>
        <v>0</v>
      </c>
      <c r="Q258" s="23"/>
      <c r="R258" s="24"/>
      <c r="S258" s="49"/>
      <c r="T258" s="24"/>
      <c r="U258" s="24">
        <f t="shared" si="8"/>
        <v>0</v>
      </c>
      <c r="V258" s="24"/>
      <c r="AA258" s="16">
        <v>0</v>
      </c>
      <c r="AB258" s="16">
        <v>0</v>
      </c>
      <c r="AC258" s="16">
        <v>0</v>
      </c>
      <c r="AD258" s="16">
        <v>0</v>
      </c>
      <c r="AE258" s="16">
        <v>0</v>
      </c>
      <c r="AF258" s="16">
        <v>0</v>
      </c>
      <c r="AG258" s="16">
        <v>0</v>
      </c>
      <c r="AH258" s="16">
        <v>0</v>
      </c>
      <c r="AI258" s="16">
        <v>0</v>
      </c>
      <c r="AJ258" s="16">
        <v>0</v>
      </c>
      <c r="AK258" s="16">
        <v>0</v>
      </c>
      <c r="AL258" s="16">
        <v>0</v>
      </c>
      <c r="AM258" s="16">
        <v>0</v>
      </c>
      <c r="AN258" s="16">
        <v>0</v>
      </c>
      <c r="AO258" s="16">
        <v>0</v>
      </c>
      <c r="AP258" s="16">
        <v>0</v>
      </c>
      <c r="AQ258" s="16">
        <v>0</v>
      </c>
      <c r="AR258" s="16">
        <v>0</v>
      </c>
      <c r="AS258" s="16">
        <v>0</v>
      </c>
      <c r="AT258" s="16">
        <v>0</v>
      </c>
      <c r="AU258" s="16">
        <v>0</v>
      </c>
      <c r="AV258" s="16">
        <v>0</v>
      </c>
    </row>
    <row r="259" spans="1:48" ht="14.25" customHeight="1">
      <c r="A259" s="13"/>
      <c r="B259" s="14"/>
      <c r="C259" s="14"/>
      <c r="D259" s="14"/>
      <c r="E259" s="14"/>
      <c r="F259" s="14"/>
      <c r="G259" s="14"/>
      <c r="H259" s="14"/>
      <c r="I259" s="14"/>
      <c r="J259" s="14"/>
      <c r="K259" s="15">
        <f t="shared" si="12"/>
        <v>0</v>
      </c>
      <c r="L259" s="24"/>
      <c r="M259" s="14"/>
      <c r="N259" s="49"/>
      <c r="O259" s="24"/>
      <c r="P259" s="24">
        <f t="shared" ref="P259:P322" si="13">O259-K259</f>
        <v>0</v>
      </c>
      <c r="Q259" s="23"/>
      <c r="R259" s="24"/>
      <c r="S259" s="49"/>
      <c r="T259" s="24"/>
      <c r="U259" s="24">
        <f t="shared" ref="U259:U322" si="14">T259-O259</f>
        <v>0</v>
      </c>
      <c r="V259" s="24"/>
      <c r="AA259" s="16">
        <v>0</v>
      </c>
      <c r="AB259" s="16">
        <v>0</v>
      </c>
      <c r="AC259" s="16">
        <v>0</v>
      </c>
      <c r="AD259" s="16">
        <v>0</v>
      </c>
      <c r="AE259" s="16">
        <v>0</v>
      </c>
      <c r="AF259" s="16">
        <v>0</v>
      </c>
      <c r="AG259" s="16">
        <v>0</v>
      </c>
      <c r="AH259" s="16">
        <v>0</v>
      </c>
      <c r="AI259" s="16">
        <v>0</v>
      </c>
      <c r="AJ259" s="16">
        <v>0</v>
      </c>
      <c r="AK259" s="16">
        <v>0</v>
      </c>
      <c r="AL259" s="16">
        <v>0</v>
      </c>
      <c r="AM259" s="16">
        <v>0</v>
      </c>
      <c r="AN259" s="16">
        <v>0</v>
      </c>
      <c r="AO259" s="16">
        <v>0</v>
      </c>
      <c r="AP259" s="16">
        <v>0</v>
      </c>
      <c r="AQ259" s="16">
        <v>0</v>
      </c>
      <c r="AR259" s="16">
        <v>0</v>
      </c>
      <c r="AS259" s="16">
        <v>0</v>
      </c>
      <c r="AT259" s="16">
        <v>0</v>
      </c>
      <c r="AU259" s="16">
        <v>0</v>
      </c>
      <c r="AV259" s="16">
        <v>0</v>
      </c>
    </row>
    <row r="260" spans="1:48" ht="14.25" customHeight="1">
      <c r="A260" s="13"/>
      <c r="B260" s="14"/>
      <c r="C260" s="14"/>
      <c r="D260" s="14"/>
      <c r="E260" s="14"/>
      <c r="F260" s="14"/>
      <c r="G260" s="14"/>
      <c r="H260" s="14"/>
      <c r="I260" s="14"/>
      <c r="J260" s="14"/>
      <c r="K260" s="15">
        <f t="shared" si="12"/>
        <v>0</v>
      </c>
      <c r="L260" s="24"/>
      <c r="M260" s="14"/>
      <c r="N260" s="49"/>
      <c r="O260" s="24"/>
      <c r="P260" s="24">
        <f t="shared" si="13"/>
        <v>0</v>
      </c>
      <c r="Q260" s="23"/>
      <c r="R260" s="24"/>
      <c r="S260" s="49"/>
      <c r="T260" s="24"/>
      <c r="U260" s="24">
        <f t="shared" si="14"/>
        <v>0</v>
      </c>
      <c r="V260" s="24"/>
      <c r="AA260" s="16">
        <v>0</v>
      </c>
      <c r="AB260" s="16">
        <v>0</v>
      </c>
      <c r="AC260" s="16">
        <v>0</v>
      </c>
      <c r="AD260" s="16">
        <v>0</v>
      </c>
      <c r="AE260" s="16">
        <v>0</v>
      </c>
      <c r="AF260" s="16">
        <v>0</v>
      </c>
      <c r="AG260" s="16">
        <v>0</v>
      </c>
      <c r="AH260" s="16">
        <v>0</v>
      </c>
      <c r="AI260" s="16">
        <v>0</v>
      </c>
      <c r="AJ260" s="16">
        <v>0</v>
      </c>
      <c r="AK260" s="16">
        <v>0</v>
      </c>
      <c r="AL260" s="16">
        <v>0</v>
      </c>
      <c r="AM260" s="16">
        <v>0</v>
      </c>
      <c r="AN260" s="16">
        <v>0</v>
      </c>
      <c r="AO260" s="16">
        <v>0</v>
      </c>
      <c r="AP260" s="16">
        <v>0</v>
      </c>
      <c r="AQ260" s="16">
        <v>0</v>
      </c>
      <c r="AR260" s="16">
        <v>0</v>
      </c>
      <c r="AS260" s="16">
        <v>0</v>
      </c>
      <c r="AT260" s="16">
        <v>0</v>
      </c>
      <c r="AU260" s="16">
        <v>0</v>
      </c>
      <c r="AV260" s="16">
        <v>0</v>
      </c>
    </row>
    <row r="261" spans="1:48" ht="14.25" customHeight="1">
      <c r="A261" s="13"/>
      <c r="B261" s="14"/>
      <c r="C261" s="14"/>
      <c r="D261" s="14"/>
      <c r="E261" s="14"/>
      <c r="F261" s="14"/>
      <c r="G261" s="14"/>
      <c r="H261" s="14"/>
      <c r="I261" s="14"/>
      <c r="J261" s="14"/>
      <c r="K261" s="15">
        <f t="shared" si="12"/>
        <v>0</v>
      </c>
      <c r="L261" s="24"/>
      <c r="M261" s="14"/>
      <c r="N261" s="49"/>
      <c r="O261" s="24"/>
      <c r="P261" s="24">
        <f t="shared" si="13"/>
        <v>0</v>
      </c>
      <c r="Q261" s="23"/>
      <c r="R261" s="24"/>
      <c r="S261" s="49"/>
      <c r="T261" s="24"/>
      <c r="U261" s="24">
        <f t="shared" si="14"/>
        <v>0</v>
      </c>
      <c r="V261" s="24"/>
      <c r="AA261" s="16">
        <v>0</v>
      </c>
      <c r="AB261" s="16">
        <v>0</v>
      </c>
      <c r="AC261" s="16">
        <v>0</v>
      </c>
      <c r="AD261" s="16">
        <v>0</v>
      </c>
      <c r="AE261" s="16">
        <v>0</v>
      </c>
      <c r="AF261" s="16">
        <v>0</v>
      </c>
      <c r="AG261" s="16">
        <v>0</v>
      </c>
      <c r="AH261" s="16">
        <v>0</v>
      </c>
      <c r="AI261" s="16">
        <v>0</v>
      </c>
      <c r="AJ261" s="16">
        <v>0</v>
      </c>
      <c r="AK261" s="16">
        <v>0</v>
      </c>
      <c r="AL261" s="16">
        <v>0</v>
      </c>
      <c r="AM261" s="16">
        <v>0</v>
      </c>
      <c r="AN261" s="16">
        <v>0</v>
      </c>
      <c r="AO261" s="16">
        <v>0</v>
      </c>
      <c r="AP261" s="16">
        <v>0</v>
      </c>
      <c r="AQ261" s="16">
        <v>0</v>
      </c>
      <c r="AR261" s="16">
        <v>0</v>
      </c>
      <c r="AS261" s="16">
        <v>0</v>
      </c>
      <c r="AT261" s="16">
        <v>0</v>
      </c>
      <c r="AU261" s="16">
        <v>0</v>
      </c>
      <c r="AV261" s="16">
        <v>0</v>
      </c>
    </row>
    <row r="262" spans="1:48" ht="14.25" customHeight="1">
      <c r="A262" s="13"/>
      <c r="B262" s="14"/>
      <c r="C262" s="14"/>
      <c r="D262" s="14"/>
      <c r="E262" s="14"/>
      <c r="F262" s="14"/>
      <c r="G262" s="14"/>
      <c r="H262" s="14"/>
      <c r="I262" s="14"/>
      <c r="J262" s="14"/>
      <c r="K262" s="15">
        <f t="shared" si="12"/>
        <v>0</v>
      </c>
      <c r="L262" s="24"/>
      <c r="M262" s="14"/>
      <c r="N262" s="49"/>
      <c r="O262" s="24"/>
      <c r="P262" s="24">
        <f t="shared" si="13"/>
        <v>0</v>
      </c>
      <c r="Q262" s="23"/>
      <c r="R262" s="24"/>
      <c r="S262" s="49"/>
      <c r="T262" s="24"/>
      <c r="U262" s="24">
        <f t="shared" si="14"/>
        <v>0</v>
      </c>
      <c r="V262" s="24"/>
      <c r="AA262" s="16">
        <v>0</v>
      </c>
      <c r="AB262" s="16">
        <v>0</v>
      </c>
      <c r="AC262" s="16">
        <v>0</v>
      </c>
      <c r="AD262" s="16">
        <v>0</v>
      </c>
      <c r="AE262" s="16">
        <v>0</v>
      </c>
      <c r="AF262" s="16">
        <v>0</v>
      </c>
      <c r="AG262" s="16">
        <v>0</v>
      </c>
      <c r="AH262" s="16">
        <v>0</v>
      </c>
      <c r="AI262" s="16">
        <v>0</v>
      </c>
      <c r="AJ262" s="16">
        <v>0</v>
      </c>
      <c r="AK262" s="16">
        <v>0</v>
      </c>
      <c r="AL262" s="16">
        <v>0</v>
      </c>
      <c r="AM262" s="16">
        <v>0</v>
      </c>
      <c r="AN262" s="16">
        <v>0</v>
      </c>
      <c r="AO262" s="16">
        <v>0</v>
      </c>
      <c r="AP262" s="16">
        <v>0</v>
      </c>
      <c r="AQ262" s="16">
        <v>0</v>
      </c>
      <c r="AR262" s="16">
        <v>0</v>
      </c>
      <c r="AS262" s="16">
        <v>0</v>
      </c>
      <c r="AT262" s="16">
        <v>0</v>
      </c>
      <c r="AU262" s="16">
        <v>0</v>
      </c>
      <c r="AV262" s="16">
        <v>0</v>
      </c>
    </row>
    <row r="263" spans="1:48" ht="14.25" customHeight="1">
      <c r="A263" s="13"/>
      <c r="B263" s="14"/>
      <c r="C263" s="14"/>
      <c r="D263" s="14"/>
      <c r="E263" s="14"/>
      <c r="F263" s="14"/>
      <c r="G263" s="14"/>
      <c r="H263" s="14"/>
      <c r="I263" s="14"/>
      <c r="J263" s="14"/>
      <c r="K263" s="15">
        <f t="shared" si="12"/>
        <v>0</v>
      </c>
      <c r="L263" s="24"/>
      <c r="M263" s="14"/>
      <c r="N263" s="49"/>
      <c r="O263" s="24"/>
      <c r="P263" s="24">
        <f t="shared" si="13"/>
        <v>0</v>
      </c>
      <c r="Q263" s="23"/>
      <c r="R263" s="24"/>
      <c r="S263" s="49"/>
      <c r="T263" s="24"/>
      <c r="U263" s="24">
        <f t="shared" si="14"/>
        <v>0</v>
      </c>
      <c r="V263" s="24"/>
      <c r="AA263" s="16">
        <v>0</v>
      </c>
      <c r="AB263" s="16">
        <v>0</v>
      </c>
      <c r="AC263" s="16">
        <v>0</v>
      </c>
      <c r="AD263" s="16">
        <v>0</v>
      </c>
      <c r="AE263" s="16">
        <v>0</v>
      </c>
      <c r="AF263" s="16">
        <v>0</v>
      </c>
      <c r="AG263" s="16">
        <v>0</v>
      </c>
      <c r="AH263" s="16">
        <v>0</v>
      </c>
      <c r="AI263" s="16">
        <v>0</v>
      </c>
      <c r="AJ263" s="16">
        <v>0</v>
      </c>
      <c r="AK263" s="16">
        <v>0</v>
      </c>
      <c r="AL263" s="16">
        <v>0</v>
      </c>
      <c r="AM263" s="16">
        <v>0</v>
      </c>
      <c r="AN263" s="16">
        <v>0</v>
      </c>
      <c r="AO263" s="16">
        <v>0</v>
      </c>
      <c r="AP263" s="16">
        <v>0</v>
      </c>
      <c r="AQ263" s="16">
        <v>0</v>
      </c>
      <c r="AR263" s="16">
        <v>0</v>
      </c>
      <c r="AS263" s="16">
        <v>0</v>
      </c>
      <c r="AT263" s="16">
        <v>0</v>
      </c>
      <c r="AU263" s="16">
        <v>0</v>
      </c>
      <c r="AV263" s="16">
        <v>0</v>
      </c>
    </row>
    <row r="264" spans="1:48" ht="14.25" customHeight="1">
      <c r="A264" s="13"/>
      <c r="B264" s="14"/>
      <c r="C264" s="14"/>
      <c r="D264" s="14"/>
      <c r="E264" s="14"/>
      <c r="F264" s="14"/>
      <c r="G264" s="14"/>
      <c r="H264" s="14"/>
      <c r="I264" s="14"/>
      <c r="J264" s="14"/>
      <c r="K264" s="15">
        <f t="shared" si="12"/>
        <v>0</v>
      </c>
      <c r="L264" s="24"/>
      <c r="M264" s="14"/>
      <c r="N264" s="49"/>
      <c r="O264" s="24"/>
      <c r="P264" s="24">
        <f t="shared" si="13"/>
        <v>0</v>
      </c>
      <c r="Q264" s="23"/>
      <c r="R264" s="24"/>
      <c r="S264" s="49"/>
      <c r="T264" s="24"/>
      <c r="U264" s="24">
        <f t="shared" si="14"/>
        <v>0</v>
      </c>
      <c r="V264" s="24"/>
      <c r="AA264" s="16">
        <v>0</v>
      </c>
      <c r="AB264" s="16">
        <v>0</v>
      </c>
      <c r="AC264" s="16">
        <v>0</v>
      </c>
      <c r="AD264" s="16">
        <v>0</v>
      </c>
      <c r="AE264" s="16">
        <v>0</v>
      </c>
      <c r="AF264" s="16">
        <v>0</v>
      </c>
      <c r="AG264" s="16">
        <v>0</v>
      </c>
      <c r="AH264" s="16">
        <v>0</v>
      </c>
      <c r="AI264" s="16">
        <v>0</v>
      </c>
      <c r="AJ264" s="16">
        <v>0</v>
      </c>
      <c r="AK264" s="16">
        <v>0</v>
      </c>
      <c r="AL264" s="16">
        <v>0</v>
      </c>
      <c r="AM264" s="16">
        <v>0</v>
      </c>
      <c r="AN264" s="16">
        <v>0</v>
      </c>
      <c r="AO264" s="16">
        <v>0</v>
      </c>
      <c r="AP264" s="16">
        <v>0</v>
      </c>
      <c r="AQ264" s="16">
        <v>0</v>
      </c>
      <c r="AR264" s="16">
        <v>0</v>
      </c>
      <c r="AS264" s="16">
        <v>0</v>
      </c>
      <c r="AT264" s="16">
        <v>0</v>
      </c>
      <c r="AU264" s="16">
        <v>0</v>
      </c>
      <c r="AV264" s="16">
        <v>0</v>
      </c>
    </row>
    <row r="265" spans="1:48" ht="14.25" customHeight="1">
      <c r="A265" s="13"/>
      <c r="B265" s="14"/>
      <c r="C265" s="14"/>
      <c r="D265" s="14"/>
      <c r="E265" s="14"/>
      <c r="F265" s="14"/>
      <c r="G265" s="14"/>
      <c r="H265" s="14"/>
      <c r="I265" s="14"/>
      <c r="J265" s="14"/>
      <c r="K265" s="15">
        <f t="shared" si="12"/>
        <v>0</v>
      </c>
      <c r="L265" s="24"/>
      <c r="M265" s="14"/>
      <c r="N265" s="49"/>
      <c r="O265" s="24"/>
      <c r="P265" s="24">
        <f t="shared" si="13"/>
        <v>0</v>
      </c>
      <c r="Q265" s="23"/>
      <c r="R265" s="24"/>
      <c r="S265" s="49"/>
      <c r="T265" s="24"/>
      <c r="U265" s="24">
        <f t="shared" si="14"/>
        <v>0</v>
      </c>
      <c r="V265" s="24"/>
      <c r="AA265" s="16">
        <v>0</v>
      </c>
      <c r="AB265" s="16">
        <v>0</v>
      </c>
      <c r="AC265" s="16">
        <v>0</v>
      </c>
      <c r="AD265" s="16">
        <v>0</v>
      </c>
      <c r="AE265" s="16">
        <v>0</v>
      </c>
      <c r="AF265" s="16">
        <v>0</v>
      </c>
      <c r="AG265" s="16">
        <v>0</v>
      </c>
      <c r="AH265" s="16">
        <v>0</v>
      </c>
      <c r="AI265" s="16">
        <v>0</v>
      </c>
      <c r="AJ265" s="16">
        <v>0</v>
      </c>
      <c r="AK265" s="16">
        <v>0</v>
      </c>
      <c r="AL265" s="16">
        <v>0</v>
      </c>
      <c r="AM265" s="16">
        <v>0</v>
      </c>
      <c r="AN265" s="16">
        <v>0</v>
      </c>
      <c r="AO265" s="16">
        <v>0</v>
      </c>
      <c r="AP265" s="16">
        <v>0</v>
      </c>
      <c r="AQ265" s="16">
        <v>0</v>
      </c>
      <c r="AR265" s="16">
        <v>0</v>
      </c>
      <c r="AS265" s="16">
        <v>0</v>
      </c>
      <c r="AT265" s="16">
        <v>0</v>
      </c>
      <c r="AU265" s="16">
        <v>0</v>
      </c>
      <c r="AV265" s="16">
        <v>0</v>
      </c>
    </row>
    <row r="266" spans="1:48" ht="14.25" customHeight="1">
      <c r="A266" s="13"/>
      <c r="B266" s="14"/>
      <c r="C266" s="14"/>
      <c r="D266" s="14"/>
      <c r="E266" s="14"/>
      <c r="F266" s="14"/>
      <c r="G266" s="14"/>
      <c r="H266" s="14"/>
      <c r="I266" s="14"/>
      <c r="J266" s="14"/>
      <c r="K266" s="15">
        <f t="shared" si="12"/>
        <v>0</v>
      </c>
      <c r="L266" s="24"/>
      <c r="M266" s="14"/>
      <c r="N266" s="49"/>
      <c r="O266" s="24"/>
      <c r="P266" s="24">
        <f t="shared" si="13"/>
        <v>0</v>
      </c>
      <c r="Q266" s="23"/>
      <c r="R266" s="24"/>
      <c r="S266" s="49"/>
      <c r="T266" s="24"/>
      <c r="U266" s="24">
        <f t="shared" si="14"/>
        <v>0</v>
      </c>
      <c r="V266" s="24"/>
      <c r="AA266" s="16">
        <v>0</v>
      </c>
      <c r="AB266" s="16">
        <v>0</v>
      </c>
      <c r="AC266" s="16">
        <v>0</v>
      </c>
      <c r="AD266" s="16">
        <v>0</v>
      </c>
      <c r="AE266" s="16">
        <v>0</v>
      </c>
      <c r="AF266" s="16">
        <v>0</v>
      </c>
      <c r="AG266" s="16">
        <v>0</v>
      </c>
      <c r="AH266" s="16">
        <v>0</v>
      </c>
      <c r="AI266" s="16">
        <v>0</v>
      </c>
      <c r="AJ266" s="16">
        <v>0</v>
      </c>
      <c r="AK266" s="16">
        <v>0</v>
      </c>
      <c r="AL266" s="16">
        <v>0</v>
      </c>
      <c r="AM266" s="16">
        <v>0</v>
      </c>
      <c r="AN266" s="16">
        <v>0</v>
      </c>
      <c r="AO266" s="16">
        <v>0</v>
      </c>
      <c r="AP266" s="16">
        <v>0</v>
      </c>
      <c r="AQ266" s="16">
        <v>0</v>
      </c>
      <c r="AR266" s="16">
        <v>0</v>
      </c>
      <c r="AS266" s="16">
        <v>0</v>
      </c>
      <c r="AT266" s="16">
        <v>0</v>
      </c>
      <c r="AU266" s="16">
        <v>0</v>
      </c>
      <c r="AV266" s="16">
        <v>0</v>
      </c>
    </row>
    <row r="267" spans="1:48" ht="14.25" customHeight="1">
      <c r="A267" s="13"/>
      <c r="B267" s="14"/>
      <c r="C267" s="14"/>
      <c r="D267" s="14"/>
      <c r="E267" s="14"/>
      <c r="F267" s="14"/>
      <c r="G267" s="14"/>
      <c r="H267" s="14"/>
      <c r="I267" s="14"/>
      <c r="J267" s="14"/>
      <c r="K267" s="15">
        <f t="shared" si="12"/>
        <v>0</v>
      </c>
      <c r="L267" s="24"/>
      <c r="M267" s="14"/>
      <c r="N267" s="49"/>
      <c r="O267" s="24"/>
      <c r="P267" s="24">
        <f t="shared" si="13"/>
        <v>0</v>
      </c>
      <c r="Q267" s="23"/>
      <c r="R267" s="24"/>
      <c r="S267" s="49"/>
      <c r="T267" s="24"/>
      <c r="U267" s="24">
        <f t="shared" si="14"/>
        <v>0</v>
      </c>
      <c r="V267" s="24"/>
      <c r="AA267" s="16">
        <v>0</v>
      </c>
      <c r="AB267" s="16">
        <v>0</v>
      </c>
      <c r="AC267" s="16">
        <v>0</v>
      </c>
      <c r="AD267" s="16">
        <v>0</v>
      </c>
      <c r="AE267" s="16">
        <v>0</v>
      </c>
      <c r="AF267" s="16">
        <v>0</v>
      </c>
      <c r="AG267" s="16">
        <v>0</v>
      </c>
      <c r="AH267" s="16">
        <v>0</v>
      </c>
      <c r="AI267" s="16">
        <v>0</v>
      </c>
      <c r="AJ267" s="16">
        <v>0</v>
      </c>
      <c r="AK267" s="16">
        <v>0</v>
      </c>
      <c r="AL267" s="16">
        <v>0</v>
      </c>
      <c r="AM267" s="16">
        <v>0</v>
      </c>
      <c r="AN267" s="16">
        <v>0</v>
      </c>
      <c r="AO267" s="16">
        <v>0</v>
      </c>
      <c r="AP267" s="16">
        <v>0</v>
      </c>
      <c r="AQ267" s="16">
        <v>0</v>
      </c>
      <c r="AR267" s="16">
        <v>0</v>
      </c>
      <c r="AS267" s="16">
        <v>0</v>
      </c>
      <c r="AT267" s="16">
        <v>0</v>
      </c>
      <c r="AU267" s="16">
        <v>0</v>
      </c>
      <c r="AV267" s="16">
        <v>0</v>
      </c>
    </row>
    <row r="268" spans="1:48" ht="14.25" customHeight="1">
      <c r="A268" s="13"/>
      <c r="B268" s="14"/>
      <c r="C268" s="14"/>
      <c r="D268" s="14"/>
      <c r="E268" s="14"/>
      <c r="F268" s="14"/>
      <c r="G268" s="14"/>
      <c r="H268" s="14"/>
      <c r="I268" s="14"/>
      <c r="J268" s="14"/>
      <c r="K268" s="15">
        <f t="shared" si="12"/>
        <v>0</v>
      </c>
      <c r="L268" s="24"/>
      <c r="M268" s="14"/>
      <c r="N268" s="49"/>
      <c r="O268" s="24"/>
      <c r="P268" s="24">
        <f t="shared" si="13"/>
        <v>0</v>
      </c>
      <c r="Q268" s="23"/>
      <c r="R268" s="24"/>
      <c r="S268" s="49"/>
      <c r="T268" s="24"/>
      <c r="U268" s="24">
        <f t="shared" si="14"/>
        <v>0</v>
      </c>
      <c r="V268" s="24"/>
      <c r="AA268" s="16">
        <v>0</v>
      </c>
      <c r="AB268" s="16">
        <v>0</v>
      </c>
      <c r="AC268" s="16">
        <v>0</v>
      </c>
      <c r="AD268" s="16">
        <v>0</v>
      </c>
      <c r="AE268" s="16">
        <v>0</v>
      </c>
      <c r="AF268" s="16">
        <v>0</v>
      </c>
      <c r="AG268" s="16">
        <v>0</v>
      </c>
      <c r="AH268" s="16">
        <v>0</v>
      </c>
      <c r="AI268" s="16">
        <v>0</v>
      </c>
      <c r="AJ268" s="16">
        <v>0</v>
      </c>
      <c r="AK268" s="16">
        <v>0</v>
      </c>
      <c r="AL268" s="16">
        <v>0</v>
      </c>
      <c r="AM268" s="16">
        <v>0</v>
      </c>
      <c r="AN268" s="16">
        <v>0</v>
      </c>
      <c r="AO268" s="16">
        <v>0</v>
      </c>
      <c r="AP268" s="16">
        <v>0</v>
      </c>
      <c r="AQ268" s="16">
        <v>0</v>
      </c>
      <c r="AR268" s="16">
        <v>0</v>
      </c>
      <c r="AS268" s="16">
        <v>0</v>
      </c>
      <c r="AT268" s="16">
        <v>0</v>
      </c>
      <c r="AU268" s="16">
        <v>0</v>
      </c>
      <c r="AV268" s="16">
        <v>0</v>
      </c>
    </row>
    <row r="269" spans="1:48" ht="14.25" customHeight="1">
      <c r="A269" s="13"/>
      <c r="B269" s="14"/>
      <c r="C269" s="14"/>
      <c r="D269" s="14"/>
      <c r="E269" s="14"/>
      <c r="F269" s="14"/>
      <c r="G269" s="14"/>
      <c r="H269" s="14"/>
      <c r="I269" s="14"/>
      <c r="J269" s="14"/>
      <c r="K269" s="15">
        <f t="shared" si="12"/>
        <v>0</v>
      </c>
      <c r="L269" s="24"/>
      <c r="M269" s="14"/>
      <c r="N269" s="49"/>
      <c r="O269" s="24"/>
      <c r="P269" s="24">
        <f t="shared" si="13"/>
        <v>0</v>
      </c>
      <c r="Q269" s="23"/>
      <c r="R269" s="24"/>
      <c r="S269" s="49"/>
      <c r="T269" s="24"/>
      <c r="U269" s="24">
        <f t="shared" si="14"/>
        <v>0</v>
      </c>
      <c r="V269" s="24"/>
      <c r="AA269" s="16">
        <v>0</v>
      </c>
      <c r="AB269" s="16">
        <v>0</v>
      </c>
      <c r="AC269" s="16">
        <v>0</v>
      </c>
      <c r="AD269" s="16">
        <v>0</v>
      </c>
      <c r="AE269" s="16">
        <v>0</v>
      </c>
      <c r="AF269" s="16">
        <v>0</v>
      </c>
      <c r="AG269" s="16">
        <v>0</v>
      </c>
      <c r="AH269" s="16">
        <v>0</v>
      </c>
      <c r="AI269" s="16">
        <v>0</v>
      </c>
      <c r="AJ269" s="16">
        <v>0</v>
      </c>
      <c r="AK269" s="16">
        <v>0</v>
      </c>
      <c r="AL269" s="16">
        <v>0</v>
      </c>
      <c r="AM269" s="16">
        <v>0</v>
      </c>
      <c r="AN269" s="16">
        <v>0</v>
      </c>
      <c r="AO269" s="16">
        <v>0</v>
      </c>
      <c r="AP269" s="16">
        <v>0</v>
      </c>
      <c r="AQ269" s="16">
        <v>0</v>
      </c>
      <c r="AR269" s="16">
        <v>0</v>
      </c>
      <c r="AS269" s="16">
        <v>0</v>
      </c>
      <c r="AT269" s="16">
        <v>0</v>
      </c>
      <c r="AU269" s="16">
        <v>0</v>
      </c>
      <c r="AV269" s="16">
        <v>0</v>
      </c>
    </row>
    <row r="270" spans="1:48" ht="14.25" customHeight="1">
      <c r="A270" s="13"/>
      <c r="B270" s="14"/>
      <c r="C270" s="14"/>
      <c r="D270" s="14"/>
      <c r="E270" s="14"/>
      <c r="F270" s="14"/>
      <c r="G270" s="14"/>
      <c r="H270" s="14"/>
      <c r="I270" s="14"/>
      <c r="J270" s="14"/>
      <c r="K270" s="15">
        <f t="shared" si="12"/>
        <v>0</v>
      </c>
      <c r="L270" s="24"/>
      <c r="M270" s="14"/>
      <c r="N270" s="49"/>
      <c r="O270" s="24"/>
      <c r="P270" s="24">
        <f t="shared" si="13"/>
        <v>0</v>
      </c>
      <c r="Q270" s="23"/>
      <c r="R270" s="24"/>
      <c r="S270" s="49"/>
      <c r="T270" s="24"/>
      <c r="U270" s="24">
        <f t="shared" si="14"/>
        <v>0</v>
      </c>
      <c r="V270" s="24"/>
      <c r="AA270" s="16">
        <v>0</v>
      </c>
      <c r="AB270" s="16">
        <v>0</v>
      </c>
      <c r="AC270" s="16">
        <v>0</v>
      </c>
      <c r="AD270" s="16">
        <v>0</v>
      </c>
      <c r="AE270" s="16">
        <v>0</v>
      </c>
      <c r="AF270" s="16">
        <v>0</v>
      </c>
      <c r="AG270" s="16">
        <v>0</v>
      </c>
      <c r="AH270" s="16">
        <v>0</v>
      </c>
      <c r="AI270" s="16">
        <v>0</v>
      </c>
      <c r="AJ270" s="16">
        <v>0</v>
      </c>
      <c r="AK270" s="16">
        <v>0</v>
      </c>
      <c r="AL270" s="16">
        <v>0</v>
      </c>
      <c r="AM270" s="16">
        <v>0</v>
      </c>
      <c r="AN270" s="16">
        <v>0</v>
      </c>
      <c r="AO270" s="16">
        <v>0</v>
      </c>
      <c r="AP270" s="16">
        <v>0</v>
      </c>
      <c r="AQ270" s="16">
        <v>0</v>
      </c>
      <c r="AR270" s="16">
        <v>0</v>
      </c>
      <c r="AS270" s="16">
        <v>0</v>
      </c>
      <c r="AT270" s="16">
        <v>0</v>
      </c>
      <c r="AU270" s="16">
        <v>0</v>
      </c>
      <c r="AV270" s="16">
        <v>0</v>
      </c>
    </row>
    <row r="271" spans="1:48" ht="14.25" customHeight="1">
      <c r="A271" s="13"/>
      <c r="B271" s="14"/>
      <c r="C271" s="14"/>
      <c r="D271" s="14"/>
      <c r="E271" s="14"/>
      <c r="F271" s="14"/>
      <c r="G271" s="14"/>
      <c r="H271" s="14"/>
      <c r="I271" s="14"/>
      <c r="J271" s="14"/>
      <c r="K271" s="15">
        <f t="shared" si="12"/>
        <v>0</v>
      </c>
      <c r="L271" s="24"/>
      <c r="M271" s="14"/>
      <c r="N271" s="49"/>
      <c r="O271" s="24"/>
      <c r="P271" s="24">
        <f t="shared" si="13"/>
        <v>0</v>
      </c>
      <c r="Q271" s="23"/>
      <c r="R271" s="24"/>
      <c r="S271" s="49"/>
      <c r="T271" s="24"/>
      <c r="U271" s="24">
        <f t="shared" si="14"/>
        <v>0</v>
      </c>
      <c r="V271" s="24"/>
      <c r="AA271" s="16">
        <v>0</v>
      </c>
      <c r="AB271" s="16">
        <v>0</v>
      </c>
      <c r="AC271" s="16">
        <v>0</v>
      </c>
      <c r="AD271" s="16">
        <v>0</v>
      </c>
      <c r="AE271" s="16">
        <v>0</v>
      </c>
      <c r="AF271" s="16">
        <v>0</v>
      </c>
      <c r="AG271" s="16">
        <v>0</v>
      </c>
      <c r="AH271" s="16">
        <v>0</v>
      </c>
      <c r="AI271" s="16">
        <v>0</v>
      </c>
      <c r="AJ271" s="16">
        <v>0</v>
      </c>
      <c r="AK271" s="16">
        <v>0</v>
      </c>
      <c r="AL271" s="16">
        <v>0</v>
      </c>
      <c r="AM271" s="16">
        <v>0</v>
      </c>
      <c r="AN271" s="16">
        <v>0</v>
      </c>
      <c r="AO271" s="16">
        <v>0</v>
      </c>
      <c r="AP271" s="16">
        <v>0</v>
      </c>
      <c r="AQ271" s="16">
        <v>0</v>
      </c>
      <c r="AR271" s="16">
        <v>0</v>
      </c>
      <c r="AS271" s="16">
        <v>0</v>
      </c>
      <c r="AT271" s="16">
        <v>0</v>
      </c>
      <c r="AU271" s="16">
        <v>0</v>
      </c>
      <c r="AV271" s="16">
        <v>0</v>
      </c>
    </row>
    <row r="272" spans="1:48" ht="14.25" customHeight="1">
      <c r="A272" s="13"/>
      <c r="B272" s="14"/>
      <c r="C272" s="14"/>
      <c r="D272" s="14"/>
      <c r="E272" s="14"/>
      <c r="F272" s="14"/>
      <c r="G272" s="14"/>
      <c r="H272" s="14"/>
      <c r="I272" s="14"/>
      <c r="J272" s="14"/>
      <c r="K272" s="15">
        <f t="shared" si="12"/>
        <v>0</v>
      </c>
      <c r="L272" s="24"/>
      <c r="M272" s="14"/>
      <c r="N272" s="49"/>
      <c r="O272" s="24"/>
      <c r="P272" s="24">
        <f t="shared" si="13"/>
        <v>0</v>
      </c>
      <c r="Q272" s="23"/>
      <c r="R272" s="24"/>
      <c r="S272" s="49"/>
      <c r="T272" s="24"/>
      <c r="U272" s="24">
        <f t="shared" si="14"/>
        <v>0</v>
      </c>
      <c r="V272" s="24"/>
      <c r="AA272" s="16">
        <v>0</v>
      </c>
      <c r="AB272" s="16">
        <v>0</v>
      </c>
      <c r="AC272" s="16">
        <v>0</v>
      </c>
      <c r="AD272" s="16">
        <v>0</v>
      </c>
      <c r="AE272" s="16">
        <v>0</v>
      </c>
      <c r="AF272" s="16">
        <v>0</v>
      </c>
      <c r="AG272" s="16">
        <v>0</v>
      </c>
      <c r="AH272" s="16">
        <v>0</v>
      </c>
      <c r="AI272" s="16">
        <v>0</v>
      </c>
      <c r="AJ272" s="16">
        <v>0</v>
      </c>
      <c r="AK272" s="16">
        <v>0</v>
      </c>
      <c r="AL272" s="16">
        <v>0</v>
      </c>
      <c r="AM272" s="16">
        <v>0</v>
      </c>
      <c r="AN272" s="16">
        <v>0</v>
      </c>
      <c r="AO272" s="16">
        <v>0</v>
      </c>
      <c r="AP272" s="16">
        <v>0</v>
      </c>
      <c r="AQ272" s="16">
        <v>0</v>
      </c>
      <c r="AR272" s="16">
        <v>0</v>
      </c>
      <c r="AS272" s="16">
        <v>0</v>
      </c>
      <c r="AT272" s="16">
        <v>0</v>
      </c>
      <c r="AU272" s="16">
        <v>0</v>
      </c>
      <c r="AV272" s="16">
        <v>0</v>
      </c>
    </row>
    <row r="273" spans="1:48" ht="14.25" customHeight="1">
      <c r="A273" s="13"/>
      <c r="B273" s="14"/>
      <c r="C273" s="14"/>
      <c r="D273" s="14"/>
      <c r="E273" s="14"/>
      <c r="F273" s="14"/>
      <c r="G273" s="14"/>
      <c r="H273" s="14"/>
      <c r="I273" s="14"/>
      <c r="J273" s="14"/>
      <c r="K273" s="15">
        <f t="shared" si="12"/>
        <v>0</v>
      </c>
      <c r="L273" s="24"/>
      <c r="M273" s="14"/>
      <c r="N273" s="49"/>
      <c r="O273" s="24"/>
      <c r="P273" s="24">
        <f t="shared" si="13"/>
        <v>0</v>
      </c>
      <c r="Q273" s="23"/>
      <c r="R273" s="24"/>
      <c r="S273" s="49"/>
      <c r="T273" s="24"/>
      <c r="U273" s="24">
        <f t="shared" si="14"/>
        <v>0</v>
      </c>
      <c r="V273" s="24"/>
      <c r="AA273" s="16">
        <v>0</v>
      </c>
      <c r="AB273" s="16">
        <v>0</v>
      </c>
      <c r="AC273" s="16">
        <v>0</v>
      </c>
      <c r="AD273" s="16">
        <v>0</v>
      </c>
      <c r="AE273" s="16">
        <v>0</v>
      </c>
      <c r="AF273" s="16">
        <v>0</v>
      </c>
      <c r="AG273" s="16">
        <v>0</v>
      </c>
      <c r="AH273" s="16">
        <v>0</v>
      </c>
      <c r="AI273" s="16">
        <v>0</v>
      </c>
      <c r="AJ273" s="16">
        <v>0</v>
      </c>
      <c r="AK273" s="16">
        <v>0</v>
      </c>
      <c r="AL273" s="16">
        <v>0</v>
      </c>
      <c r="AM273" s="16">
        <v>0</v>
      </c>
      <c r="AN273" s="16">
        <v>0</v>
      </c>
      <c r="AO273" s="16">
        <v>0</v>
      </c>
      <c r="AP273" s="16">
        <v>0</v>
      </c>
      <c r="AQ273" s="16">
        <v>0</v>
      </c>
      <c r="AR273" s="16">
        <v>0</v>
      </c>
      <c r="AS273" s="16">
        <v>0</v>
      </c>
      <c r="AT273" s="16">
        <v>0</v>
      </c>
      <c r="AU273" s="16">
        <v>0</v>
      </c>
      <c r="AV273" s="16">
        <v>0</v>
      </c>
    </row>
    <row r="274" spans="1:48" ht="14.25" customHeight="1">
      <c r="A274" s="13"/>
      <c r="B274" s="14"/>
      <c r="C274" s="14"/>
      <c r="D274" s="14"/>
      <c r="E274" s="14"/>
      <c r="F274" s="14"/>
      <c r="G274" s="14"/>
      <c r="H274" s="14"/>
      <c r="I274" s="14"/>
      <c r="J274" s="14"/>
      <c r="K274" s="15">
        <f t="shared" si="12"/>
        <v>0</v>
      </c>
      <c r="L274" s="24"/>
      <c r="M274" s="14"/>
      <c r="N274" s="49"/>
      <c r="O274" s="24"/>
      <c r="P274" s="24">
        <f t="shared" si="13"/>
        <v>0</v>
      </c>
      <c r="Q274" s="23"/>
      <c r="R274" s="24"/>
      <c r="S274" s="49"/>
      <c r="T274" s="24"/>
      <c r="U274" s="24">
        <f t="shared" si="14"/>
        <v>0</v>
      </c>
      <c r="V274" s="24"/>
      <c r="AA274" s="16">
        <v>0</v>
      </c>
      <c r="AB274" s="16">
        <v>0</v>
      </c>
      <c r="AC274" s="16">
        <v>0</v>
      </c>
      <c r="AD274" s="16">
        <v>0</v>
      </c>
      <c r="AE274" s="16">
        <v>0</v>
      </c>
      <c r="AF274" s="16">
        <v>0</v>
      </c>
      <c r="AG274" s="16">
        <v>0</v>
      </c>
      <c r="AH274" s="16">
        <v>0</v>
      </c>
      <c r="AI274" s="16">
        <v>0</v>
      </c>
      <c r="AJ274" s="16">
        <v>0</v>
      </c>
      <c r="AK274" s="16">
        <v>0</v>
      </c>
      <c r="AL274" s="16">
        <v>0</v>
      </c>
      <c r="AM274" s="16">
        <v>0</v>
      </c>
      <c r="AN274" s="16">
        <v>0</v>
      </c>
      <c r="AO274" s="16">
        <v>0</v>
      </c>
      <c r="AP274" s="16">
        <v>0</v>
      </c>
      <c r="AQ274" s="16">
        <v>0</v>
      </c>
      <c r="AR274" s="16">
        <v>0</v>
      </c>
      <c r="AS274" s="16">
        <v>0</v>
      </c>
      <c r="AT274" s="16">
        <v>0</v>
      </c>
      <c r="AU274" s="16">
        <v>0</v>
      </c>
      <c r="AV274" s="16">
        <v>0</v>
      </c>
    </row>
    <row r="275" spans="1:48" ht="14.25" customHeight="1">
      <c r="A275" s="13"/>
      <c r="B275" s="14"/>
      <c r="C275" s="14"/>
      <c r="D275" s="14"/>
      <c r="E275" s="14"/>
      <c r="F275" s="14"/>
      <c r="G275" s="14"/>
      <c r="H275" s="14"/>
      <c r="I275" s="14"/>
      <c r="J275" s="14"/>
      <c r="K275" s="15">
        <f t="shared" si="12"/>
        <v>0</v>
      </c>
      <c r="L275" s="24"/>
      <c r="M275" s="14"/>
      <c r="N275" s="49"/>
      <c r="O275" s="24"/>
      <c r="P275" s="24">
        <f t="shared" si="13"/>
        <v>0</v>
      </c>
      <c r="Q275" s="23"/>
      <c r="R275" s="24"/>
      <c r="S275" s="49"/>
      <c r="T275" s="24"/>
      <c r="U275" s="24">
        <f t="shared" si="14"/>
        <v>0</v>
      </c>
      <c r="V275" s="24"/>
      <c r="AA275" s="16">
        <v>0</v>
      </c>
      <c r="AB275" s="16">
        <v>0</v>
      </c>
      <c r="AC275" s="16">
        <v>0</v>
      </c>
      <c r="AD275" s="16">
        <v>0</v>
      </c>
      <c r="AE275" s="16">
        <v>0</v>
      </c>
      <c r="AF275" s="16">
        <v>0</v>
      </c>
      <c r="AG275" s="16">
        <v>0</v>
      </c>
      <c r="AH275" s="16">
        <v>0</v>
      </c>
      <c r="AI275" s="16">
        <v>0</v>
      </c>
      <c r="AJ275" s="16">
        <v>0</v>
      </c>
      <c r="AK275" s="16">
        <v>0</v>
      </c>
      <c r="AL275" s="16">
        <v>0</v>
      </c>
      <c r="AM275" s="16">
        <v>0</v>
      </c>
      <c r="AN275" s="16">
        <v>0</v>
      </c>
      <c r="AO275" s="16">
        <v>0</v>
      </c>
      <c r="AP275" s="16">
        <v>0</v>
      </c>
      <c r="AQ275" s="16">
        <v>0</v>
      </c>
      <c r="AR275" s="16">
        <v>0</v>
      </c>
      <c r="AS275" s="16">
        <v>0</v>
      </c>
      <c r="AT275" s="16">
        <v>0</v>
      </c>
      <c r="AU275" s="16">
        <v>0</v>
      </c>
      <c r="AV275" s="16">
        <v>0</v>
      </c>
    </row>
    <row r="276" spans="1:48" ht="14.25" customHeight="1">
      <c r="A276" s="13"/>
      <c r="B276" s="14"/>
      <c r="C276" s="14"/>
      <c r="D276" s="14"/>
      <c r="E276" s="14"/>
      <c r="F276" s="14"/>
      <c r="G276" s="14"/>
      <c r="H276" s="14"/>
      <c r="I276" s="14"/>
      <c r="J276" s="14"/>
      <c r="K276" s="15">
        <f t="shared" si="12"/>
        <v>0</v>
      </c>
      <c r="L276" s="24"/>
      <c r="M276" s="14"/>
      <c r="N276" s="49"/>
      <c r="O276" s="24"/>
      <c r="P276" s="24">
        <f t="shared" si="13"/>
        <v>0</v>
      </c>
      <c r="Q276" s="23"/>
      <c r="R276" s="24"/>
      <c r="S276" s="49"/>
      <c r="T276" s="24"/>
      <c r="U276" s="24">
        <f t="shared" si="14"/>
        <v>0</v>
      </c>
      <c r="V276" s="24"/>
      <c r="AA276" s="16">
        <v>0</v>
      </c>
      <c r="AB276" s="16">
        <v>0</v>
      </c>
      <c r="AC276" s="16">
        <v>0</v>
      </c>
      <c r="AD276" s="16">
        <v>0</v>
      </c>
      <c r="AE276" s="16">
        <v>0</v>
      </c>
      <c r="AF276" s="16">
        <v>0</v>
      </c>
      <c r="AG276" s="16">
        <v>0</v>
      </c>
      <c r="AH276" s="16">
        <v>0</v>
      </c>
      <c r="AI276" s="16">
        <v>0</v>
      </c>
      <c r="AJ276" s="16">
        <v>0</v>
      </c>
      <c r="AK276" s="16">
        <v>0</v>
      </c>
      <c r="AL276" s="16">
        <v>0</v>
      </c>
      <c r="AM276" s="16">
        <v>0</v>
      </c>
      <c r="AN276" s="16">
        <v>0</v>
      </c>
      <c r="AO276" s="16">
        <v>0</v>
      </c>
      <c r="AP276" s="16">
        <v>0</v>
      </c>
      <c r="AQ276" s="16">
        <v>0</v>
      </c>
      <c r="AR276" s="16">
        <v>0</v>
      </c>
      <c r="AS276" s="16">
        <v>0</v>
      </c>
      <c r="AT276" s="16">
        <v>0</v>
      </c>
      <c r="AU276" s="16">
        <v>0</v>
      </c>
      <c r="AV276" s="16">
        <v>0</v>
      </c>
    </row>
    <row r="277" spans="1:48" ht="14.25" customHeight="1">
      <c r="A277" s="13"/>
      <c r="B277" s="14"/>
      <c r="C277" s="14"/>
      <c r="D277" s="14"/>
      <c r="E277" s="14"/>
      <c r="F277" s="14"/>
      <c r="G277" s="14"/>
      <c r="H277" s="14"/>
      <c r="I277" s="14"/>
      <c r="J277" s="14"/>
      <c r="K277" s="15">
        <f t="shared" si="12"/>
        <v>0</v>
      </c>
      <c r="L277" s="24"/>
      <c r="M277" s="14"/>
      <c r="N277" s="49"/>
      <c r="O277" s="24"/>
      <c r="P277" s="24">
        <f t="shared" si="13"/>
        <v>0</v>
      </c>
      <c r="Q277" s="23"/>
      <c r="R277" s="24"/>
      <c r="S277" s="49"/>
      <c r="T277" s="24"/>
      <c r="U277" s="24">
        <f t="shared" si="14"/>
        <v>0</v>
      </c>
      <c r="V277" s="24"/>
      <c r="AA277" s="16">
        <v>0</v>
      </c>
      <c r="AB277" s="16">
        <v>0</v>
      </c>
      <c r="AC277" s="16">
        <v>0</v>
      </c>
      <c r="AD277" s="16">
        <v>0</v>
      </c>
      <c r="AE277" s="16">
        <v>0</v>
      </c>
      <c r="AF277" s="16">
        <v>0</v>
      </c>
      <c r="AG277" s="16">
        <v>0</v>
      </c>
      <c r="AH277" s="16">
        <v>0</v>
      </c>
      <c r="AI277" s="16">
        <v>0</v>
      </c>
      <c r="AJ277" s="16">
        <v>0</v>
      </c>
      <c r="AK277" s="16">
        <v>0</v>
      </c>
      <c r="AL277" s="16">
        <v>0</v>
      </c>
      <c r="AM277" s="16">
        <v>0</v>
      </c>
      <c r="AN277" s="16">
        <v>0</v>
      </c>
      <c r="AO277" s="16">
        <v>0</v>
      </c>
      <c r="AP277" s="16">
        <v>0</v>
      </c>
      <c r="AQ277" s="16">
        <v>0</v>
      </c>
      <c r="AR277" s="16">
        <v>0</v>
      </c>
      <c r="AS277" s="16">
        <v>0</v>
      </c>
      <c r="AT277" s="16">
        <v>0</v>
      </c>
      <c r="AU277" s="16">
        <v>0</v>
      </c>
      <c r="AV277" s="16">
        <v>0</v>
      </c>
    </row>
    <row r="278" spans="1:48" ht="14.25" customHeight="1">
      <c r="A278" s="13"/>
      <c r="B278" s="14"/>
      <c r="C278" s="14"/>
      <c r="D278" s="14"/>
      <c r="E278" s="14"/>
      <c r="F278" s="14"/>
      <c r="G278" s="14"/>
      <c r="H278" s="14"/>
      <c r="I278" s="14"/>
      <c r="J278" s="14"/>
      <c r="K278" s="15">
        <f t="shared" si="12"/>
        <v>0</v>
      </c>
      <c r="L278" s="24"/>
      <c r="M278" s="14"/>
      <c r="N278" s="49"/>
      <c r="O278" s="24"/>
      <c r="P278" s="24">
        <f t="shared" si="13"/>
        <v>0</v>
      </c>
      <c r="Q278" s="23"/>
      <c r="R278" s="24"/>
      <c r="S278" s="49"/>
      <c r="T278" s="24"/>
      <c r="U278" s="24">
        <f t="shared" si="14"/>
        <v>0</v>
      </c>
      <c r="V278" s="24"/>
      <c r="AA278" s="16">
        <v>0</v>
      </c>
      <c r="AB278" s="16">
        <v>0</v>
      </c>
      <c r="AC278" s="16">
        <v>0</v>
      </c>
      <c r="AD278" s="16">
        <v>0</v>
      </c>
      <c r="AE278" s="16">
        <v>0</v>
      </c>
      <c r="AF278" s="16">
        <v>0</v>
      </c>
      <c r="AG278" s="16">
        <v>0</v>
      </c>
      <c r="AH278" s="16">
        <v>0</v>
      </c>
      <c r="AI278" s="16">
        <v>0</v>
      </c>
      <c r="AJ278" s="16">
        <v>0</v>
      </c>
      <c r="AK278" s="16">
        <v>0</v>
      </c>
      <c r="AL278" s="16">
        <v>0</v>
      </c>
      <c r="AM278" s="16">
        <v>0</v>
      </c>
      <c r="AN278" s="16">
        <v>0</v>
      </c>
      <c r="AO278" s="16">
        <v>0</v>
      </c>
      <c r="AP278" s="16">
        <v>0</v>
      </c>
      <c r="AQ278" s="16">
        <v>0</v>
      </c>
      <c r="AR278" s="16">
        <v>0</v>
      </c>
      <c r="AS278" s="16">
        <v>0</v>
      </c>
      <c r="AT278" s="16">
        <v>0</v>
      </c>
      <c r="AU278" s="16">
        <v>0</v>
      </c>
      <c r="AV278" s="16">
        <v>0</v>
      </c>
    </row>
    <row r="279" spans="1:48" ht="14.25" customHeight="1">
      <c r="A279" s="13"/>
      <c r="B279" s="14"/>
      <c r="C279" s="14"/>
      <c r="D279" s="14"/>
      <c r="E279" s="14"/>
      <c r="F279" s="14"/>
      <c r="G279" s="14"/>
      <c r="H279" s="14"/>
      <c r="I279" s="14"/>
      <c r="J279" s="14"/>
      <c r="K279" s="15">
        <f t="shared" si="12"/>
        <v>0</v>
      </c>
      <c r="L279" s="24"/>
      <c r="M279" s="14"/>
      <c r="N279" s="49"/>
      <c r="O279" s="24"/>
      <c r="P279" s="24">
        <f t="shared" si="13"/>
        <v>0</v>
      </c>
      <c r="Q279" s="23"/>
      <c r="R279" s="24"/>
      <c r="S279" s="49"/>
      <c r="T279" s="24"/>
      <c r="U279" s="24">
        <f t="shared" si="14"/>
        <v>0</v>
      </c>
      <c r="V279" s="24"/>
      <c r="AA279" s="16">
        <v>0</v>
      </c>
      <c r="AB279" s="16">
        <v>0</v>
      </c>
      <c r="AC279" s="16">
        <v>0</v>
      </c>
      <c r="AD279" s="16">
        <v>0</v>
      </c>
      <c r="AE279" s="16">
        <v>0</v>
      </c>
      <c r="AF279" s="16">
        <v>0</v>
      </c>
      <c r="AG279" s="16">
        <v>0</v>
      </c>
      <c r="AH279" s="16">
        <v>0</v>
      </c>
      <c r="AI279" s="16">
        <v>0</v>
      </c>
      <c r="AJ279" s="16">
        <v>0</v>
      </c>
      <c r="AK279" s="16">
        <v>0</v>
      </c>
      <c r="AL279" s="16">
        <v>0</v>
      </c>
      <c r="AM279" s="16">
        <v>0</v>
      </c>
      <c r="AN279" s="16">
        <v>0</v>
      </c>
      <c r="AO279" s="16">
        <v>0</v>
      </c>
      <c r="AP279" s="16">
        <v>0</v>
      </c>
      <c r="AQ279" s="16">
        <v>0</v>
      </c>
      <c r="AR279" s="16">
        <v>0</v>
      </c>
      <c r="AS279" s="16">
        <v>0</v>
      </c>
      <c r="AT279" s="16">
        <v>0</v>
      </c>
      <c r="AU279" s="16">
        <v>0</v>
      </c>
      <c r="AV279" s="16">
        <v>0</v>
      </c>
    </row>
    <row r="280" spans="1:48" ht="14.25" customHeight="1">
      <c r="A280" s="13"/>
      <c r="B280" s="14"/>
      <c r="C280" s="14"/>
      <c r="D280" s="14"/>
      <c r="E280" s="14"/>
      <c r="F280" s="14"/>
      <c r="G280" s="14"/>
      <c r="H280" s="14"/>
      <c r="I280" s="14"/>
      <c r="J280" s="14"/>
      <c r="K280" s="15">
        <f t="shared" si="12"/>
        <v>0</v>
      </c>
      <c r="L280" s="24"/>
      <c r="M280" s="14"/>
      <c r="N280" s="49"/>
      <c r="O280" s="24"/>
      <c r="P280" s="24">
        <f t="shared" si="13"/>
        <v>0</v>
      </c>
      <c r="Q280" s="23"/>
      <c r="R280" s="24"/>
      <c r="S280" s="49"/>
      <c r="T280" s="24"/>
      <c r="U280" s="24">
        <f t="shared" si="14"/>
        <v>0</v>
      </c>
      <c r="V280" s="24"/>
      <c r="AA280" s="16">
        <v>0</v>
      </c>
      <c r="AB280" s="16">
        <v>0</v>
      </c>
      <c r="AC280" s="16">
        <v>0</v>
      </c>
      <c r="AD280" s="16">
        <v>0</v>
      </c>
      <c r="AE280" s="16">
        <v>0</v>
      </c>
      <c r="AF280" s="16">
        <v>0</v>
      </c>
      <c r="AG280" s="16">
        <v>0</v>
      </c>
      <c r="AH280" s="16">
        <v>0</v>
      </c>
      <c r="AI280" s="16">
        <v>0</v>
      </c>
      <c r="AJ280" s="16">
        <v>0</v>
      </c>
      <c r="AK280" s="16">
        <v>0</v>
      </c>
      <c r="AL280" s="16">
        <v>0</v>
      </c>
      <c r="AM280" s="16">
        <v>0</v>
      </c>
      <c r="AN280" s="16">
        <v>0</v>
      </c>
      <c r="AO280" s="16">
        <v>0</v>
      </c>
      <c r="AP280" s="16">
        <v>0</v>
      </c>
      <c r="AQ280" s="16">
        <v>0</v>
      </c>
      <c r="AR280" s="16">
        <v>0</v>
      </c>
      <c r="AS280" s="16">
        <v>0</v>
      </c>
      <c r="AT280" s="16">
        <v>0</v>
      </c>
      <c r="AU280" s="16">
        <v>0</v>
      </c>
      <c r="AV280" s="16">
        <v>0</v>
      </c>
    </row>
    <row r="281" spans="1:48" ht="14.25" customHeight="1">
      <c r="A281" s="13"/>
      <c r="B281" s="14"/>
      <c r="C281" s="14"/>
      <c r="D281" s="14"/>
      <c r="E281" s="14"/>
      <c r="F281" s="14"/>
      <c r="G281" s="14"/>
      <c r="H281" s="14"/>
      <c r="I281" s="14"/>
      <c r="J281" s="14"/>
      <c r="K281" s="15">
        <f t="shared" si="12"/>
        <v>0</v>
      </c>
      <c r="L281" s="24"/>
      <c r="M281" s="14"/>
      <c r="N281" s="49"/>
      <c r="O281" s="24"/>
      <c r="P281" s="24">
        <f t="shared" si="13"/>
        <v>0</v>
      </c>
      <c r="Q281" s="23"/>
      <c r="R281" s="24"/>
      <c r="S281" s="49"/>
      <c r="T281" s="24"/>
      <c r="U281" s="24">
        <f t="shared" si="14"/>
        <v>0</v>
      </c>
      <c r="V281" s="24"/>
      <c r="AA281" s="16">
        <v>0</v>
      </c>
      <c r="AB281" s="16">
        <v>0</v>
      </c>
      <c r="AC281" s="16">
        <v>0</v>
      </c>
      <c r="AD281" s="16">
        <v>0</v>
      </c>
      <c r="AE281" s="16">
        <v>0</v>
      </c>
      <c r="AF281" s="16">
        <v>0</v>
      </c>
      <c r="AG281" s="16">
        <v>0</v>
      </c>
      <c r="AH281" s="16">
        <v>0</v>
      </c>
      <c r="AI281" s="16">
        <v>0</v>
      </c>
      <c r="AJ281" s="16">
        <v>0</v>
      </c>
      <c r="AK281" s="16">
        <v>0</v>
      </c>
      <c r="AL281" s="16">
        <v>0</v>
      </c>
      <c r="AM281" s="16">
        <v>0</v>
      </c>
      <c r="AN281" s="16">
        <v>0</v>
      </c>
      <c r="AO281" s="16">
        <v>0</v>
      </c>
      <c r="AP281" s="16">
        <v>0</v>
      </c>
      <c r="AQ281" s="16">
        <v>0</v>
      </c>
      <c r="AR281" s="16">
        <v>0</v>
      </c>
      <c r="AS281" s="16">
        <v>0</v>
      </c>
      <c r="AT281" s="16">
        <v>0</v>
      </c>
      <c r="AU281" s="16">
        <v>0</v>
      </c>
      <c r="AV281" s="16">
        <v>0</v>
      </c>
    </row>
    <row r="282" spans="1:48" ht="14.25" customHeight="1">
      <c r="A282" s="13"/>
      <c r="B282" s="14"/>
      <c r="C282" s="14"/>
      <c r="D282" s="14"/>
      <c r="E282" s="14"/>
      <c r="F282" s="14"/>
      <c r="G282" s="14"/>
      <c r="H282" s="14"/>
      <c r="I282" s="14"/>
      <c r="J282" s="14"/>
      <c r="K282" s="15">
        <f t="shared" si="12"/>
        <v>0</v>
      </c>
      <c r="L282" s="24"/>
      <c r="M282" s="14"/>
      <c r="N282" s="49"/>
      <c r="O282" s="24"/>
      <c r="P282" s="24">
        <f t="shared" si="13"/>
        <v>0</v>
      </c>
      <c r="Q282" s="23"/>
      <c r="R282" s="24"/>
      <c r="S282" s="49"/>
      <c r="T282" s="24"/>
      <c r="U282" s="24">
        <f t="shared" si="14"/>
        <v>0</v>
      </c>
      <c r="V282" s="24"/>
      <c r="AA282" s="16">
        <v>0</v>
      </c>
      <c r="AB282" s="16">
        <v>0</v>
      </c>
      <c r="AC282" s="16">
        <v>0</v>
      </c>
      <c r="AD282" s="16">
        <v>0</v>
      </c>
      <c r="AE282" s="16">
        <v>0</v>
      </c>
      <c r="AF282" s="16">
        <v>0</v>
      </c>
      <c r="AG282" s="16">
        <v>0</v>
      </c>
      <c r="AH282" s="16">
        <v>0</v>
      </c>
      <c r="AI282" s="16">
        <v>0</v>
      </c>
      <c r="AJ282" s="16">
        <v>0</v>
      </c>
      <c r="AK282" s="16">
        <v>0</v>
      </c>
      <c r="AL282" s="16">
        <v>0</v>
      </c>
      <c r="AM282" s="16">
        <v>0</v>
      </c>
      <c r="AN282" s="16">
        <v>0</v>
      </c>
      <c r="AO282" s="16">
        <v>0</v>
      </c>
      <c r="AP282" s="16">
        <v>0</v>
      </c>
      <c r="AQ282" s="16">
        <v>0</v>
      </c>
      <c r="AR282" s="16">
        <v>0</v>
      </c>
      <c r="AS282" s="16">
        <v>0</v>
      </c>
      <c r="AT282" s="16">
        <v>0</v>
      </c>
      <c r="AU282" s="16">
        <v>0</v>
      </c>
      <c r="AV282" s="16">
        <v>0</v>
      </c>
    </row>
    <row r="283" spans="1:48" ht="14.25" customHeight="1">
      <c r="A283" s="13"/>
      <c r="B283" s="14"/>
      <c r="C283" s="14"/>
      <c r="D283" s="14"/>
      <c r="E283" s="14"/>
      <c r="F283" s="14"/>
      <c r="G283" s="14"/>
      <c r="H283" s="14"/>
      <c r="I283" s="14"/>
      <c r="J283" s="14"/>
      <c r="K283" s="15">
        <f t="shared" si="12"/>
        <v>0</v>
      </c>
      <c r="L283" s="24"/>
      <c r="M283" s="14"/>
      <c r="N283" s="49"/>
      <c r="O283" s="24"/>
      <c r="P283" s="24">
        <f t="shared" si="13"/>
        <v>0</v>
      </c>
      <c r="Q283" s="23"/>
      <c r="R283" s="24"/>
      <c r="S283" s="49"/>
      <c r="T283" s="24"/>
      <c r="U283" s="24">
        <f t="shared" si="14"/>
        <v>0</v>
      </c>
      <c r="V283" s="24"/>
      <c r="AA283" s="16">
        <v>0</v>
      </c>
      <c r="AB283" s="16">
        <v>0</v>
      </c>
      <c r="AC283" s="16">
        <v>0</v>
      </c>
      <c r="AD283" s="16">
        <v>0</v>
      </c>
      <c r="AE283" s="16">
        <v>0</v>
      </c>
      <c r="AF283" s="16">
        <v>0</v>
      </c>
      <c r="AG283" s="16">
        <v>0</v>
      </c>
      <c r="AH283" s="16">
        <v>0</v>
      </c>
      <c r="AI283" s="16">
        <v>0</v>
      </c>
      <c r="AJ283" s="16">
        <v>0</v>
      </c>
      <c r="AK283" s="16">
        <v>0</v>
      </c>
      <c r="AL283" s="16">
        <v>0</v>
      </c>
      <c r="AM283" s="16">
        <v>0</v>
      </c>
      <c r="AN283" s="16">
        <v>0</v>
      </c>
      <c r="AO283" s="16">
        <v>0</v>
      </c>
      <c r="AP283" s="16">
        <v>0</v>
      </c>
      <c r="AQ283" s="16">
        <v>0</v>
      </c>
      <c r="AR283" s="16">
        <v>0</v>
      </c>
      <c r="AS283" s="16">
        <v>0</v>
      </c>
      <c r="AT283" s="16">
        <v>0</v>
      </c>
      <c r="AU283" s="16">
        <v>0</v>
      </c>
      <c r="AV283" s="16">
        <v>0</v>
      </c>
    </row>
    <row r="284" spans="1:48" ht="14.25" customHeight="1">
      <c r="A284" s="13"/>
      <c r="B284" s="14"/>
      <c r="C284" s="14"/>
      <c r="D284" s="14"/>
      <c r="E284" s="14"/>
      <c r="F284" s="14"/>
      <c r="G284" s="14"/>
      <c r="H284" s="14"/>
      <c r="I284" s="14"/>
      <c r="J284" s="14"/>
      <c r="K284" s="15">
        <f t="shared" si="12"/>
        <v>0</v>
      </c>
      <c r="L284" s="24"/>
      <c r="M284" s="14"/>
      <c r="N284" s="49"/>
      <c r="O284" s="24"/>
      <c r="P284" s="24">
        <f t="shared" si="13"/>
        <v>0</v>
      </c>
      <c r="Q284" s="23"/>
      <c r="R284" s="24"/>
      <c r="S284" s="49"/>
      <c r="T284" s="24"/>
      <c r="U284" s="24">
        <f t="shared" si="14"/>
        <v>0</v>
      </c>
      <c r="V284" s="24"/>
      <c r="AA284" s="16">
        <v>0</v>
      </c>
      <c r="AB284" s="16">
        <v>0</v>
      </c>
      <c r="AC284" s="16">
        <v>0</v>
      </c>
      <c r="AD284" s="16">
        <v>0</v>
      </c>
      <c r="AE284" s="16">
        <v>0</v>
      </c>
      <c r="AF284" s="16">
        <v>0</v>
      </c>
      <c r="AG284" s="16">
        <v>0</v>
      </c>
      <c r="AH284" s="16">
        <v>0</v>
      </c>
      <c r="AI284" s="16">
        <v>0</v>
      </c>
      <c r="AJ284" s="16">
        <v>0</v>
      </c>
      <c r="AK284" s="16">
        <v>0</v>
      </c>
      <c r="AL284" s="16">
        <v>0</v>
      </c>
      <c r="AM284" s="16">
        <v>0</v>
      </c>
      <c r="AN284" s="16">
        <v>0</v>
      </c>
      <c r="AO284" s="16">
        <v>0</v>
      </c>
      <c r="AP284" s="16">
        <v>0</v>
      </c>
      <c r="AQ284" s="16">
        <v>0</v>
      </c>
      <c r="AR284" s="16">
        <v>0</v>
      </c>
      <c r="AS284" s="16">
        <v>0</v>
      </c>
      <c r="AT284" s="16">
        <v>0</v>
      </c>
      <c r="AU284" s="16">
        <v>0</v>
      </c>
      <c r="AV284" s="16">
        <v>0</v>
      </c>
    </row>
    <row r="285" spans="1:48" ht="14.25" customHeight="1">
      <c r="A285" s="13"/>
      <c r="B285" s="14"/>
      <c r="C285" s="14"/>
      <c r="D285" s="14"/>
      <c r="E285" s="14"/>
      <c r="F285" s="14"/>
      <c r="G285" s="14"/>
      <c r="H285" s="14"/>
      <c r="I285" s="14"/>
      <c r="J285" s="14"/>
      <c r="K285" s="15">
        <f t="shared" si="12"/>
        <v>0</v>
      </c>
      <c r="L285" s="24"/>
      <c r="M285" s="14"/>
      <c r="N285" s="49"/>
      <c r="O285" s="24"/>
      <c r="P285" s="24">
        <f t="shared" si="13"/>
        <v>0</v>
      </c>
      <c r="Q285" s="23"/>
      <c r="R285" s="24"/>
      <c r="S285" s="49"/>
      <c r="T285" s="24"/>
      <c r="U285" s="24">
        <f t="shared" si="14"/>
        <v>0</v>
      </c>
      <c r="V285" s="24"/>
      <c r="AA285" s="16">
        <v>0</v>
      </c>
      <c r="AB285" s="16">
        <v>0</v>
      </c>
      <c r="AC285" s="16">
        <v>0</v>
      </c>
      <c r="AD285" s="16">
        <v>0</v>
      </c>
      <c r="AE285" s="16">
        <v>0</v>
      </c>
      <c r="AF285" s="16">
        <v>0</v>
      </c>
      <c r="AG285" s="16">
        <v>0</v>
      </c>
      <c r="AH285" s="16">
        <v>0</v>
      </c>
      <c r="AI285" s="16">
        <v>0</v>
      </c>
      <c r="AJ285" s="16">
        <v>0</v>
      </c>
      <c r="AK285" s="16">
        <v>0</v>
      </c>
      <c r="AL285" s="16">
        <v>0</v>
      </c>
      <c r="AM285" s="16">
        <v>0</v>
      </c>
      <c r="AN285" s="16">
        <v>0</v>
      </c>
      <c r="AO285" s="16">
        <v>0</v>
      </c>
      <c r="AP285" s="16">
        <v>0</v>
      </c>
      <c r="AQ285" s="16">
        <v>0</v>
      </c>
      <c r="AR285" s="16">
        <v>0</v>
      </c>
      <c r="AS285" s="16">
        <v>0</v>
      </c>
      <c r="AT285" s="16">
        <v>0</v>
      </c>
      <c r="AU285" s="16">
        <v>0</v>
      </c>
      <c r="AV285" s="16">
        <v>0</v>
      </c>
    </row>
    <row r="286" spans="1:48" ht="14.25" customHeight="1">
      <c r="A286" s="13"/>
      <c r="B286" s="14"/>
      <c r="C286" s="14"/>
      <c r="D286" s="14"/>
      <c r="E286" s="14"/>
      <c r="F286" s="14"/>
      <c r="G286" s="14"/>
      <c r="H286" s="14"/>
      <c r="I286" s="14"/>
      <c r="J286" s="14"/>
      <c r="K286" s="15">
        <f t="shared" si="12"/>
        <v>0</v>
      </c>
      <c r="L286" s="24"/>
      <c r="M286" s="14"/>
      <c r="N286" s="49"/>
      <c r="O286" s="24"/>
      <c r="P286" s="24">
        <f t="shared" si="13"/>
        <v>0</v>
      </c>
      <c r="Q286" s="23"/>
      <c r="R286" s="24"/>
      <c r="S286" s="49"/>
      <c r="T286" s="24"/>
      <c r="U286" s="24">
        <f t="shared" si="14"/>
        <v>0</v>
      </c>
      <c r="V286" s="24"/>
      <c r="AA286" s="16">
        <v>0</v>
      </c>
      <c r="AB286" s="16">
        <v>0</v>
      </c>
      <c r="AC286" s="16">
        <v>0</v>
      </c>
      <c r="AD286" s="16">
        <v>0</v>
      </c>
      <c r="AE286" s="16">
        <v>0</v>
      </c>
      <c r="AF286" s="16">
        <v>0</v>
      </c>
      <c r="AG286" s="16">
        <v>0</v>
      </c>
      <c r="AH286" s="16">
        <v>0</v>
      </c>
      <c r="AI286" s="16">
        <v>0</v>
      </c>
      <c r="AJ286" s="16">
        <v>0</v>
      </c>
      <c r="AK286" s="16">
        <v>0</v>
      </c>
      <c r="AL286" s="16">
        <v>0</v>
      </c>
      <c r="AM286" s="16">
        <v>0</v>
      </c>
      <c r="AN286" s="16">
        <v>0</v>
      </c>
      <c r="AO286" s="16">
        <v>0</v>
      </c>
      <c r="AP286" s="16">
        <v>0</v>
      </c>
      <c r="AQ286" s="16">
        <v>0</v>
      </c>
      <c r="AR286" s="16">
        <v>0</v>
      </c>
      <c r="AS286" s="16">
        <v>0</v>
      </c>
      <c r="AT286" s="16">
        <v>0</v>
      </c>
      <c r="AU286" s="16">
        <v>0</v>
      </c>
      <c r="AV286" s="16">
        <v>0</v>
      </c>
    </row>
    <row r="287" spans="1:48" ht="14.25" customHeight="1">
      <c r="A287" s="13"/>
      <c r="B287" s="14"/>
      <c r="C287" s="14"/>
      <c r="D287" s="14"/>
      <c r="E287" s="14"/>
      <c r="F287" s="14"/>
      <c r="G287" s="14"/>
      <c r="H287" s="14"/>
      <c r="I287" s="14"/>
      <c r="J287" s="14"/>
      <c r="K287" s="15">
        <f t="shared" si="12"/>
        <v>0</v>
      </c>
      <c r="L287" s="24"/>
      <c r="M287" s="14"/>
      <c r="N287" s="49"/>
      <c r="O287" s="24"/>
      <c r="P287" s="24">
        <f t="shared" si="13"/>
        <v>0</v>
      </c>
      <c r="Q287" s="23"/>
      <c r="R287" s="24"/>
      <c r="S287" s="49"/>
      <c r="T287" s="24"/>
      <c r="U287" s="24">
        <f t="shared" si="14"/>
        <v>0</v>
      </c>
      <c r="V287" s="24"/>
      <c r="AA287" s="16">
        <v>0</v>
      </c>
      <c r="AB287" s="16">
        <v>0</v>
      </c>
      <c r="AC287" s="16">
        <v>0</v>
      </c>
      <c r="AD287" s="16">
        <v>0</v>
      </c>
      <c r="AE287" s="16">
        <v>0</v>
      </c>
      <c r="AF287" s="16">
        <v>0</v>
      </c>
      <c r="AG287" s="16">
        <v>0</v>
      </c>
      <c r="AH287" s="16">
        <v>0</v>
      </c>
      <c r="AI287" s="16">
        <v>0</v>
      </c>
      <c r="AJ287" s="16">
        <v>0</v>
      </c>
      <c r="AK287" s="16">
        <v>0</v>
      </c>
      <c r="AL287" s="16">
        <v>0</v>
      </c>
      <c r="AM287" s="16">
        <v>0</v>
      </c>
      <c r="AN287" s="16">
        <v>0</v>
      </c>
      <c r="AO287" s="16">
        <v>0</v>
      </c>
      <c r="AP287" s="16">
        <v>0</v>
      </c>
      <c r="AQ287" s="16">
        <v>0</v>
      </c>
      <c r="AR287" s="16">
        <v>0</v>
      </c>
      <c r="AS287" s="16">
        <v>0</v>
      </c>
      <c r="AT287" s="16">
        <v>0</v>
      </c>
      <c r="AU287" s="16">
        <v>0</v>
      </c>
      <c r="AV287" s="16">
        <v>0</v>
      </c>
    </row>
    <row r="288" spans="1:48" ht="14.25" customHeight="1">
      <c r="A288" s="13"/>
      <c r="B288" s="14"/>
      <c r="C288" s="14"/>
      <c r="D288" s="14"/>
      <c r="E288" s="14"/>
      <c r="F288" s="14"/>
      <c r="G288" s="14"/>
      <c r="H288" s="14"/>
      <c r="I288" s="14"/>
      <c r="J288" s="14"/>
      <c r="K288" s="15">
        <f t="shared" si="12"/>
        <v>0</v>
      </c>
      <c r="L288" s="24"/>
      <c r="M288" s="14"/>
      <c r="N288" s="49"/>
      <c r="O288" s="24"/>
      <c r="P288" s="24">
        <f t="shared" si="13"/>
        <v>0</v>
      </c>
      <c r="Q288" s="23"/>
      <c r="R288" s="24"/>
      <c r="S288" s="49"/>
      <c r="T288" s="24"/>
      <c r="U288" s="24">
        <f t="shared" si="14"/>
        <v>0</v>
      </c>
      <c r="V288" s="24"/>
      <c r="AA288" s="16">
        <v>0</v>
      </c>
      <c r="AB288" s="16">
        <v>0</v>
      </c>
      <c r="AC288" s="16">
        <v>0</v>
      </c>
      <c r="AD288" s="16">
        <v>0</v>
      </c>
      <c r="AE288" s="16">
        <v>0</v>
      </c>
      <c r="AF288" s="16">
        <v>0</v>
      </c>
      <c r="AG288" s="16">
        <v>0</v>
      </c>
      <c r="AH288" s="16">
        <v>0</v>
      </c>
      <c r="AI288" s="16">
        <v>0</v>
      </c>
      <c r="AJ288" s="16">
        <v>0</v>
      </c>
      <c r="AK288" s="16">
        <v>0</v>
      </c>
      <c r="AL288" s="16">
        <v>0</v>
      </c>
      <c r="AM288" s="16">
        <v>0</v>
      </c>
      <c r="AN288" s="16">
        <v>0</v>
      </c>
      <c r="AO288" s="16">
        <v>0</v>
      </c>
      <c r="AP288" s="16">
        <v>0</v>
      </c>
      <c r="AQ288" s="16">
        <v>0</v>
      </c>
      <c r="AR288" s="16">
        <v>0</v>
      </c>
      <c r="AS288" s="16">
        <v>0</v>
      </c>
      <c r="AT288" s="16">
        <v>0</v>
      </c>
      <c r="AU288" s="16">
        <v>0</v>
      </c>
      <c r="AV288" s="16">
        <v>0</v>
      </c>
    </row>
    <row r="289" spans="1:48" ht="14.25" customHeight="1">
      <c r="A289" s="13"/>
      <c r="B289" s="14"/>
      <c r="C289" s="14"/>
      <c r="D289" s="14"/>
      <c r="E289" s="14"/>
      <c r="F289" s="14"/>
      <c r="G289" s="14"/>
      <c r="H289" s="14"/>
      <c r="I289" s="14"/>
      <c r="J289" s="14"/>
      <c r="K289" s="15">
        <f t="shared" si="12"/>
        <v>0</v>
      </c>
      <c r="L289" s="24"/>
      <c r="M289" s="14"/>
      <c r="N289" s="49"/>
      <c r="O289" s="24"/>
      <c r="P289" s="24">
        <f t="shared" si="13"/>
        <v>0</v>
      </c>
      <c r="Q289" s="23"/>
      <c r="R289" s="24"/>
      <c r="S289" s="49"/>
      <c r="T289" s="24"/>
      <c r="U289" s="24">
        <f t="shared" si="14"/>
        <v>0</v>
      </c>
      <c r="V289" s="24"/>
      <c r="AA289" s="16">
        <v>0</v>
      </c>
      <c r="AB289" s="16">
        <v>0</v>
      </c>
      <c r="AC289" s="16">
        <v>0</v>
      </c>
      <c r="AD289" s="16">
        <v>0</v>
      </c>
      <c r="AE289" s="16">
        <v>0</v>
      </c>
      <c r="AF289" s="16">
        <v>0</v>
      </c>
      <c r="AG289" s="16">
        <v>0</v>
      </c>
      <c r="AH289" s="16">
        <v>0</v>
      </c>
      <c r="AI289" s="16">
        <v>0</v>
      </c>
      <c r="AJ289" s="16">
        <v>0</v>
      </c>
      <c r="AK289" s="16">
        <v>0</v>
      </c>
      <c r="AL289" s="16">
        <v>0</v>
      </c>
      <c r="AM289" s="16">
        <v>0</v>
      </c>
      <c r="AN289" s="16">
        <v>0</v>
      </c>
      <c r="AO289" s="16">
        <v>0</v>
      </c>
      <c r="AP289" s="16">
        <v>0</v>
      </c>
      <c r="AQ289" s="16">
        <v>0</v>
      </c>
      <c r="AR289" s="16">
        <v>0</v>
      </c>
      <c r="AS289" s="16">
        <v>0</v>
      </c>
      <c r="AT289" s="16">
        <v>0</v>
      </c>
      <c r="AU289" s="16">
        <v>0</v>
      </c>
      <c r="AV289" s="16">
        <v>0</v>
      </c>
    </row>
    <row r="290" spans="1:48" ht="14.25" customHeight="1">
      <c r="A290" s="13"/>
      <c r="B290" s="14"/>
      <c r="C290" s="14"/>
      <c r="D290" s="14"/>
      <c r="E290" s="14"/>
      <c r="F290" s="14"/>
      <c r="G290" s="14"/>
      <c r="H290" s="14"/>
      <c r="I290" s="14"/>
      <c r="J290" s="14"/>
      <c r="K290" s="15">
        <f t="shared" si="12"/>
        <v>0</v>
      </c>
      <c r="L290" s="24"/>
      <c r="M290" s="14"/>
      <c r="N290" s="49"/>
      <c r="O290" s="24"/>
      <c r="P290" s="24">
        <f t="shared" si="13"/>
        <v>0</v>
      </c>
      <c r="Q290" s="23"/>
      <c r="R290" s="24"/>
      <c r="S290" s="49"/>
      <c r="T290" s="24"/>
      <c r="U290" s="24">
        <f t="shared" si="14"/>
        <v>0</v>
      </c>
      <c r="V290" s="24"/>
      <c r="AA290" s="16">
        <v>0</v>
      </c>
      <c r="AB290" s="16">
        <v>0</v>
      </c>
      <c r="AC290" s="16">
        <v>0</v>
      </c>
      <c r="AD290" s="16">
        <v>0</v>
      </c>
      <c r="AE290" s="16">
        <v>0</v>
      </c>
      <c r="AF290" s="16">
        <v>0</v>
      </c>
      <c r="AG290" s="16">
        <v>0</v>
      </c>
      <c r="AH290" s="16">
        <v>0</v>
      </c>
      <c r="AI290" s="16">
        <v>0</v>
      </c>
      <c r="AJ290" s="16">
        <v>0</v>
      </c>
      <c r="AK290" s="16">
        <v>0</v>
      </c>
      <c r="AL290" s="16">
        <v>0</v>
      </c>
      <c r="AM290" s="16">
        <v>0</v>
      </c>
      <c r="AN290" s="16">
        <v>0</v>
      </c>
      <c r="AO290" s="16">
        <v>0</v>
      </c>
      <c r="AP290" s="16">
        <v>0</v>
      </c>
      <c r="AQ290" s="16">
        <v>0</v>
      </c>
      <c r="AR290" s="16">
        <v>0</v>
      </c>
      <c r="AS290" s="16">
        <v>0</v>
      </c>
      <c r="AT290" s="16">
        <v>0</v>
      </c>
      <c r="AU290" s="16">
        <v>0</v>
      </c>
      <c r="AV290" s="16">
        <v>0</v>
      </c>
    </row>
    <row r="291" spans="1:48" ht="14.25" customHeight="1">
      <c r="A291" s="13"/>
      <c r="B291" s="14"/>
      <c r="C291" s="14"/>
      <c r="D291" s="14"/>
      <c r="E291" s="14"/>
      <c r="F291" s="14"/>
      <c r="G291" s="14"/>
      <c r="H291" s="14"/>
      <c r="I291" s="14"/>
      <c r="J291" s="14"/>
      <c r="K291" s="15">
        <f t="shared" si="12"/>
        <v>0</v>
      </c>
      <c r="L291" s="24"/>
      <c r="M291" s="14"/>
      <c r="N291" s="49"/>
      <c r="O291" s="24"/>
      <c r="P291" s="24">
        <f t="shared" si="13"/>
        <v>0</v>
      </c>
      <c r="Q291" s="23"/>
      <c r="R291" s="24"/>
      <c r="S291" s="49"/>
      <c r="T291" s="24"/>
      <c r="U291" s="24">
        <f t="shared" si="14"/>
        <v>0</v>
      </c>
      <c r="V291" s="24"/>
      <c r="AA291" s="16">
        <v>0</v>
      </c>
      <c r="AB291" s="16">
        <v>0</v>
      </c>
      <c r="AC291" s="16">
        <v>0</v>
      </c>
      <c r="AD291" s="16">
        <v>0</v>
      </c>
      <c r="AE291" s="16">
        <v>0</v>
      </c>
      <c r="AF291" s="16">
        <v>0</v>
      </c>
      <c r="AG291" s="16">
        <v>0</v>
      </c>
      <c r="AH291" s="16">
        <v>0</v>
      </c>
      <c r="AI291" s="16">
        <v>0</v>
      </c>
      <c r="AJ291" s="16">
        <v>0</v>
      </c>
      <c r="AK291" s="16">
        <v>0</v>
      </c>
      <c r="AL291" s="16">
        <v>0</v>
      </c>
      <c r="AM291" s="16">
        <v>0</v>
      </c>
      <c r="AN291" s="16">
        <v>0</v>
      </c>
      <c r="AO291" s="16">
        <v>0</v>
      </c>
      <c r="AP291" s="16">
        <v>0</v>
      </c>
      <c r="AQ291" s="16">
        <v>0</v>
      </c>
      <c r="AR291" s="16">
        <v>0</v>
      </c>
      <c r="AS291" s="16">
        <v>0</v>
      </c>
      <c r="AT291" s="16">
        <v>0</v>
      </c>
      <c r="AU291" s="16">
        <v>0</v>
      </c>
      <c r="AV291" s="16">
        <v>0</v>
      </c>
    </row>
    <row r="292" spans="1:48" ht="14.25" customHeight="1">
      <c r="A292" s="13"/>
      <c r="B292" s="14"/>
      <c r="C292" s="14"/>
      <c r="D292" s="14"/>
      <c r="E292" s="14"/>
      <c r="F292" s="14"/>
      <c r="G292" s="14"/>
      <c r="H292" s="14"/>
      <c r="I292" s="14"/>
      <c r="J292" s="14"/>
      <c r="K292" s="15">
        <f t="shared" si="12"/>
        <v>0</v>
      </c>
      <c r="L292" s="24"/>
      <c r="M292" s="14"/>
      <c r="N292" s="49"/>
      <c r="O292" s="24"/>
      <c r="P292" s="24">
        <f t="shared" si="13"/>
        <v>0</v>
      </c>
      <c r="Q292" s="23"/>
      <c r="R292" s="24"/>
      <c r="S292" s="49"/>
      <c r="T292" s="24"/>
      <c r="U292" s="24">
        <f t="shared" si="14"/>
        <v>0</v>
      </c>
      <c r="V292" s="24"/>
      <c r="AA292" s="16">
        <v>0</v>
      </c>
      <c r="AB292" s="16">
        <v>0</v>
      </c>
      <c r="AC292" s="16">
        <v>0</v>
      </c>
      <c r="AD292" s="16">
        <v>0</v>
      </c>
      <c r="AE292" s="16">
        <v>0</v>
      </c>
      <c r="AF292" s="16">
        <v>0</v>
      </c>
      <c r="AG292" s="16">
        <v>0</v>
      </c>
      <c r="AH292" s="16">
        <v>0</v>
      </c>
      <c r="AI292" s="16">
        <v>0</v>
      </c>
      <c r="AJ292" s="16">
        <v>0</v>
      </c>
      <c r="AK292" s="16">
        <v>0</v>
      </c>
      <c r="AL292" s="16">
        <v>0</v>
      </c>
      <c r="AM292" s="16">
        <v>0</v>
      </c>
      <c r="AN292" s="16">
        <v>0</v>
      </c>
      <c r="AO292" s="16">
        <v>0</v>
      </c>
      <c r="AP292" s="16">
        <v>0</v>
      </c>
      <c r="AQ292" s="16">
        <v>0</v>
      </c>
      <c r="AR292" s="16">
        <v>0</v>
      </c>
      <c r="AS292" s="16">
        <v>0</v>
      </c>
      <c r="AT292" s="16">
        <v>0</v>
      </c>
      <c r="AU292" s="16">
        <v>0</v>
      </c>
      <c r="AV292" s="16">
        <v>0</v>
      </c>
    </row>
    <row r="293" spans="1:48" ht="14.25" customHeight="1">
      <c r="A293" s="13"/>
      <c r="B293" s="14"/>
      <c r="C293" s="14"/>
      <c r="D293" s="14"/>
      <c r="E293" s="14"/>
      <c r="F293" s="14"/>
      <c r="G293" s="14"/>
      <c r="H293" s="14"/>
      <c r="I293" s="14"/>
      <c r="J293" s="14"/>
      <c r="K293" s="15">
        <f t="shared" si="12"/>
        <v>0</v>
      </c>
      <c r="L293" s="24"/>
      <c r="M293" s="14"/>
      <c r="N293" s="49"/>
      <c r="O293" s="24"/>
      <c r="P293" s="24">
        <f t="shared" si="13"/>
        <v>0</v>
      </c>
      <c r="Q293" s="23"/>
      <c r="R293" s="24"/>
      <c r="S293" s="49"/>
      <c r="T293" s="24"/>
      <c r="U293" s="24">
        <f t="shared" si="14"/>
        <v>0</v>
      </c>
      <c r="V293" s="24"/>
      <c r="AA293" s="16">
        <v>0</v>
      </c>
      <c r="AB293" s="16">
        <v>0</v>
      </c>
      <c r="AC293" s="16">
        <v>0</v>
      </c>
      <c r="AD293" s="16">
        <v>0</v>
      </c>
      <c r="AE293" s="16">
        <v>0</v>
      </c>
      <c r="AF293" s="16">
        <v>0</v>
      </c>
      <c r="AG293" s="16">
        <v>0</v>
      </c>
      <c r="AH293" s="16">
        <v>0</v>
      </c>
      <c r="AI293" s="16">
        <v>0</v>
      </c>
      <c r="AJ293" s="16">
        <v>0</v>
      </c>
      <c r="AK293" s="16">
        <v>0</v>
      </c>
      <c r="AL293" s="16">
        <v>0</v>
      </c>
      <c r="AM293" s="16">
        <v>0</v>
      </c>
      <c r="AN293" s="16">
        <v>0</v>
      </c>
      <c r="AO293" s="16">
        <v>0</v>
      </c>
      <c r="AP293" s="16">
        <v>0</v>
      </c>
      <c r="AQ293" s="16">
        <v>0</v>
      </c>
      <c r="AR293" s="16">
        <v>0</v>
      </c>
      <c r="AS293" s="16">
        <v>0</v>
      </c>
      <c r="AT293" s="16">
        <v>0</v>
      </c>
      <c r="AU293" s="16">
        <v>0</v>
      </c>
      <c r="AV293" s="16">
        <v>0</v>
      </c>
    </row>
    <row r="294" spans="1:48" ht="14.25" customHeight="1">
      <c r="A294" s="13"/>
      <c r="B294" s="14"/>
      <c r="C294" s="14"/>
      <c r="D294" s="14"/>
      <c r="E294" s="14"/>
      <c r="F294" s="14"/>
      <c r="G294" s="14"/>
      <c r="H294" s="14"/>
      <c r="I294" s="14"/>
      <c r="J294" s="14"/>
      <c r="K294" s="15">
        <f t="shared" si="12"/>
        <v>0</v>
      </c>
      <c r="L294" s="24"/>
      <c r="M294" s="14"/>
      <c r="N294" s="49"/>
      <c r="O294" s="24"/>
      <c r="P294" s="24">
        <f t="shared" si="13"/>
        <v>0</v>
      </c>
      <c r="Q294" s="23"/>
      <c r="R294" s="24"/>
      <c r="S294" s="49"/>
      <c r="T294" s="24"/>
      <c r="U294" s="24">
        <f t="shared" si="14"/>
        <v>0</v>
      </c>
      <c r="V294" s="24"/>
      <c r="AA294" s="16">
        <v>0</v>
      </c>
      <c r="AB294" s="16">
        <v>0</v>
      </c>
      <c r="AC294" s="16">
        <v>0</v>
      </c>
      <c r="AD294" s="16">
        <v>0</v>
      </c>
      <c r="AE294" s="16">
        <v>0</v>
      </c>
      <c r="AF294" s="16">
        <v>0</v>
      </c>
      <c r="AG294" s="16">
        <v>0</v>
      </c>
      <c r="AH294" s="16">
        <v>0</v>
      </c>
      <c r="AI294" s="16">
        <v>0</v>
      </c>
      <c r="AJ294" s="16">
        <v>0</v>
      </c>
      <c r="AK294" s="16">
        <v>0</v>
      </c>
      <c r="AL294" s="16">
        <v>0</v>
      </c>
      <c r="AM294" s="16">
        <v>0</v>
      </c>
      <c r="AN294" s="16">
        <v>0</v>
      </c>
      <c r="AO294" s="16">
        <v>0</v>
      </c>
      <c r="AP294" s="16">
        <v>0</v>
      </c>
      <c r="AQ294" s="16">
        <v>0</v>
      </c>
      <c r="AR294" s="16">
        <v>0</v>
      </c>
      <c r="AS294" s="16">
        <v>0</v>
      </c>
      <c r="AT294" s="16">
        <v>0</v>
      </c>
      <c r="AU294" s="16">
        <v>0</v>
      </c>
      <c r="AV294" s="16">
        <v>0</v>
      </c>
    </row>
    <row r="295" spans="1:48" ht="14.25" customHeight="1">
      <c r="A295" s="13"/>
      <c r="B295" s="14"/>
      <c r="C295" s="14"/>
      <c r="D295" s="14"/>
      <c r="E295" s="14"/>
      <c r="F295" s="14"/>
      <c r="G295" s="14"/>
      <c r="H295" s="14"/>
      <c r="I295" s="14"/>
      <c r="J295" s="14"/>
      <c r="K295" s="15">
        <f t="shared" si="12"/>
        <v>0</v>
      </c>
      <c r="L295" s="24"/>
      <c r="M295" s="14"/>
      <c r="N295" s="49"/>
      <c r="O295" s="24"/>
      <c r="P295" s="24">
        <f t="shared" si="13"/>
        <v>0</v>
      </c>
      <c r="Q295" s="23"/>
      <c r="R295" s="24"/>
      <c r="S295" s="49"/>
      <c r="T295" s="24"/>
      <c r="U295" s="24">
        <f t="shared" si="14"/>
        <v>0</v>
      </c>
      <c r="V295" s="24"/>
      <c r="AA295" s="16">
        <v>0</v>
      </c>
      <c r="AB295" s="16">
        <v>0</v>
      </c>
      <c r="AC295" s="16">
        <v>0</v>
      </c>
      <c r="AD295" s="16">
        <v>0</v>
      </c>
      <c r="AE295" s="16">
        <v>0</v>
      </c>
      <c r="AF295" s="16">
        <v>0</v>
      </c>
      <c r="AG295" s="16">
        <v>0</v>
      </c>
      <c r="AH295" s="16">
        <v>0</v>
      </c>
      <c r="AI295" s="16">
        <v>0</v>
      </c>
      <c r="AJ295" s="16">
        <v>0</v>
      </c>
      <c r="AK295" s="16">
        <v>0</v>
      </c>
      <c r="AL295" s="16">
        <v>0</v>
      </c>
      <c r="AM295" s="16">
        <v>0</v>
      </c>
      <c r="AN295" s="16">
        <v>0</v>
      </c>
      <c r="AO295" s="16">
        <v>0</v>
      </c>
      <c r="AP295" s="16">
        <v>0</v>
      </c>
      <c r="AQ295" s="16">
        <v>0</v>
      </c>
      <c r="AR295" s="16">
        <v>0</v>
      </c>
      <c r="AS295" s="16">
        <v>0</v>
      </c>
      <c r="AT295" s="16">
        <v>0</v>
      </c>
      <c r="AU295" s="16">
        <v>0</v>
      </c>
      <c r="AV295" s="16">
        <v>0</v>
      </c>
    </row>
    <row r="296" spans="1:48" ht="14.25" customHeight="1">
      <c r="A296" s="13"/>
      <c r="B296" s="14"/>
      <c r="C296" s="14"/>
      <c r="D296" s="14"/>
      <c r="E296" s="14"/>
      <c r="F296" s="14"/>
      <c r="G296" s="14"/>
      <c r="H296" s="14"/>
      <c r="I296" s="14"/>
      <c r="J296" s="14"/>
      <c r="K296" s="15">
        <f t="shared" si="12"/>
        <v>0</v>
      </c>
      <c r="L296" s="24"/>
      <c r="M296" s="14"/>
      <c r="N296" s="49"/>
      <c r="O296" s="24"/>
      <c r="P296" s="24">
        <f t="shared" si="13"/>
        <v>0</v>
      </c>
      <c r="Q296" s="23"/>
      <c r="R296" s="24"/>
      <c r="S296" s="49"/>
      <c r="T296" s="24"/>
      <c r="U296" s="24">
        <f t="shared" si="14"/>
        <v>0</v>
      </c>
      <c r="V296" s="24"/>
      <c r="AA296" s="16">
        <v>0</v>
      </c>
      <c r="AB296" s="16">
        <v>0</v>
      </c>
      <c r="AC296" s="16">
        <v>0</v>
      </c>
      <c r="AD296" s="16">
        <v>0</v>
      </c>
      <c r="AE296" s="16">
        <v>0</v>
      </c>
      <c r="AF296" s="16">
        <v>0</v>
      </c>
      <c r="AG296" s="16">
        <v>0</v>
      </c>
      <c r="AH296" s="16">
        <v>0</v>
      </c>
      <c r="AI296" s="16">
        <v>0</v>
      </c>
      <c r="AJ296" s="16">
        <v>0</v>
      </c>
      <c r="AK296" s="16">
        <v>0</v>
      </c>
      <c r="AL296" s="16">
        <v>0</v>
      </c>
      <c r="AM296" s="16">
        <v>0</v>
      </c>
      <c r="AN296" s="16">
        <v>0</v>
      </c>
      <c r="AO296" s="16">
        <v>0</v>
      </c>
      <c r="AP296" s="16">
        <v>0</v>
      </c>
      <c r="AQ296" s="16">
        <v>0</v>
      </c>
      <c r="AR296" s="16">
        <v>0</v>
      </c>
      <c r="AS296" s="16">
        <v>0</v>
      </c>
      <c r="AT296" s="16">
        <v>0</v>
      </c>
      <c r="AU296" s="16">
        <v>0</v>
      </c>
      <c r="AV296" s="16">
        <v>0</v>
      </c>
    </row>
    <row r="297" spans="1:48" ht="14.25" customHeight="1">
      <c r="A297" s="13"/>
      <c r="B297" s="14"/>
      <c r="C297" s="14"/>
      <c r="D297" s="14"/>
      <c r="E297" s="14"/>
      <c r="F297" s="14"/>
      <c r="G297" s="14"/>
      <c r="H297" s="14"/>
      <c r="I297" s="14"/>
      <c r="J297" s="14"/>
      <c r="K297" s="15">
        <f t="shared" si="12"/>
        <v>0</v>
      </c>
      <c r="L297" s="24"/>
      <c r="M297" s="14"/>
      <c r="N297" s="49"/>
      <c r="O297" s="24"/>
      <c r="P297" s="24">
        <f t="shared" si="13"/>
        <v>0</v>
      </c>
      <c r="Q297" s="23"/>
      <c r="R297" s="24"/>
      <c r="S297" s="49"/>
      <c r="T297" s="24"/>
      <c r="U297" s="24">
        <f t="shared" si="14"/>
        <v>0</v>
      </c>
      <c r="V297" s="24"/>
      <c r="AA297" s="16">
        <v>0</v>
      </c>
      <c r="AB297" s="16">
        <v>0</v>
      </c>
      <c r="AC297" s="16">
        <v>0</v>
      </c>
      <c r="AD297" s="16">
        <v>0</v>
      </c>
      <c r="AE297" s="16">
        <v>0</v>
      </c>
      <c r="AF297" s="16">
        <v>0</v>
      </c>
      <c r="AG297" s="16">
        <v>0</v>
      </c>
      <c r="AH297" s="16">
        <v>0</v>
      </c>
      <c r="AI297" s="16">
        <v>0</v>
      </c>
      <c r="AJ297" s="16">
        <v>0</v>
      </c>
      <c r="AK297" s="16">
        <v>0</v>
      </c>
      <c r="AL297" s="16">
        <v>0</v>
      </c>
      <c r="AM297" s="16">
        <v>0</v>
      </c>
      <c r="AN297" s="16">
        <v>0</v>
      </c>
      <c r="AO297" s="16">
        <v>0</v>
      </c>
      <c r="AP297" s="16">
        <v>0</v>
      </c>
      <c r="AQ297" s="16">
        <v>0</v>
      </c>
      <c r="AR297" s="16">
        <v>0</v>
      </c>
      <c r="AS297" s="16">
        <v>0</v>
      </c>
      <c r="AT297" s="16">
        <v>0</v>
      </c>
      <c r="AU297" s="16">
        <v>0</v>
      </c>
      <c r="AV297" s="16">
        <v>0</v>
      </c>
    </row>
    <row r="298" spans="1:48" ht="14.25" customHeight="1">
      <c r="A298" s="13"/>
      <c r="B298" s="14"/>
      <c r="C298" s="14"/>
      <c r="D298" s="14"/>
      <c r="E298" s="14"/>
      <c r="F298" s="14"/>
      <c r="G298" s="14"/>
      <c r="H298" s="14"/>
      <c r="I298" s="14"/>
      <c r="J298" s="14"/>
      <c r="K298" s="15">
        <f t="shared" si="12"/>
        <v>0</v>
      </c>
      <c r="L298" s="24"/>
      <c r="M298" s="14"/>
      <c r="N298" s="49"/>
      <c r="O298" s="24"/>
      <c r="P298" s="24">
        <f t="shared" si="13"/>
        <v>0</v>
      </c>
      <c r="Q298" s="23"/>
      <c r="R298" s="24"/>
      <c r="S298" s="49"/>
      <c r="T298" s="24"/>
      <c r="U298" s="24">
        <f t="shared" si="14"/>
        <v>0</v>
      </c>
      <c r="V298" s="24"/>
      <c r="AA298" s="16">
        <v>0</v>
      </c>
      <c r="AB298" s="16">
        <v>0</v>
      </c>
      <c r="AC298" s="16">
        <v>0</v>
      </c>
      <c r="AD298" s="16">
        <v>0</v>
      </c>
      <c r="AE298" s="16">
        <v>0</v>
      </c>
      <c r="AF298" s="16">
        <v>0</v>
      </c>
      <c r="AG298" s="16">
        <v>0</v>
      </c>
      <c r="AH298" s="16">
        <v>0</v>
      </c>
      <c r="AI298" s="16">
        <v>0</v>
      </c>
      <c r="AJ298" s="16">
        <v>0</v>
      </c>
      <c r="AK298" s="16">
        <v>0</v>
      </c>
      <c r="AL298" s="16">
        <v>0</v>
      </c>
      <c r="AM298" s="16">
        <v>0</v>
      </c>
      <c r="AN298" s="16">
        <v>0</v>
      </c>
      <c r="AO298" s="16">
        <v>0</v>
      </c>
      <c r="AP298" s="16">
        <v>0</v>
      </c>
      <c r="AQ298" s="16">
        <v>0</v>
      </c>
      <c r="AR298" s="16">
        <v>0</v>
      </c>
      <c r="AS298" s="16">
        <v>0</v>
      </c>
      <c r="AT298" s="16">
        <v>0</v>
      </c>
      <c r="AU298" s="16">
        <v>0</v>
      </c>
      <c r="AV298" s="16">
        <v>0</v>
      </c>
    </row>
    <row r="299" spans="1:48" ht="14.25" customHeight="1">
      <c r="A299" s="13"/>
      <c r="B299" s="14"/>
      <c r="C299" s="14"/>
      <c r="D299" s="14"/>
      <c r="E299" s="14"/>
      <c r="F299" s="14"/>
      <c r="G299" s="14"/>
      <c r="H299" s="14"/>
      <c r="I299" s="14"/>
      <c r="J299" s="14"/>
      <c r="K299" s="15">
        <f t="shared" si="12"/>
        <v>0</v>
      </c>
      <c r="L299" s="24"/>
      <c r="M299" s="14"/>
      <c r="N299" s="49"/>
      <c r="O299" s="24"/>
      <c r="P299" s="24">
        <f t="shared" si="13"/>
        <v>0</v>
      </c>
      <c r="Q299" s="23"/>
      <c r="R299" s="24"/>
      <c r="S299" s="49"/>
      <c r="T299" s="24"/>
      <c r="U299" s="24">
        <f t="shared" si="14"/>
        <v>0</v>
      </c>
      <c r="V299" s="24"/>
      <c r="AA299" s="16">
        <v>0</v>
      </c>
      <c r="AB299" s="16">
        <v>0</v>
      </c>
      <c r="AC299" s="16">
        <v>0</v>
      </c>
      <c r="AD299" s="16">
        <v>0</v>
      </c>
      <c r="AE299" s="16">
        <v>0</v>
      </c>
      <c r="AF299" s="16">
        <v>0</v>
      </c>
      <c r="AG299" s="16">
        <v>0</v>
      </c>
      <c r="AH299" s="16">
        <v>0</v>
      </c>
      <c r="AI299" s="16">
        <v>0</v>
      </c>
      <c r="AJ299" s="16">
        <v>0</v>
      </c>
      <c r="AK299" s="16">
        <v>0</v>
      </c>
      <c r="AL299" s="16">
        <v>0</v>
      </c>
      <c r="AM299" s="16">
        <v>0</v>
      </c>
      <c r="AN299" s="16">
        <v>0</v>
      </c>
      <c r="AO299" s="16">
        <v>0</v>
      </c>
      <c r="AP299" s="16">
        <v>0</v>
      </c>
      <c r="AQ299" s="16">
        <v>0</v>
      </c>
      <c r="AR299" s="16">
        <v>0</v>
      </c>
      <c r="AS299" s="16">
        <v>0</v>
      </c>
      <c r="AT299" s="16">
        <v>0</v>
      </c>
      <c r="AU299" s="16">
        <v>0</v>
      </c>
      <c r="AV299" s="16">
        <v>0</v>
      </c>
    </row>
    <row r="300" spans="1:48" ht="14.25" customHeight="1">
      <c r="A300" s="13"/>
      <c r="B300" s="14"/>
      <c r="C300" s="14"/>
      <c r="D300" s="14"/>
      <c r="E300" s="14"/>
      <c r="F300" s="14"/>
      <c r="G300" s="14"/>
      <c r="H300" s="14"/>
      <c r="I300" s="14"/>
      <c r="J300" s="14"/>
      <c r="K300" s="15">
        <f t="shared" si="12"/>
        <v>0</v>
      </c>
      <c r="L300" s="24"/>
      <c r="M300" s="14"/>
      <c r="N300" s="49"/>
      <c r="O300" s="24"/>
      <c r="P300" s="24">
        <f t="shared" si="13"/>
        <v>0</v>
      </c>
      <c r="Q300" s="23"/>
      <c r="R300" s="24"/>
      <c r="S300" s="49"/>
      <c r="T300" s="24"/>
      <c r="U300" s="24">
        <f t="shared" si="14"/>
        <v>0</v>
      </c>
      <c r="V300" s="24"/>
      <c r="AA300" s="16">
        <v>0</v>
      </c>
      <c r="AB300" s="16">
        <v>0</v>
      </c>
      <c r="AC300" s="16">
        <v>0</v>
      </c>
      <c r="AD300" s="16">
        <v>0</v>
      </c>
      <c r="AE300" s="16">
        <v>0</v>
      </c>
      <c r="AF300" s="16">
        <v>0</v>
      </c>
      <c r="AG300" s="16">
        <v>0</v>
      </c>
      <c r="AH300" s="16">
        <v>0</v>
      </c>
      <c r="AI300" s="16">
        <v>0</v>
      </c>
      <c r="AJ300" s="16">
        <v>0</v>
      </c>
      <c r="AK300" s="16">
        <v>0</v>
      </c>
      <c r="AL300" s="16">
        <v>0</v>
      </c>
      <c r="AM300" s="16">
        <v>0</v>
      </c>
      <c r="AN300" s="16">
        <v>0</v>
      </c>
      <c r="AO300" s="16">
        <v>0</v>
      </c>
      <c r="AP300" s="16">
        <v>0</v>
      </c>
      <c r="AQ300" s="16">
        <v>0</v>
      </c>
      <c r="AR300" s="16">
        <v>0</v>
      </c>
      <c r="AS300" s="16">
        <v>0</v>
      </c>
      <c r="AT300" s="16">
        <v>0</v>
      </c>
      <c r="AU300" s="16">
        <v>0</v>
      </c>
      <c r="AV300" s="16">
        <v>0</v>
      </c>
    </row>
    <row r="301" spans="1:48" ht="14.25" customHeight="1">
      <c r="A301" s="13"/>
      <c r="B301" s="14"/>
      <c r="C301" s="14"/>
      <c r="D301" s="14"/>
      <c r="E301" s="14"/>
      <c r="F301" s="14"/>
      <c r="G301" s="14"/>
      <c r="H301" s="14"/>
      <c r="I301" s="14"/>
      <c r="J301" s="14"/>
      <c r="K301" s="15">
        <f t="shared" si="12"/>
        <v>0</v>
      </c>
      <c r="L301" s="24"/>
      <c r="M301" s="14"/>
      <c r="N301" s="49"/>
      <c r="O301" s="24"/>
      <c r="P301" s="24">
        <f t="shared" si="13"/>
        <v>0</v>
      </c>
      <c r="Q301" s="23"/>
      <c r="R301" s="24"/>
      <c r="S301" s="49"/>
      <c r="T301" s="24"/>
      <c r="U301" s="24">
        <f t="shared" si="14"/>
        <v>0</v>
      </c>
      <c r="V301" s="24"/>
      <c r="AA301" s="16">
        <v>0</v>
      </c>
      <c r="AB301" s="16">
        <v>0</v>
      </c>
      <c r="AC301" s="16">
        <v>0</v>
      </c>
      <c r="AD301" s="16">
        <v>0</v>
      </c>
      <c r="AE301" s="16">
        <v>0</v>
      </c>
      <c r="AF301" s="16">
        <v>0</v>
      </c>
      <c r="AG301" s="16">
        <v>0</v>
      </c>
      <c r="AH301" s="16">
        <v>0</v>
      </c>
      <c r="AI301" s="16">
        <v>0</v>
      </c>
      <c r="AJ301" s="16">
        <v>0</v>
      </c>
      <c r="AK301" s="16">
        <v>0</v>
      </c>
      <c r="AL301" s="16">
        <v>0</v>
      </c>
      <c r="AM301" s="16">
        <v>0</v>
      </c>
      <c r="AN301" s="16">
        <v>0</v>
      </c>
      <c r="AO301" s="16">
        <v>0</v>
      </c>
      <c r="AP301" s="16">
        <v>0</v>
      </c>
      <c r="AQ301" s="16">
        <v>0</v>
      </c>
      <c r="AR301" s="16">
        <v>0</v>
      </c>
      <c r="AS301" s="16">
        <v>0</v>
      </c>
      <c r="AT301" s="16">
        <v>0</v>
      </c>
      <c r="AU301" s="16">
        <v>0</v>
      </c>
      <c r="AV301" s="16">
        <v>0</v>
      </c>
    </row>
    <row r="302" spans="1:48" ht="14.25" customHeight="1">
      <c r="A302" s="13"/>
      <c r="B302" s="14"/>
      <c r="C302" s="14"/>
      <c r="D302" s="14"/>
      <c r="E302" s="14"/>
      <c r="F302" s="14"/>
      <c r="G302" s="14"/>
      <c r="H302" s="14"/>
      <c r="I302" s="14"/>
      <c r="J302" s="14"/>
      <c r="K302" s="15">
        <f t="shared" si="12"/>
        <v>0</v>
      </c>
      <c r="L302" s="24"/>
      <c r="M302" s="14"/>
      <c r="N302" s="49"/>
      <c r="O302" s="24"/>
      <c r="P302" s="24">
        <f t="shared" si="13"/>
        <v>0</v>
      </c>
      <c r="Q302" s="23"/>
      <c r="R302" s="24"/>
      <c r="S302" s="49"/>
      <c r="T302" s="24"/>
      <c r="U302" s="24">
        <f t="shared" si="14"/>
        <v>0</v>
      </c>
      <c r="V302" s="24"/>
      <c r="AA302" s="16">
        <v>0</v>
      </c>
      <c r="AB302" s="16">
        <v>0</v>
      </c>
      <c r="AC302" s="16">
        <v>0</v>
      </c>
      <c r="AD302" s="16">
        <v>0</v>
      </c>
      <c r="AE302" s="16">
        <v>0</v>
      </c>
      <c r="AF302" s="16">
        <v>0</v>
      </c>
      <c r="AG302" s="16">
        <v>0</v>
      </c>
      <c r="AH302" s="16">
        <v>0</v>
      </c>
      <c r="AI302" s="16">
        <v>0</v>
      </c>
      <c r="AJ302" s="16">
        <v>0</v>
      </c>
      <c r="AK302" s="16">
        <v>0</v>
      </c>
      <c r="AL302" s="16">
        <v>0</v>
      </c>
      <c r="AM302" s="16">
        <v>0</v>
      </c>
      <c r="AN302" s="16">
        <v>0</v>
      </c>
      <c r="AO302" s="16">
        <v>0</v>
      </c>
      <c r="AP302" s="16">
        <v>0</v>
      </c>
      <c r="AQ302" s="16">
        <v>0</v>
      </c>
      <c r="AR302" s="16">
        <v>0</v>
      </c>
      <c r="AS302" s="16">
        <v>0</v>
      </c>
      <c r="AT302" s="16">
        <v>0</v>
      </c>
      <c r="AU302" s="16">
        <v>0</v>
      </c>
      <c r="AV302" s="16">
        <v>0</v>
      </c>
    </row>
    <row r="303" spans="1:48" ht="14.25" customHeight="1">
      <c r="A303" s="13"/>
      <c r="B303" s="14"/>
      <c r="C303" s="14"/>
      <c r="D303" s="14"/>
      <c r="E303" s="14"/>
      <c r="F303" s="14"/>
      <c r="G303" s="14"/>
      <c r="H303" s="14"/>
      <c r="I303" s="14"/>
      <c r="J303" s="14"/>
      <c r="K303" s="15">
        <f t="shared" si="12"/>
        <v>0</v>
      </c>
      <c r="L303" s="24"/>
      <c r="M303" s="14"/>
      <c r="N303" s="49"/>
      <c r="O303" s="24"/>
      <c r="P303" s="24">
        <f t="shared" si="13"/>
        <v>0</v>
      </c>
      <c r="Q303" s="23"/>
      <c r="R303" s="24"/>
      <c r="S303" s="49"/>
      <c r="T303" s="24"/>
      <c r="U303" s="24">
        <f t="shared" si="14"/>
        <v>0</v>
      </c>
      <c r="V303" s="24"/>
      <c r="AA303" s="16">
        <v>0</v>
      </c>
      <c r="AB303" s="16">
        <v>0</v>
      </c>
      <c r="AC303" s="16">
        <v>0</v>
      </c>
      <c r="AD303" s="16">
        <v>0</v>
      </c>
      <c r="AE303" s="16">
        <v>0</v>
      </c>
      <c r="AF303" s="16">
        <v>0</v>
      </c>
      <c r="AG303" s="16">
        <v>0</v>
      </c>
      <c r="AH303" s="16">
        <v>0</v>
      </c>
      <c r="AI303" s="16">
        <v>0</v>
      </c>
      <c r="AJ303" s="16">
        <v>0</v>
      </c>
      <c r="AK303" s="16">
        <v>0</v>
      </c>
      <c r="AL303" s="16">
        <v>0</v>
      </c>
      <c r="AM303" s="16">
        <v>0</v>
      </c>
      <c r="AN303" s="16">
        <v>0</v>
      </c>
      <c r="AO303" s="16">
        <v>0</v>
      </c>
      <c r="AP303" s="16">
        <v>0</v>
      </c>
      <c r="AQ303" s="16">
        <v>0</v>
      </c>
      <c r="AR303" s="16">
        <v>0</v>
      </c>
      <c r="AS303" s="16">
        <v>0</v>
      </c>
      <c r="AT303" s="16">
        <v>0</v>
      </c>
      <c r="AU303" s="16">
        <v>0</v>
      </c>
      <c r="AV303" s="16">
        <v>0</v>
      </c>
    </row>
    <row r="304" spans="1:48" ht="14.25" customHeight="1">
      <c r="A304" s="13"/>
      <c r="B304" s="14"/>
      <c r="C304" s="14"/>
      <c r="D304" s="14"/>
      <c r="E304" s="14"/>
      <c r="F304" s="14"/>
      <c r="G304" s="14"/>
      <c r="H304" s="14"/>
      <c r="I304" s="14"/>
      <c r="J304" s="14"/>
      <c r="K304" s="15">
        <f t="shared" si="12"/>
        <v>0</v>
      </c>
      <c r="L304" s="24"/>
      <c r="M304" s="14"/>
      <c r="N304" s="49"/>
      <c r="O304" s="24"/>
      <c r="P304" s="24">
        <f t="shared" si="13"/>
        <v>0</v>
      </c>
      <c r="Q304" s="23"/>
      <c r="R304" s="24"/>
      <c r="S304" s="49"/>
      <c r="T304" s="24"/>
      <c r="U304" s="24">
        <f t="shared" si="14"/>
        <v>0</v>
      </c>
      <c r="V304" s="24"/>
      <c r="AA304" s="16">
        <v>0</v>
      </c>
      <c r="AB304" s="16">
        <v>0</v>
      </c>
      <c r="AC304" s="16">
        <v>0</v>
      </c>
      <c r="AD304" s="16">
        <v>0</v>
      </c>
      <c r="AE304" s="16">
        <v>0</v>
      </c>
      <c r="AF304" s="16">
        <v>0</v>
      </c>
      <c r="AG304" s="16">
        <v>0</v>
      </c>
      <c r="AH304" s="16">
        <v>0</v>
      </c>
      <c r="AI304" s="16">
        <v>0</v>
      </c>
      <c r="AJ304" s="16">
        <v>0</v>
      </c>
      <c r="AK304" s="16">
        <v>0</v>
      </c>
      <c r="AL304" s="16">
        <v>0</v>
      </c>
      <c r="AM304" s="16">
        <v>0</v>
      </c>
      <c r="AN304" s="16">
        <v>0</v>
      </c>
      <c r="AO304" s="16">
        <v>0</v>
      </c>
      <c r="AP304" s="16">
        <v>0</v>
      </c>
      <c r="AQ304" s="16">
        <v>0</v>
      </c>
      <c r="AR304" s="16">
        <v>0</v>
      </c>
      <c r="AS304" s="16">
        <v>0</v>
      </c>
      <c r="AT304" s="16">
        <v>0</v>
      </c>
      <c r="AU304" s="16">
        <v>0</v>
      </c>
      <c r="AV304" s="16">
        <v>0</v>
      </c>
    </row>
    <row r="305" spans="1:48" ht="14.25" customHeight="1">
      <c r="A305" s="13"/>
      <c r="B305" s="14"/>
      <c r="C305" s="14"/>
      <c r="D305" s="14"/>
      <c r="E305" s="14"/>
      <c r="F305" s="14"/>
      <c r="G305" s="14"/>
      <c r="H305" s="14"/>
      <c r="I305" s="14"/>
      <c r="J305" s="14"/>
      <c r="K305" s="15">
        <f t="shared" si="12"/>
        <v>0</v>
      </c>
      <c r="L305" s="24"/>
      <c r="M305" s="14"/>
      <c r="N305" s="49"/>
      <c r="O305" s="24"/>
      <c r="P305" s="24">
        <f t="shared" si="13"/>
        <v>0</v>
      </c>
      <c r="Q305" s="23"/>
      <c r="R305" s="24"/>
      <c r="S305" s="49"/>
      <c r="T305" s="24"/>
      <c r="U305" s="24">
        <f t="shared" si="14"/>
        <v>0</v>
      </c>
      <c r="V305" s="24"/>
      <c r="AA305" s="16">
        <v>0</v>
      </c>
      <c r="AB305" s="16">
        <v>0</v>
      </c>
      <c r="AC305" s="16">
        <v>0</v>
      </c>
      <c r="AD305" s="16">
        <v>0</v>
      </c>
      <c r="AE305" s="16">
        <v>0</v>
      </c>
      <c r="AF305" s="16">
        <v>0</v>
      </c>
      <c r="AG305" s="16">
        <v>0</v>
      </c>
      <c r="AH305" s="16">
        <v>0</v>
      </c>
      <c r="AI305" s="16">
        <v>0</v>
      </c>
      <c r="AJ305" s="16">
        <v>0</v>
      </c>
      <c r="AK305" s="16">
        <v>0</v>
      </c>
      <c r="AL305" s="16">
        <v>0</v>
      </c>
      <c r="AM305" s="16">
        <v>0</v>
      </c>
      <c r="AN305" s="16">
        <v>0</v>
      </c>
      <c r="AO305" s="16">
        <v>0</v>
      </c>
      <c r="AP305" s="16">
        <v>0</v>
      </c>
      <c r="AQ305" s="16">
        <v>0</v>
      </c>
      <c r="AR305" s="16">
        <v>0</v>
      </c>
      <c r="AS305" s="16">
        <v>0</v>
      </c>
      <c r="AT305" s="16">
        <v>0</v>
      </c>
      <c r="AU305" s="16">
        <v>0</v>
      </c>
      <c r="AV305" s="16">
        <v>0</v>
      </c>
    </row>
    <row r="306" spans="1:48" ht="14.25" customHeight="1">
      <c r="A306" s="13"/>
      <c r="B306" s="14"/>
      <c r="C306" s="14"/>
      <c r="D306" s="14"/>
      <c r="E306" s="14"/>
      <c r="F306" s="14"/>
      <c r="G306" s="14"/>
      <c r="H306" s="14"/>
      <c r="I306" s="14"/>
      <c r="J306" s="14"/>
      <c r="K306" s="15">
        <f t="shared" si="12"/>
        <v>0</v>
      </c>
      <c r="L306" s="24"/>
      <c r="M306" s="14"/>
      <c r="N306" s="49"/>
      <c r="O306" s="24"/>
      <c r="P306" s="24">
        <f t="shared" si="13"/>
        <v>0</v>
      </c>
      <c r="Q306" s="23"/>
      <c r="R306" s="24"/>
      <c r="S306" s="49"/>
      <c r="T306" s="24"/>
      <c r="U306" s="24">
        <f t="shared" si="14"/>
        <v>0</v>
      </c>
      <c r="V306" s="24"/>
      <c r="AA306" s="16">
        <v>0</v>
      </c>
      <c r="AB306" s="16">
        <v>0</v>
      </c>
      <c r="AC306" s="16">
        <v>0</v>
      </c>
      <c r="AD306" s="16">
        <v>0</v>
      </c>
      <c r="AE306" s="16">
        <v>0</v>
      </c>
      <c r="AF306" s="16">
        <v>0</v>
      </c>
      <c r="AG306" s="16">
        <v>0</v>
      </c>
      <c r="AH306" s="16">
        <v>0</v>
      </c>
      <c r="AI306" s="16">
        <v>0</v>
      </c>
      <c r="AJ306" s="16">
        <v>0</v>
      </c>
      <c r="AK306" s="16">
        <v>0</v>
      </c>
      <c r="AL306" s="16">
        <v>0</v>
      </c>
      <c r="AM306" s="16">
        <v>0</v>
      </c>
      <c r="AN306" s="16">
        <v>0</v>
      </c>
      <c r="AO306" s="16">
        <v>0</v>
      </c>
      <c r="AP306" s="16">
        <v>0</v>
      </c>
      <c r="AQ306" s="16">
        <v>0</v>
      </c>
      <c r="AR306" s="16">
        <v>0</v>
      </c>
      <c r="AS306" s="16">
        <v>0</v>
      </c>
      <c r="AT306" s="16">
        <v>0</v>
      </c>
      <c r="AU306" s="16">
        <v>0</v>
      </c>
      <c r="AV306" s="16">
        <v>0</v>
      </c>
    </row>
    <row r="307" spans="1:48" ht="14.25" customHeight="1">
      <c r="A307" s="13"/>
      <c r="B307" s="14"/>
      <c r="C307" s="14"/>
      <c r="D307" s="14"/>
      <c r="E307" s="14"/>
      <c r="F307" s="14"/>
      <c r="G307" s="14"/>
      <c r="H307" s="14"/>
      <c r="I307" s="14"/>
      <c r="J307" s="14"/>
      <c r="K307" s="15">
        <f t="shared" si="12"/>
        <v>0</v>
      </c>
      <c r="L307" s="24"/>
      <c r="M307" s="14"/>
      <c r="N307" s="49"/>
      <c r="O307" s="24"/>
      <c r="P307" s="24">
        <f t="shared" si="13"/>
        <v>0</v>
      </c>
      <c r="Q307" s="23"/>
      <c r="R307" s="24"/>
      <c r="S307" s="49"/>
      <c r="T307" s="24"/>
      <c r="U307" s="24">
        <f t="shared" si="14"/>
        <v>0</v>
      </c>
      <c r="V307" s="24"/>
      <c r="AA307" s="16">
        <v>0</v>
      </c>
      <c r="AB307" s="16">
        <v>0</v>
      </c>
      <c r="AC307" s="16">
        <v>0</v>
      </c>
      <c r="AD307" s="16">
        <v>0</v>
      </c>
      <c r="AE307" s="16">
        <v>0</v>
      </c>
      <c r="AF307" s="16">
        <v>0</v>
      </c>
      <c r="AG307" s="16">
        <v>0</v>
      </c>
      <c r="AH307" s="16">
        <v>0</v>
      </c>
      <c r="AI307" s="16">
        <v>0</v>
      </c>
      <c r="AJ307" s="16">
        <v>0</v>
      </c>
      <c r="AK307" s="16">
        <v>0</v>
      </c>
      <c r="AL307" s="16">
        <v>0</v>
      </c>
      <c r="AM307" s="16">
        <v>0</v>
      </c>
      <c r="AN307" s="16">
        <v>0</v>
      </c>
      <c r="AO307" s="16">
        <v>0</v>
      </c>
      <c r="AP307" s="16">
        <v>0</v>
      </c>
      <c r="AQ307" s="16">
        <v>0</v>
      </c>
      <c r="AR307" s="16">
        <v>0</v>
      </c>
      <c r="AS307" s="16">
        <v>0</v>
      </c>
      <c r="AT307" s="16">
        <v>0</v>
      </c>
      <c r="AU307" s="16">
        <v>0</v>
      </c>
      <c r="AV307" s="16">
        <v>0</v>
      </c>
    </row>
    <row r="308" spans="1:48" ht="14.25" customHeight="1">
      <c r="A308" s="13"/>
      <c r="B308" s="14"/>
      <c r="C308" s="14"/>
      <c r="D308" s="14"/>
      <c r="E308" s="14"/>
      <c r="F308" s="14"/>
      <c r="G308" s="14"/>
      <c r="H308" s="14"/>
      <c r="I308" s="14"/>
      <c r="J308" s="14"/>
      <c r="K308" s="15">
        <f t="shared" si="12"/>
        <v>0</v>
      </c>
      <c r="L308" s="24"/>
      <c r="M308" s="14"/>
      <c r="N308" s="49"/>
      <c r="O308" s="24"/>
      <c r="P308" s="24">
        <f t="shared" si="13"/>
        <v>0</v>
      </c>
      <c r="Q308" s="23"/>
      <c r="R308" s="24"/>
      <c r="S308" s="49"/>
      <c r="T308" s="24"/>
      <c r="U308" s="24">
        <f t="shared" si="14"/>
        <v>0</v>
      </c>
      <c r="V308" s="24"/>
      <c r="AA308" s="16">
        <v>0</v>
      </c>
      <c r="AB308" s="16">
        <v>0</v>
      </c>
      <c r="AC308" s="16">
        <v>0</v>
      </c>
      <c r="AD308" s="16">
        <v>0</v>
      </c>
      <c r="AE308" s="16">
        <v>0</v>
      </c>
      <c r="AF308" s="16">
        <v>0</v>
      </c>
      <c r="AG308" s="16">
        <v>0</v>
      </c>
      <c r="AH308" s="16">
        <v>0</v>
      </c>
      <c r="AI308" s="16">
        <v>0</v>
      </c>
      <c r="AJ308" s="16">
        <v>0</v>
      </c>
      <c r="AK308" s="16">
        <v>0</v>
      </c>
      <c r="AL308" s="16">
        <v>0</v>
      </c>
      <c r="AM308" s="16">
        <v>0</v>
      </c>
      <c r="AN308" s="16">
        <v>0</v>
      </c>
      <c r="AO308" s="16">
        <v>0</v>
      </c>
      <c r="AP308" s="16">
        <v>0</v>
      </c>
      <c r="AQ308" s="16">
        <v>0</v>
      </c>
      <c r="AR308" s="16">
        <v>0</v>
      </c>
      <c r="AS308" s="16">
        <v>0</v>
      </c>
      <c r="AT308" s="16">
        <v>0</v>
      </c>
      <c r="AU308" s="16">
        <v>0</v>
      </c>
      <c r="AV308" s="16">
        <v>0</v>
      </c>
    </row>
    <row r="309" spans="1:48" ht="14.25" customHeight="1">
      <c r="A309" s="13"/>
      <c r="B309" s="14"/>
      <c r="C309" s="14"/>
      <c r="D309" s="14"/>
      <c r="E309" s="14"/>
      <c r="F309" s="14"/>
      <c r="G309" s="14"/>
      <c r="H309" s="14"/>
      <c r="I309" s="14"/>
      <c r="J309" s="14"/>
      <c r="K309" s="15">
        <f t="shared" si="12"/>
        <v>0</v>
      </c>
      <c r="L309" s="24"/>
      <c r="M309" s="14"/>
      <c r="N309" s="49"/>
      <c r="O309" s="24"/>
      <c r="P309" s="24">
        <f t="shared" si="13"/>
        <v>0</v>
      </c>
      <c r="Q309" s="23"/>
      <c r="R309" s="24"/>
      <c r="S309" s="49"/>
      <c r="T309" s="24"/>
      <c r="U309" s="24">
        <f t="shared" si="14"/>
        <v>0</v>
      </c>
      <c r="V309" s="24"/>
      <c r="AA309" s="16">
        <v>0</v>
      </c>
      <c r="AB309" s="16">
        <v>0</v>
      </c>
      <c r="AC309" s="16">
        <v>0</v>
      </c>
      <c r="AD309" s="16">
        <v>0</v>
      </c>
      <c r="AE309" s="16">
        <v>0</v>
      </c>
      <c r="AF309" s="16">
        <v>0</v>
      </c>
      <c r="AG309" s="16">
        <v>0</v>
      </c>
      <c r="AH309" s="16">
        <v>0</v>
      </c>
      <c r="AI309" s="16">
        <v>0</v>
      </c>
      <c r="AJ309" s="16">
        <v>0</v>
      </c>
      <c r="AK309" s="16">
        <v>0</v>
      </c>
      <c r="AL309" s="16">
        <v>0</v>
      </c>
      <c r="AM309" s="16">
        <v>0</v>
      </c>
      <c r="AN309" s="16">
        <v>0</v>
      </c>
      <c r="AO309" s="16">
        <v>0</v>
      </c>
      <c r="AP309" s="16">
        <v>0</v>
      </c>
      <c r="AQ309" s="16">
        <v>0</v>
      </c>
      <c r="AR309" s="16">
        <v>0</v>
      </c>
      <c r="AS309" s="16">
        <v>0</v>
      </c>
      <c r="AT309" s="16">
        <v>0</v>
      </c>
      <c r="AU309" s="16">
        <v>0</v>
      </c>
      <c r="AV309" s="16">
        <v>0</v>
      </c>
    </row>
    <row r="310" spans="1:48" ht="14.25" customHeight="1">
      <c r="A310" s="13"/>
      <c r="B310" s="14"/>
      <c r="C310" s="14"/>
      <c r="D310" s="14"/>
      <c r="E310" s="14"/>
      <c r="F310" s="14"/>
      <c r="G310" s="14"/>
      <c r="H310" s="14"/>
      <c r="I310" s="14"/>
      <c r="J310" s="14"/>
      <c r="K310" s="15">
        <f t="shared" si="12"/>
        <v>0</v>
      </c>
      <c r="L310" s="24"/>
      <c r="M310" s="14"/>
      <c r="N310" s="49"/>
      <c r="O310" s="24"/>
      <c r="P310" s="24">
        <f t="shared" si="13"/>
        <v>0</v>
      </c>
      <c r="Q310" s="23"/>
      <c r="R310" s="24"/>
      <c r="S310" s="49"/>
      <c r="T310" s="24"/>
      <c r="U310" s="24">
        <f t="shared" si="14"/>
        <v>0</v>
      </c>
      <c r="V310" s="24"/>
      <c r="AA310" s="16">
        <v>0</v>
      </c>
      <c r="AB310" s="16">
        <v>0</v>
      </c>
      <c r="AC310" s="16">
        <v>0</v>
      </c>
      <c r="AD310" s="16">
        <v>0</v>
      </c>
      <c r="AE310" s="16">
        <v>0</v>
      </c>
      <c r="AF310" s="16">
        <v>0</v>
      </c>
      <c r="AG310" s="16">
        <v>0</v>
      </c>
      <c r="AH310" s="16">
        <v>0</v>
      </c>
      <c r="AI310" s="16">
        <v>0</v>
      </c>
      <c r="AJ310" s="16">
        <v>0</v>
      </c>
      <c r="AK310" s="16">
        <v>0</v>
      </c>
      <c r="AL310" s="16">
        <v>0</v>
      </c>
      <c r="AM310" s="16">
        <v>0</v>
      </c>
      <c r="AN310" s="16">
        <v>0</v>
      </c>
      <c r="AO310" s="16">
        <v>0</v>
      </c>
      <c r="AP310" s="16">
        <v>0</v>
      </c>
      <c r="AQ310" s="16">
        <v>0</v>
      </c>
      <c r="AR310" s="16">
        <v>0</v>
      </c>
      <c r="AS310" s="16">
        <v>0</v>
      </c>
      <c r="AT310" s="16">
        <v>0</v>
      </c>
      <c r="AU310" s="16">
        <v>0</v>
      </c>
      <c r="AV310" s="16">
        <v>0</v>
      </c>
    </row>
    <row r="311" spans="1:48" ht="14.25" customHeight="1">
      <c r="A311" s="13"/>
      <c r="B311" s="14"/>
      <c r="C311" s="14"/>
      <c r="D311" s="14"/>
      <c r="E311" s="14"/>
      <c r="F311" s="14"/>
      <c r="G311" s="14"/>
      <c r="H311" s="14"/>
      <c r="I311" s="14"/>
      <c r="J311" s="14"/>
      <c r="K311" s="15">
        <f t="shared" si="12"/>
        <v>0</v>
      </c>
      <c r="L311" s="24"/>
      <c r="M311" s="14"/>
      <c r="N311" s="49"/>
      <c r="O311" s="24"/>
      <c r="P311" s="24">
        <f t="shared" si="13"/>
        <v>0</v>
      </c>
      <c r="Q311" s="23"/>
      <c r="R311" s="24"/>
      <c r="S311" s="49"/>
      <c r="T311" s="24"/>
      <c r="U311" s="24">
        <f t="shared" si="14"/>
        <v>0</v>
      </c>
      <c r="V311" s="24"/>
      <c r="AA311" s="16">
        <v>0</v>
      </c>
      <c r="AB311" s="16">
        <v>0</v>
      </c>
      <c r="AC311" s="16">
        <v>0</v>
      </c>
      <c r="AD311" s="16">
        <v>0</v>
      </c>
      <c r="AE311" s="16">
        <v>0</v>
      </c>
      <c r="AF311" s="16">
        <v>0</v>
      </c>
      <c r="AG311" s="16">
        <v>0</v>
      </c>
      <c r="AH311" s="16">
        <v>0</v>
      </c>
      <c r="AI311" s="16">
        <v>0</v>
      </c>
      <c r="AJ311" s="16">
        <v>0</v>
      </c>
      <c r="AK311" s="16">
        <v>0</v>
      </c>
      <c r="AL311" s="16">
        <v>0</v>
      </c>
      <c r="AM311" s="16">
        <v>0</v>
      </c>
      <c r="AN311" s="16">
        <v>0</v>
      </c>
      <c r="AO311" s="16">
        <v>0</v>
      </c>
      <c r="AP311" s="16">
        <v>0</v>
      </c>
      <c r="AQ311" s="16">
        <v>0</v>
      </c>
      <c r="AR311" s="16">
        <v>0</v>
      </c>
      <c r="AS311" s="16">
        <v>0</v>
      </c>
      <c r="AT311" s="16">
        <v>0</v>
      </c>
      <c r="AU311" s="16">
        <v>0</v>
      </c>
      <c r="AV311" s="16">
        <v>0</v>
      </c>
    </row>
    <row r="312" spans="1:48" ht="14.25" customHeight="1">
      <c r="A312" s="13"/>
      <c r="B312" s="14"/>
      <c r="C312" s="14"/>
      <c r="D312" s="14"/>
      <c r="E312" s="14"/>
      <c r="F312" s="14"/>
      <c r="G312" s="14"/>
      <c r="H312" s="14"/>
      <c r="I312" s="14"/>
      <c r="J312" s="14"/>
      <c r="K312" s="15">
        <f t="shared" si="12"/>
        <v>0</v>
      </c>
      <c r="L312" s="24"/>
      <c r="M312" s="14"/>
      <c r="N312" s="49"/>
      <c r="O312" s="24"/>
      <c r="P312" s="24">
        <f t="shared" si="13"/>
        <v>0</v>
      </c>
      <c r="Q312" s="23"/>
      <c r="R312" s="24"/>
      <c r="S312" s="49"/>
      <c r="T312" s="24"/>
      <c r="U312" s="24">
        <f t="shared" si="14"/>
        <v>0</v>
      </c>
      <c r="V312" s="24"/>
      <c r="AA312" s="16">
        <v>0</v>
      </c>
      <c r="AB312" s="16">
        <v>0</v>
      </c>
      <c r="AC312" s="16">
        <v>0</v>
      </c>
      <c r="AD312" s="16">
        <v>0</v>
      </c>
      <c r="AE312" s="16">
        <v>0</v>
      </c>
      <c r="AF312" s="16">
        <v>0</v>
      </c>
      <c r="AG312" s="16">
        <v>0</v>
      </c>
      <c r="AH312" s="16">
        <v>0</v>
      </c>
      <c r="AI312" s="16">
        <v>0</v>
      </c>
      <c r="AJ312" s="16">
        <v>0</v>
      </c>
      <c r="AK312" s="16">
        <v>0</v>
      </c>
      <c r="AL312" s="16">
        <v>0</v>
      </c>
      <c r="AM312" s="16">
        <v>0</v>
      </c>
      <c r="AN312" s="16">
        <v>0</v>
      </c>
      <c r="AO312" s="16">
        <v>0</v>
      </c>
      <c r="AP312" s="16">
        <v>0</v>
      </c>
      <c r="AQ312" s="16">
        <v>0</v>
      </c>
      <c r="AR312" s="16">
        <v>0</v>
      </c>
      <c r="AS312" s="16">
        <v>0</v>
      </c>
      <c r="AT312" s="16">
        <v>0</v>
      </c>
      <c r="AU312" s="16">
        <v>0</v>
      </c>
      <c r="AV312" s="16">
        <v>0</v>
      </c>
    </row>
    <row r="313" spans="1:48" ht="14.25" customHeight="1">
      <c r="A313" s="13"/>
      <c r="B313" s="14"/>
      <c r="C313" s="14"/>
      <c r="D313" s="14"/>
      <c r="E313" s="14"/>
      <c r="F313" s="14"/>
      <c r="G313" s="14"/>
      <c r="H313" s="14"/>
      <c r="I313" s="14"/>
      <c r="J313" s="14"/>
      <c r="K313" s="15">
        <f t="shared" si="12"/>
        <v>0</v>
      </c>
      <c r="L313" s="24"/>
      <c r="M313" s="14"/>
      <c r="N313" s="49"/>
      <c r="O313" s="24"/>
      <c r="P313" s="24">
        <f t="shared" si="13"/>
        <v>0</v>
      </c>
      <c r="Q313" s="23"/>
      <c r="R313" s="24"/>
      <c r="S313" s="49"/>
      <c r="T313" s="24"/>
      <c r="U313" s="24">
        <f t="shared" si="14"/>
        <v>0</v>
      </c>
      <c r="V313" s="24"/>
      <c r="AA313" s="16">
        <v>0</v>
      </c>
      <c r="AB313" s="16">
        <v>0</v>
      </c>
      <c r="AC313" s="16">
        <v>0</v>
      </c>
      <c r="AD313" s="16">
        <v>0</v>
      </c>
      <c r="AE313" s="16">
        <v>0</v>
      </c>
      <c r="AF313" s="16">
        <v>0</v>
      </c>
      <c r="AG313" s="16">
        <v>0</v>
      </c>
      <c r="AH313" s="16">
        <v>0</v>
      </c>
      <c r="AI313" s="16">
        <v>0</v>
      </c>
      <c r="AJ313" s="16">
        <v>0</v>
      </c>
      <c r="AK313" s="16">
        <v>0</v>
      </c>
      <c r="AL313" s="16">
        <v>0</v>
      </c>
      <c r="AM313" s="16">
        <v>0</v>
      </c>
      <c r="AN313" s="16">
        <v>0</v>
      </c>
      <c r="AO313" s="16">
        <v>0</v>
      </c>
      <c r="AP313" s="16">
        <v>0</v>
      </c>
      <c r="AQ313" s="16">
        <v>0</v>
      </c>
      <c r="AR313" s="16">
        <v>0</v>
      </c>
      <c r="AS313" s="16">
        <v>0</v>
      </c>
      <c r="AT313" s="16">
        <v>0</v>
      </c>
      <c r="AU313" s="16">
        <v>0</v>
      </c>
      <c r="AV313" s="16">
        <v>0</v>
      </c>
    </row>
    <row r="314" spans="1:48" ht="14.25" customHeight="1">
      <c r="A314" s="13"/>
      <c r="B314" s="14"/>
      <c r="C314" s="14"/>
      <c r="D314" s="14"/>
      <c r="E314" s="14"/>
      <c r="F314" s="14"/>
      <c r="G314" s="14"/>
      <c r="H314" s="14"/>
      <c r="I314" s="14"/>
      <c r="J314" s="14"/>
      <c r="K314" s="15">
        <f t="shared" si="12"/>
        <v>0</v>
      </c>
      <c r="L314" s="24"/>
      <c r="M314" s="14"/>
      <c r="N314" s="49"/>
      <c r="O314" s="24"/>
      <c r="P314" s="24">
        <f t="shared" si="13"/>
        <v>0</v>
      </c>
      <c r="Q314" s="23"/>
      <c r="R314" s="24"/>
      <c r="S314" s="49"/>
      <c r="T314" s="24"/>
      <c r="U314" s="24">
        <f t="shared" si="14"/>
        <v>0</v>
      </c>
      <c r="V314" s="24"/>
      <c r="AA314" s="16">
        <v>0</v>
      </c>
      <c r="AB314" s="16">
        <v>0</v>
      </c>
      <c r="AC314" s="16">
        <v>0</v>
      </c>
      <c r="AD314" s="16">
        <v>0</v>
      </c>
      <c r="AE314" s="16">
        <v>0</v>
      </c>
      <c r="AF314" s="16">
        <v>0</v>
      </c>
      <c r="AG314" s="16">
        <v>0</v>
      </c>
      <c r="AH314" s="16">
        <v>0</v>
      </c>
      <c r="AI314" s="16">
        <v>0</v>
      </c>
      <c r="AJ314" s="16">
        <v>0</v>
      </c>
      <c r="AK314" s="16">
        <v>0</v>
      </c>
      <c r="AL314" s="16">
        <v>0</v>
      </c>
      <c r="AM314" s="16">
        <v>0</v>
      </c>
      <c r="AN314" s="16">
        <v>0</v>
      </c>
      <c r="AO314" s="16">
        <v>0</v>
      </c>
      <c r="AP314" s="16">
        <v>0</v>
      </c>
      <c r="AQ314" s="16">
        <v>0</v>
      </c>
      <c r="AR314" s="16">
        <v>0</v>
      </c>
      <c r="AS314" s="16">
        <v>0</v>
      </c>
      <c r="AT314" s="16">
        <v>0</v>
      </c>
      <c r="AU314" s="16">
        <v>0</v>
      </c>
      <c r="AV314" s="16">
        <v>0</v>
      </c>
    </row>
    <row r="315" spans="1:48" ht="14.25" customHeight="1">
      <c r="A315" s="13"/>
      <c r="B315" s="14"/>
      <c r="C315" s="14"/>
      <c r="D315" s="14"/>
      <c r="E315" s="14"/>
      <c r="F315" s="14"/>
      <c r="G315" s="14"/>
      <c r="H315" s="14"/>
      <c r="I315" s="14"/>
      <c r="J315" s="14"/>
      <c r="K315" s="15">
        <f t="shared" si="12"/>
        <v>0</v>
      </c>
      <c r="L315" s="24"/>
      <c r="M315" s="14"/>
      <c r="N315" s="49"/>
      <c r="O315" s="24"/>
      <c r="P315" s="24">
        <f t="shared" si="13"/>
        <v>0</v>
      </c>
      <c r="Q315" s="23"/>
      <c r="R315" s="24"/>
      <c r="S315" s="49"/>
      <c r="T315" s="24"/>
      <c r="U315" s="24">
        <f t="shared" si="14"/>
        <v>0</v>
      </c>
      <c r="V315" s="24"/>
      <c r="AA315" s="16">
        <v>0</v>
      </c>
      <c r="AB315" s="16">
        <v>0</v>
      </c>
      <c r="AC315" s="16">
        <v>0</v>
      </c>
      <c r="AD315" s="16">
        <v>0</v>
      </c>
      <c r="AE315" s="16">
        <v>0</v>
      </c>
      <c r="AF315" s="16">
        <v>0</v>
      </c>
      <c r="AG315" s="16">
        <v>0</v>
      </c>
      <c r="AH315" s="16">
        <v>0</v>
      </c>
      <c r="AI315" s="16">
        <v>0</v>
      </c>
      <c r="AJ315" s="16">
        <v>0</v>
      </c>
      <c r="AK315" s="16">
        <v>0</v>
      </c>
      <c r="AL315" s="16">
        <v>0</v>
      </c>
      <c r="AM315" s="16">
        <v>0</v>
      </c>
      <c r="AN315" s="16">
        <v>0</v>
      </c>
      <c r="AO315" s="16">
        <v>0</v>
      </c>
      <c r="AP315" s="16">
        <v>0</v>
      </c>
      <c r="AQ315" s="16">
        <v>0</v>
      </c>
      <c r="AR315" s="16">
        <v>0</v>
      </c>
      <c r="AS315" s="16">
        <v>0</v>
      </c>
      <c r="AT315" s="16">
        <v>0</v>
      </c>
      <c r="AU315" s="16">
        <v>0</v>
      </c>
      <c r="AV315" s="16">
        <v>0</v>
      </c>
    </row>
    <row r="316" spans="1:48" ht="14.25" customHeight="1">
      <c r="A316" s="13"/>
      <c r="B316" s="14"/>
      <c r="C316" s="14"/>
      <c r="D316" s="14"/>
      <c r="E316" s="14"/>
      <c r="F316" s="14"/>
      <c r="G316" s="14"/>
      <c r="H316" s="14"/>
      <c r="I316" s="14"/>
      <c r="J316" s="14"/>
      <c r="K316" s="15">
        <f t="shared" si="12"/>
        <v>0</v>
      </c>
      <c r="L316" s="24"/>
      <c r="M316" s="14"/>
      <c r="N316" s="49"/>
      <c r="O316" s="24"/>
      <c r="P316" s="24">
        <f t="shared" si="13"/>
        <v>0</v>
      </c>
      <c r="Q316" s="23"/>
      <c r="R316" s="24"/>
      <c r="S316" s="49"/>
      <c r="T316" s="24"/>
      <c r="U316" s="24">
        <f t="shared" si="14"/>
        <v>0</v>
      </c>
      <c r="V316" s="24"/>
      <c r="AA316" s="16">
        <v>0</v>
      </c>
      <c r="AB316" s="16">
        <v>0</v>
      </c>
      <c r="AC316" s="16">
        <v>0</v>
      </c>
      <c r="AD316" s="16">
        <v>0</v>
      </c>
      <c r="AE316" s="16">
        <v>0</v>
      </c>
      <c r="AF316" s="16">
        <v>0</v>
      </c>
      <c r="AG316" s="16">
        <v>0</v>
      </c>
      <c r="AH316" s="16">
        <v>0</v>
      </c>
      <c r="AI316" s="16">
        <v>0</v>
      </c>
      <c r="AJ316" s="16">
        <v>0</v>
      </c>
      <c r="AK316" s="16">
        <v>0</v>
      </c>
      <c r="AL316" s="16">
        <v>0</v>
      </c>
      <c r="AM316" s="16">
        <v>0</v>
      </c>
      <c r="AN316" s="16">
        <v>0</v>
      </c>
      <c r="AO316" s="16">
        <v>0</v>
      </c>
      <c r="AP316" s="16">
        <v>0</v>
      </c>
      <c r="AQ316" s="16">
        <v>0</v>
      </c>
      <c r="AR316" s="16">
        <v>0</v>
      </c>
      <c r="AS316" s="16">
        <v>0</v>
      </c>
      <c r="AT316" s="16">
        <v>0</v>
      </c>
      <c r="AU316" s="16">
        <v>0</v>
      </c>
      <c r="AV316" s="16">
        <v>0</v>
      </c>
    </row>
    <row r="317" spans="1:48" ht="14.25" customHeight="1">
      <c r="A317" s="13"/>
      <c r="B317" s="14"/>
      <c r="C317" s="14"/>
      <c r="D317" s="14"/>
      <c r="E317" s="14"/>
      <c r="F317" s="14"/>
      <c r="G317" s="14"/>
      <c r="H317" s="14"/>
      <c r="I317" s="14"/>
      <c r="J317" s="14"/>
      <c r="K317" s="15">
        <f t="shared" si="12"/>
        <v>0</v>
      </c>
      <c r="L317" s="24"/>
      <c r="M317" s="14"/>
      <c r="N317" s="49"/>
      <c r="O317" s="24"/>
      <c r="P317" s="24">
        <f t="shared" si="13"/>
        <v>0</v>
      </c>
      <c r="Q317" s="23"/>
      <c r="R317" s="24"/>
      <c r="S317" s="49"/>
      <c r="T317" s="24"/>
      <c r="U317" s="24">
        <f t="shared" si="14"/>
        <v>0</v>
      </c>
      <c r="V317" s="24"/>
      <c r="AA317" s="16">
        <v>0</v>
      </c>
      <c r="AB317" s="16">
        <v>0</v>
      </c>
      <c r="AC317" s="16">
        <v>0</v>
      </c>
      <c r="AD317" s="16">
        <v>0</v>
      </c>
      <c r="AE317" s="16">
        <v>0</v>
      </c>
      <c r="AF317" s="16">
        <v>0</v>
      </c>
      <c r="AG317" s="16">
        <v>0</v>
      </c>
      <c r="AH317" s="16">
        <v>0</v>
      </c>
      <c r="AI317" s="16">
        <v>0</v>
      </c>
      <c r="AJ317" s="16">
        <v>0</v>
      </c>
      <c r="AK317" s="16">
        <v>0</v>
      </c>
      <c r="AL317" s="16">
        <v>0</v>
      </c>
      <c r="AM317" s="16">
        <v>0</v>
      </c>
      <c r="AN317" s="16">
        <v>0</v>
      </c>
      <c r="AO317" s="16">
        <v>0</v>
      </c>
      <c r="AP317" s="16">
        <v>0</v>
      </c>
      <c r="AQ317" s="16">
        <v>0</v>
      </c>
      <c r="AR317" s="16">
        <v>0</v>
      </c>
      <c r="AS317" s="16">
        <v>0</v>
      </c>
      <c r="AT317" s="16">
        <v>0</v>
      </c>
      <c r="AU317" s="16">
        <v>0</v>
      </c>
      <c r="AV317" s="16">
        <v>0</v>
      </c>
    </row>
    <row r="318" spans="1:48" ht="14.25" customHeight="1">
      <c r="A318" s="13"/>
      <c r="B318" s="14"/>
      <c r="C318" s="14"/>
      <c r="D318" s="14"/>
      <c r="E318" s="14"/>
      <c r="F318" s="14"/>
      <c r="G318" s="14"/>
      <c r="H318" s="14"/>
      <c r="I318" s="14"/>
      <c r="J318" s="14"/>
      <c r="K318" s="15">
        <f t="shared" si="12"/>
        <v>0</v>
      </c>
      <c r="L318" s="24"/>
      <c r="M318" s="14"/>
      <c r="N318" s="49"/>
      <c r="O318" s="24"/>
      <c r="P318" s="24">
        <f t="shared" si="13"/>
        <v>0</v>
      </c>
      <c r="Q318" s="23"/>
      <c r="R318" s="24"/>
      <c r="S318" s="49"/>
      <c r="T318" s="24"/>
      <c r="U318" s="24">
        <f t="shared" si="14"/>
        <v>0</v>
      </c>
      <c r="V318" s="24"/>
      <c r="AA318" s="16">
        <v>0</v>
      </c>
      <c r="AB318" s="16">
        <v>0</v>
      </c>
      <c r="AC318" s="16">
        <v>0</v>
      </c>
      <c r="AD318" s="16">
        <v>0</v>
      </c>
      <c r="AE318" s="16">
        <v>0</v>
      </c>
      <c r="AF318" s="16">
        <v>0</v>
      </c>
      <c r="AG318" s="16">
        <v>0</v>
      </c>
      <c r="AH318" s="16">
        <v>0</v>
      </c>
      <c r="AI318" s="16">
        <v>0</v>
      </c>
      <c r="AJ318" s="16">
        <v>0</v>
      </c>
      <c r="AK318" s="16">
        <v>0</v>
      </c>
      <c r="AL318" s="16">
        <v>0</v>
      </c>
      <c r="AM318" s="16">
        <v>0</v>
      </c>
      <c r="AN318" s="16">
        <v>0</v>
      </c>
      <c r="AO318" s="16">
        <v>0</v>
      </c>
      <c r="AP318" s="16">
        <v>0</v>
      </c>
      <c r="AQ318" s="16">
        <v>0</v>
      </c>
      <c r="AR318" s="16">
        <v>0</v>
      </c>
      <c r="AS318" s="16">
        <v>0</v>
      </c>
      <c r="AT318" s="16">
        <v>0</v>
      </c>
      <c r="AU318" s="16">
        <v>0</v>
      </c>
      <c r="AV318" s="16">
        <v>0</v>
      </c>
    </row>
    <row r="319" spans="1:48" ht="14.25" customHeight="1">
      <c r="A319" s="13"/>
      <c r="B319" s="14"/>
      <c r="C319" s="14"/>
      <c r="D319" s="14"/>
      <c r="E319" s="14"/>
      <c r="F319" s="14"/>
      <c r="G319" s="14"/>
      <c r="H319" s="14"/>
      <c r="I319" s="14"/>
      <c r="J319" s="14"/>
      <c r="K319" s="15">
        <f t="shared" si="12"/>
        <v>0</v>
      </c>
      <c r="L319" s="24"/>
      <c r="M319" s="14"/>
      <c r="N319" s="49"/>
      <c r="O319" s="24"/>
      <c r="P319" s="24">
        <f t="shared" si="13"/>
        <v>0</v>
      </c>
      <c r="Q319" s="23"/>
      <c r="R319" s="24"/>
      <c r="S319" s="49"/>
      <c r="T319" s="24"/>
      <c r="U319" s="24">
        <f t="shared" si="14"/>
        <v>0</v>
      </c>
      <c r="V319" s="24"/>
      <c r="AA319" s="16">
        <v>0</v>
      </c>
      <c r="AB319" s="16">
        <v>0</v>
      </c>
      <c r="AC319" s="16">
        <v>0</v>
      </c>
      <c r="AD319" s="16">
        <v>0</v>
      </c>
      <c r="AE319" s="16">
        <v>0</v>
      </c>
      <c r="AF319" s="16">
        <v>0</v>
      </c>
      <c r="AG319" s="16">
        <v>0</v>
      </c>
      <c r="AH319" s="16">
        <v>0</v>
      </c>
      <c r="AI319" s="16">
        <v>0</v>
      </c>
      <c r="AJ319" s="16">
        <v>0</v>
      </c>
      <c r="AK319" s="16">
        <v>0</v>
      </c>
      <c r="AL319" s="16">
        <v>0</v>
      </c>
      <c r="AM319" s="16">
        <v>0</v>
      </c>
      <c r="AN319" s="16">
        <v>0</v>
      </c>
      <c r="AO319" s="16">
        <v>0</v>
      </c>
      <c r="AP319" s="16">
        <v>0</v>
      </c>
      <c r="AQ319" s="16">
        <v>0</v>
      </c>
      <c r="AR319" s="16">
        <v>0</v>
      </c>
      <c r="AS319" s="16">
        <v>0</v>
      </c>
      <c r="AT319" s="16">
        <v>0</v>
      </c>
      <c r="AU319" s="16">
        <v>0</v>
      </c>
      <c r="AV319" s="16">
        <v>0</v>
      </c>
    </row>
    <row r="320" spans="1:48" ht="14.25" customHeight="1">
      <c r="A320" s="13"/>
      <c r="B320" s="14"/>
      <c r="C320" s="14"/>
      <c r="D320" s="14"/>
      <c r="E320" s="14"/>
      <c r="F320" s="14"/>
      <c r="G320" s="14"/>
      <c r="H320" s="14"/>
      <c r="I320" s="14"/>
      <c r="J320" s="14"/>
      <c r="K320" s="15">
        <f>SUM(D3369:J3369)</f>
        <v>0</v>
      </c>
      <c r="L320" s="24"/>
      <c r="M320" s="14"/>
      <c r="N320" s="49"/>
      <c r="O320" s="24"/>
      <c r="P320" s="24">
        <f>O3369-K3369</f>
        <v>0</v>
      </c>
      <c r="Q320" s="23"/>
      <c r="R320" s="24"/>
      <c r="S320" s="49"/>
      <c r="T320" s="24"/>
      <c r="U320" s="24">
        <f>T3369-O3369</f>
        <v>0</v>
      </c>
      <c r="V320" s="24"/>
      <c r="AA320" s="16">
        <v>0</v>
      </c>
      <c r="AB320" s="16">
        <v>0</v>
      </c>
      <c r="AC320" s="16">
        <v>0</v>
      </c>
      <c r="AD320" s="16">
        <v>0</v>
      </c>
      <c r="AE320" s="16">
        <v>0</v>
      </c>
      <c r="AF320" s="16">
        <v>0</v>
      </c>
      <c r="AG320" s="16">
        <v>0</v>
      </c>
      <c r="AH320" s="16">
        <v>0</v>
      </c>
      <c r="AI320" s="16">
        <v>0</v>
      </c>
      <c r="AJ320" s="16">
        <v>0</v>
      </c>
      <c r="AK320" s="16">
        <v>0</v>
      </c>
      <c r="AL320" s="16">
        <v>0</v>
      </c>
      <c r="AM320" s="16">
        <v>0</v>
      </c>
      <c r="AN320" s="16">
        <v>0</v>
      </c>
      <c r="AO320" s="16">
        <v>0</v>
      </c>
      <c r="AP320" s="16">
        <v>0</v>
      </c>
      <c r="AQ320" s="16">
        <v>0</v>
      </c>
      <c r="AR320" s="16">
        <v>0</v>
      </c>
      <c r="AS320" s="16">
        <v>0</v>
      </c>
      <c r="AT320" s="16">
        <v>0</v>
      </c>
      <c r="AU320" s="16">
        <v>0</v>
      </c>
      <c r="AV320" s="16">
        <v>0</v>
      </c>
    </row>
    <row r="321" spans="1:48" ht="14.25" customHeight="1">
      <c r="A321" s="13"/>
      <c r="B321" s="14"/>
      <c r="C321" s="14"/>
      <c r="D321" s="14"/>
      <c r="E321" s="14"/>
      <c r="F321" s="14"/>
      <c r="G321" s="14"/>
      <c r="H321" s="14"/>
      <c r="I321" s="14"/>
      <c r="J321" s="14"/>
      <c r="K321" s="15">
        <f t="shared" si="12"/>
        <v>0</v>
      </c>
      <c r="L321" s="24"/>
      <c r="M321" s="14"/>
      <c r="N321" s="49"/>
      <c r="O321" s="24"/>
      <c r="P321" s="24">
        <f t="shared" si="13"/>
        <v>0</v>
      </c>
      <c r="Q321" s="23"/>
      <c r="R321" s="24"/>
      <c r="S321" s="49"/>
      <c r="T321" s="24"/>
      <c r="U321" s="24">
        <f t="shared" si="14"/>
        <v>0</v>
      </c>
      <c r="V321" s="24"/>
      <c r="AA321" s="16">
        <v>0</v>
      </c>
      <c r="AB321" s="16">
        <v>0</v>
      </c>
      <c r="AC321" s="16">
        <v>0</v>
      </c>
      <c r="AD321" s="16">
        <v>0</v>
      </c>
      <c r="AE321" s="16">
        <v>0</v>
      </c>
      <c r="AF321" s="16">
        <v>0</v>
      </c>
      <c r="AG321" s="16">
        <v>0</v>
      </c>
      <c r="AH321" s="16">
        <v>0</v>
      </c>
      <c r="AI321" s="16">
        <v>0</v>
      </c>
      <c r="AJ321" s="16">
        <v>0</v>
      </c>
      <c r="AK321" s="16">
        <v>0</v>
      </c>
      <c r="AL321" s="16">
        <v>0</v>
      </c>
      <c r="AM321" s="16">
        <v>0</v>
      </c>
      <c r="AN321" s="16">
        <v>0</v>
      </c>
      <c r="AO321" s="16">
        <v>0</v>
      </c>
      <c r="AP321" s="16">
        <v>0</v>
      </c>
      <c r="AQ321" s="16">
        <v>0</v>
      </c>
      <c r="AR321" s="16">
        <v>0</v>
      </c>
      <c r="AS321" s="16">
        <v>0</v>
      </c>
      <c r="AT321" s="16">
        <v>0</v>
      </c>
      <c r="AU321" s="16">
        <v>0</v>
      </c>
      <c r="AV321" s="16">
        <v>0</v>
      </c>
    </row>
    <row r="322" spans="1:48" ht="14.25" customHeight="1">
      <c r="A322" s="13"/>
      <c r="B322" s="14"/>
      <c r="C322" s="14"/>
      <c r="D322" s="14"/>
      <c r="E322" s="14"/>
      <c r="F322" s="14"/>
      <c r="G322" s="14"/>
      <c r="H322" s="14"/>
      <c r="I322" s="14"/>
      <c r="J322" s="14"/>
      <c r="K322" s="15">
        <f t="shared" si="12"/>
        <v>0</v>
      </c>
      <c r="L322" s="24"/>
      <c r="M322" s="14"/>
      <c r="N322" s="49"/>
      <c r="O322" s="24"/>
      <c r="P322" s="24">
        <f t="shared" si="13"/>
        <v>0</v>
      </c>
      <c r="Q322" s="23"/>
      <c r="R322" s="24"/>
      <c r="S322" s="49"/>
      <c r="T322" s="24"/>
      <c r="U322" s="24">
        <f t="shared" si="14"/>
        <v>0</v>
      </c>
      <c r="V322" s="24"/>
      <c r="AA322" s="16">
        <v>0</v>
      </c>
      <c r="AB322" s="16">
        <v>0</v>
      </c>
      <c r="AC322" s="16">
        <v>0</v>
      </c>
      <c r="AD322" s="16">
        <v>0</v>
      </c>
      <c r="AE322" s="16">
        <v>0</v>
      </c>
      <c r="AF322" s="16">
        <v>0</v>
      </c>
      <c r="AG322" s="16">
        <v>0</v>
      </c>
      <c r="AH322" s="16">
        <v>0</v>
      </c>
      <c r="AI322" s="16">
        <v>0</v>
      </c>
      <c r="AJ322" s="16">
        <v>0</v>
      </c>
      <c r="AK322" s="16">
        <v>0</v>
      </c>
      <c r="AL322" s="16">
        <v>0</v>
      </c>
      <c r="AM322" s="16">
        <v>0</v>
      </c>
      <c r="AN322" s="16">
        <v>0</v>
      </c>
      <c r="AO322" s="16">
        <v>0</v>
      </c>
      <c r="AP322" s="16">
        <v>0</v>
      </c>
      <c r="AQ322" s="16">
        <v>0</v>
      </c>
      <c r="AR322" s="16">
        <v>0</v>
      </c>
      <c r="AS322" s="16">
        <v>0</v>
      </c>
      <c r="AT322" s="16">
        <v>0</v>
      </c>
      <c r="AU322" s="16">
        <v>0</v>
      </c>
      <c r="AV322" s="16">
        <v>0</v>
      </c>
    </row>
    <row r="323" spans="1:48" ht="14.25" customHeight="1">
      <c r="A323" s="13"/>
      <c r="B323" s="14"/>
      <c r="C323" s="14"/>
      <c r="D323" s="14"/>
      <c r="E323" s="14"/>
      <c r="F323" s="14"/>
      <c r="G323" s="14"/>
      <c r="H323" s="14"/>
      <c r="I323" s="14"/>
      <c r="J323" s="14"/>
      <c r="K323" s="15">
        <f t="shared" si="12"/>
        <v>0</v>
      </c>
      <c r="L323" s="24"/>
      <c r="M323" s="14"/>
      <c r="N323" s="49"/>
      <c r="O323" s="24"/>
      <c r="P323" s="24">
        <f t="shared" ref="P323:P369" si="15">O323-K323</f>
        <v>0</v>
      </c>
      <c r="Q323" s="23"/>
      <c r="R323" s="24"/>
      <c r="S323" s="49"/>
      <c r="T323" s="24"/>
      <c r="U323" s="24">
        <f t="shared" ref="U323:U369" si="16">T323-O323</f>
        <v>0</v>
      </c>
      <c r="V323" s="24"/>
      <c r="AA323" s="16">
        <v>0</v>
      </c>
      <c r="AB323" s="16">
        <v>0</v>
      </c>
      <c r="AC323" s="16">
        <v>0</v>
      </c>
      <c r="AD323" s="16">
        <v>0</v>
      </c>
      <c r="AE323" s="16">
        <v>0</v>
      </c>
      <c r="AF323" s="16">
        <v>0</v>
      </c>
      <c r="AG323" s="16">
        <v>0</v>
      </c>
      <c r="AH323" s="16">
        <v>0</v>
      </c>
      <c r="AI323" s="16">
        <v>0</v>
      </c>
      <c r="AJ323" s="16">
        <v>0</v>
      </c>
      <c r="AK323" s="16">
        <v>0</v>
      </c>
      <c r="AL323" s="16">
        <v>0</v>
      </c>
      <c r="AM323" s="16">
        <v>0</v>
      </c>
      <c r="AN323" s="16">
        <v>0</v>
      </c>
      <c r="AO323" s="16">
        <v>0</v>
      </c>
      <c r="AP323" s="16">
        <v>0</v>
      </c>
      <c r="AQ323" s="16">
        <v>0</v>
      </c>
      <c r="AR323" s="16">
        <v>0</v>
      </c>
      <c r="AS323" s="16">
        <v>0</v>
      </c>
      <c r="AT323" s="16">
        <v>0</v>
      </c>
      <c r="AU323" s="16">
        <v>0</v>
      </c>
      <c r="AV323" s="16">
        <v>0</v>
      </c>
    </row>
    <row r="324" spans="1:48" ht="14.25" customHeight="1">
      <c r="A324" s="13"/>
      <c r="B324" s="14"/>
      <c r="C324" s="14"/>
      <c r="D324" s="14"/>
      <c r="E324" s="14"/>
      <c r="F324" s="14"/>
      <c r="G324" s="14"/>
      <c r="H324" s="14"/>
      <c r="I324" s="14"/>
      <c r="J324" s="14"/>
      <c r="K324" s="15">
        <f t="shared" si="12"/>
        <v>0</v>
      </c>
      <c r="L324" s="24"/>
      <c r="M324" s="14"/>
      <c r="N324" s="49"/>
      <c r="O324" s="24"/>
      <c r="P324" s="24">
        <f t="shared" si="15"/>
        <v>0</v>
      </c>
      <c r="Q324" s="23"/>
      <c r="R324" s="24"/>
      <c r="S324" s="49"/>
      <c r="T324" s="24"/>
      <c r="U324" s="24">
        <f t="shared" si="16"/>
        <v>0</v>
      </c>
      <c r="V324" s="24"/>
      <c r="AA324" s="16">
        <v>0</v>
      </c>
      <c r="AB324" s="16">
        <v>0</v>
      </c>
      <c r="AC324" s="16">
        <v>0</v>
      </c>
      <c r="AD324" s="16">
        <v>0</v>
      </c>
      <c r="AE324" s="16">
        <v>0</v>
      </c>
      <c r="AF324" s="16">
        <v>0</v>
      </c>
      <c r="AG324" s="16">
        <v>0</v>
      </c>
      <c r="AH324" s="16">
        <v>0</v>
      </c>
      <c r="AI324" s="16">
        <v>0</v>
      </c>
      <c r="AJ324" s="16">
        <v>0</v>
      </c>
      <c r="AK324" s="16">
        <v>0</v>
      </c>
      <c r="AL324" s="16">
        <v>0</v>
      </c>
      <c r="AM324" s="16">
        <v>0</v>
      </c>
      <c r="AN324" s="16">
        <v>0</v>
      </c>
      <c r="AO324" s="16">
        <v>0</v>
      </c>
      <c r="AP324" s="16">
        <v>0</v>
      </c>
      <c r="AQ324" s="16">
        <v>0</v>
      </c>
      <c r="AR324" s="16">
        <v>0</v>
      </c>
      <c r="AS324" s="16">
        <v>0</v>
      </c>
      <c r="AT324" s="16">
        <v>0</v>
      </c>
      <c r="AU324" s="16">
        <v>0</v>
      </c>
      <c r="AV324" s="16">
        <v>0</v>
      </c>
    </row>
    <row r="325" spans="1:48" ht="14.25" customHeight="1">
      <c r="A325" s="13"/>
      <c r="B325" s="14"/>
      <c r="C325" s="14"/>
      <c r="D325" s="14"/>
      <c r="E325" s="14"/>
      <c r="F325" s="14"/>
      <c r="G325" s="14"/>
      <c r="H325" s="14"/>
      <c r="I325" s="14"/>
      <c r="J325" s="14"/>
      <c r="K325" s="15">
        <f t="shared" si="12"/>
        <v>0</v>
      </c>
      <c r="L325" s="24"/>
      <c r="M325" s="14"/>
      <c r="N325" s="49"/>
      <c r="O325" s="24"/>
      <c r="P325" s="24">
        <f t="shared" si="15"/>
        <v>0</v>
      </c>
      <c r="Q325" s="23"/>
      <c r="R325" s="24"/>
      <c r="S325" s="49"/>
      <c r="T325" s="24"/>
      <c r="U325" s="24">
        <f t="shared" si="16"/>
        <v>0</v>
      </c>
      <c r="V325" s="24"/>
      <c r="AA325" s="16">
        <v>0</v>
      </c>
      <c r="AB325" s="16">
        <v>0</v>
      </c>
      <c r="AC325" s="16">
        <v>0</v>
      </c>
      <c r="AD325" s="16">
        <v>0</v>
      </c>
      <c r="AE325" s="16">
        <v>0</v>
      </c>
      <c r="AF325" s="16">
        <v>0</v>
      </c>
      <c r="AG325" s="16">
        <v>0</v>
      </c>
      <c r="AH325" s="16">
        <v>0</v>
      </c>
      <c r="AI325" s="16">
        <v>0</v>
      </c>
      <c r="AJ325" s="16">
        <v>0</v>
      </c>
      <c r="AK325" s="16">
        <v>0</v>
      </c>
      <c r="AL325" s="16">
        <v>0</v>
      </c>
      <c r="AM325" s="16">
        <v>0</v>
      </c>
      <c r="AN325" s="16">
        <v>0</v>
      </c>
      <c r="AO325" s="16">
        <v>0</v>
      </c>
      <c r="AP325" s="16">
        <v>0</v>
      </c>
      <c r="AQ325" s="16">
        <v>0</v>
      </c>
      <c r="AR325" s="16">
        <v>0</v>
      </c>
      <c r="AS325" s="16">
        <v>0</v>
      </c>
      <c r="AT325" s="16">
        <v>0</v>
      </c>
      <c r="AU325" s="16">
        <v>0</v>
      </c>
      <c r="AV325" s="16">
        <v>0</v>
      </c>
    </row>
    <row r="326" spans="1:48" ht="14.25" customHeight="1">
      <c r="A326" s="13"/>
      <c r="B326" s="14"/>
      <c r="C326" s="14"/>
      <c r="D326" s="14"/>
      <c r="E326" s="14"/>
      <c r="F326" s="14"/>
      <c r="G326" s="14"/>
      <c r="H326" s="14"/>
      <c r="I326" s="14"/>
      <c r="J326" s="14"/>
      <c r="K326" s="15">
        <f t="shared" si="12"/>
        <v>0</v>
      </c>
      <c r="L326" s="24"/>
      <c r="M326" s="14"/>
      <c r="N326" s="49"/>
      <c r="O326" s="24"/>
      <c r="P326" s="24">
        <f t="shared" si="15"/>
        <v>0</v>
      </c>
      <c r="Q326" s="23"/>
      <c r="R326" s="24"/>
      <c r="S326" s="49"/>
      <c r="T326" s="24"/>
      <c r="U326" s="24">
        <f t="shared" si="16"/>
        <v>0</v>
      </c>
      <c r="V326" s="24"/>
      <c r="AA326" s="16">
        <v>0</v>
      </c>
      <c r="AB326" s="16">
        <v>0</v>
      </c>
      <c r="AC326" s="16">
        <v>0</v>
      </c>
      <c r="AD326" s="16">
        <v>0</v>
      </c>
      <c r="AE326" s="16">
        <v>0</v>
      </c>
      <c r="AF326" s="16">
        <v>0</v>
      </c>
      <c r="AG326" s="16">
        <v>0</v>
      </c>
      <c r="AH326" s="16">
        <v>0</v>
      </c>
      <c r="AI326" s="16">
        <v>0</v>
      </c>
      <c r="AJ326" s="16">
        <v>0</v>
      </c>
      <c r="AK326" s="16">
        <v>0</v>
      </c>
      <c r="AL326" s="16">
        <v>0</v>
      </c>
      <c r="AM326" s="16">
        <v>0</v>
      </c>
      <c r="AN326" s="16">
        <v>0</v>
      </c>
      <c r="AO326" s="16">
        <v>0</v>
      </c>
      <c r="AP326" s="16">
        <v>0</v>
      </c>
      <c r="AQ326" s="16">
        <v>0</v>
      </c>
      <c r="AR326" s="16">
        <v>0</v>
      </c>
      <c r="AS326" s="16">
        <v>0</v>
      </c>
      <c r="AT326" s="16">
        <v>0</v>
      </c>
      <c r="AU326" s="16">
        <v>0</v>
      </c>
      <c r="AV326" s="16">
        <v>0</v>
      </c>
    </row>
    <row r="327" spans="1:48" ht="14.25" customHeight="1">
      <c r="A327" s="13"/>
      <c r="B327" s="14"/>
      <c r="C327" s="14"/>
      <c r="D327" s="14"/>
      <c r="E327" s="14"/>
      <c r="F327" s="14"/>
      <c r="G327" s="14"/>
      <c r="H327" s="14"/>
      <c r="I327" s="14"/>
      <c r="J327" s="14"/>
      <c r="K327" s="15">
        <f t="shared" si="12"/>
        <v>0</v>
      </c>
      <c r="L327" s="24"/>
      <c r="M327" s="14"/>
      <c r="N327" s="49"/>
      <c r="O327" s="24"/>
      <c r="P327" s="24">
        <f t="shared" si="15"/>
        <v>0</v>
      </c>
      <c r="Q327" s="23"/>
      <c r="R327" s="24"/>
      <c r="S327" s="49"/>
      <c r="T327" s="24"/>
      <c r="U327" s="24">
        <f t="shared" si="16"/>
        <v>0</v>
      </c>
      <c r="V327" s="24"/>
      <c r="AA327" s="16">
        <v>0</v>
      </c>
      <c r="AB327" s="16">
        <v>0</v>
      </c>
      <c r="AC327" s="16">
        <v>0</v>
      </c>
      <c r="AD327" s="16">
        <v>0</v>
      </c>
      <c r="AE327" s="16">
        <v>0</v>
      </c>
      <c r="AF327" s="16">
        <v>0</v>
      </c>
      <c r="AG327" s="16">
        <v>0</v>
      </c>
      <c r="AH327" s="16">
        <v>0</v>
      </c>
      <c r="AI327" s="16">
        <v>0</v>
      </c>
      <c r="AJ327" s="16">
        <v>0</v>
      </c>
      <c r="AK327" s="16">
        <v>0</v>
      </c>
      <c r="AL327" s="16">
        <v>0</v>
      </c>
      <c r="AM327" s="16">
        <v>0</v>
      </c>
      <c r="AN327" s="16">
        <v>0</v>
      </c>
      <c r="AO327" s="16">
        <v>0</v>
      </c>
      <c r="AP327" s="16">
        <v>0</v>
      </c>
      <c r="AQ327" s="16">
        <v>0</v>
      </c>
      <c r="AR327" s="16">
        <v>0</v>
      </c>
      <c r="AS327" s="16">
        <v>0</v>
      </c>
      <c r="AT327" s="16">
        <v>0</v>
      </c>
      <c r="AU327" s="16">
        <v>0</v>
      </c>
      <c r="AV327" s="16">
        <v>0</v>
      </c>
    </row>
    <row r="328" spans="1:48" ht="14.25" customHeight="1">
      <c r="A328" s="13"/>
      <c r="B328" s="14"/>
      <c r="C328" s="14"/>
      <c r="D328" s="14"/>
      <c r="E328" s="14"/>
      <c r="F328" s="14"/>
      <c r="G328" s="14"/>
      <c r="H328" s="14"/>
      <c r="I328" s="14"/>
      <c r="J328" s="14"/>
      <c r="K328" s="15">
        <f t="shared" si="12"/>
        <v>0</v>
      </c>
      <c r="L328" s="24"/>
      <c r="M328" s="14"/>
      <c r="N328" s="49"/>
      <c r="O328" s="24"/>
      <c r="P328" s="24">
        <f t="shared" si="15"/>
        <v>0</v>
      </c>
      <c r="Q328" s="23"/>
      <c r="R328" s="24"/>
      <c r="S328" s="49"/>
      <c r="T328" s="24"/>
      <c r="U328" s="24">
        <f t="shared" si="16"/>
        <v>0</v>
      </c>
      <c r="V328" s="24"/>
      <c r="AA328" s="16">
        <v>0</v>
      </c>
      <c r="AB328" s="16">
        <v>0</v>
      </c>
      <c r="AC328" s="16">
        <v>0</v>
      </c>
      <c r="AD328" s="16">
        <v>0</v>
      </c>
      <c r="AE328" s="16">
        <v>0</v>
      </c>
      <c r="AF328" s="16">
        <v>0</v>
      </c>
      <c r="AG328" s="16">
        <v>0</v>
      </c>
      <c r="AH328" s="16">
        <v>0</v>
      </c>
      <c r="AI328" s="16">
        <v>0</v>
      </c>
      <c r="AJ328" s="16">
        <v>0</v>
      </c>
      <c r="AK328" s="16">
        <v>0</v>
      </c>
      <c r="AL328" s="16">
        <v>0</v>
      </c>
      <c r="AM328" s="16">
        <v>0</v>
      </c>
      <c r="AN328" s="16">
        <v>0</v>
      </c>
      <c r="AO328" s="16">
        <v>0</v>
      </c>
      <c r="AP328" s="16">
        <v>0</v>
      </c>
      <c r="AQ328" s="16">
        <v>0</v>
      </c>
      <c r="AR328" s="16">
        <v>0</v>
      </c>
      <c r="AS328" s="16">
        <v>0</v>
      </c>
      <c r="AT328" s="16">
        <v>0</v>
      </c>
      <c r="AU328" s="16">
        <v>0</v>
      </c>
      <c r="AV328" s="16">
        <v>0</v>
      </c>
    </row>
    <row r="329" spans="1:48" ht="14.25" customHeight="1">
      <c r="A329" s="13"/>
      <c r="B329" s="14"/>
      <c r="C329" s="14"/>
      <c r="D329" s="14"/>
      <c r="E329" s="14"/>
      <c r="F329" s="14"/>
      <c r="G329" s="14"/>
      <c r="H329" s="14"/>
      <c r="I329" s="14"/>
      <c r="J329" s="14"/>
      <c r="K329" s="15">
        <f t="shared" si="12"/>
        <v>0</v>
      </c>
      <c r="L329" s="24"/>
      <c r="M329" s="14"/>
      <c r="N329" s="49"/>
      <c r="O329" s="24"/>
      <c r="P329" s="24">
        <f t="shared" si="15"/>
        <v>0</v>
      </c>
      <c r="Q329" s="23"/>
      <c r="R329" s="24"/>
      <c r="S329" s="49"/>
      <c r="T329" s="24"/>
      <c r="U329" s="24">
        <f t="shared" si="16"/>
        <v>0</v>
      </c>
      <c r="V329" s="24"/>
      <c r="AA329" s="16">
        <v>0</v>
      </c>
      <c r="AB329" s="16">
        <v>0</v>
      </c>
      <c r="AC329" s="16">
        <v>0</v>
      </c>
      <c r="AD329" s="16">
        <v>0</v>
      </c>
      <c r="AE329" s="16">
        <v>0</v>
      </c>
      <c r="AF329" s="16">
        <v>0</v>
      </c>
      <c r="AG329" s="16">
        <v>0</v>
      </c>
      <c r="AH329" s="16">
        <v>0</v>
      </c>
      <c r="AI329" s="16">
        <v>0</v>
      </c>
      <c r="AJ329" s="16">
        <v>0</v>
      </c>
      <c r="AK329" s="16">
        <v>0</v>
      </c>
      <c r="AL329" s="16">
        <v>0</v>
      </c>
      <c r="AM329" s="16">
        <v>0</v>
      </c>
      <c r="AN329" s="16">
        <v>0</v>
      </c>
      <c r="AO329" s="16">
        <v>0</v>
      </c>
      <c r="AP329" s="16">
        <v>0</v>
      </c>
      <c r="AQ329" s="16">
        <v>0</v>
      </c>
      <c r="AR329" s="16">
        <v>0</v>
      </c>
      <c r="AS329" s="16">
        <v>0</v>
      </c>
      <c r="AT329" s="16">
        <v>0</v>
      </c>
      <c r="AU329" s="16">
        <v>0</v>
      </c>
      <c r="AV329" s="16">
        <v>0</v>
      </c>
    </row>
    <row r="330" spans="1:48" ht="14.25" customHeight="1">
      <c r="A330" s="13"/>
      <c r="B330" s="14"/>
      <c r="C330" s="14"/>
      <c r="D330" s="14"/>
      <c r="E330" s="14"/>
      <c r="F330" s="14"/>
      <c r="G330" s="14"/>
      <c r="H330" s="14"/>
      <c r="I330" s="14"/>
      <c r="J330" s="14"/>
      <c r="K330" s="15">
        <f t="shared" si="12"/>
        <v>0</v>
      </c>
      <c r="L330" s="24"/>
      <c r="M330" s="14"/>
      <c r="N330" s="49"/>
      <c r="O330" s="24"/>
      <c r="P330" s="24">
        <f t="shared" si="15"/>
        <v>0</v>
      </c>
      <c r="Q330" s="23"/>
      <c r="R330" s="24"/>
      <c r="S330" s="49"/>
      <c r="T330" s="24"/>
      <c r="U330" s="24">
        <f t="shared" si="16"/>
        <v>0</v>
      </c>
      <c r="V330" s="24"/>
      <c r="AA330" s="16">
        <v>0</v>
      </c>
      <c r="AB330" s="16">
        <v>0</v>
      </c>
      <c r="AC330" s="16">
        <v>0</v>
      </c>
      <c r="AD330" s="16">
        <v>0</v>
      </c>
      <c r="AE330" s="16">
        <v>0</v>
      </c>
      <c r="AF330" s="16">
        <v>0</v>
      </c>
      <c r="AG330" s="16">
        <v>0</v>
      </c>
      <c r="AH330" s="16">
        <v>0</v>
      </c>
      <c r="AI330" s="16">
        <v>0</v>
      </c>
      <c r="AJ330" s="16">
        <v>0</v>
      </c>
      <c r="AK330" s="16">
        <v>0</v>
      </c>
      <c r="AL330" s="16">
        <v>0</v>
      </c>
      <c r="AM330" s="16">
        <v>0</v>
      </c>
      <c r="AN330" s="16">
        <v>0</v>
      </c>
      <c r="AO330" s="16">
        <v>0</v>
      </c>
      <c r="AP330" s="16">
        <v>0</v>
      </c>
      <c r="AQ330" s="16">
        <v>0</v>
      </c>
      <c r="AR330" s="16">
        <v>0</v>
      </c>
      <c r="AS330" s="16">
        <v>0</v>
      </c>
      <c r="AT330" s="16">
        <v>0</v>
      </c>
      <c r="AU330" s="16">
        <v>0</v>
      </c>
      <c r="AV330" s="16">
        <v>0</v>
      </c>
    </row>
    <row r="331" spans="1:48" ht="14.25" customHeight="1">
      <c r="A331" s="13"/>
      <c r="B331" s="14"/>
      <c r="C331" s="14"/>
      <c r="D331" s="14"/>
      <c r="E331" s="14"/>
      <c r="F331" s="14"/>
      <c r="G331" s="14"/>
      <c r="H331" s="14"/>
      <c r="I331" s="14"/>
      <c r="J331" s="14"/>
      <c r="K331" s="15">
        <f t="shared" si="12"/>
        <v>0</v>
      </c>
      <c r="L331" s="24"/>
      <c r="M331" s="14"/>
      <c r="N331" s="49"/>
      <c r="O331" s="24"/>
      <c r="P331" s="24">
        <f t="shared" si="15"/>
        <v>0</v>
      </c>
      <c r="Q331" s="23"/>
      <c r="R331" s="24"/>
      <c r="S331" s="49"/>
      <c r="T331" s="24"/>
      <c r="U331" s="24">
        <f t="shared" si="16"/>
        <v>0</v>
      </c>
      <c r="V331" s="24"/>
      <c r="AA331" s="16">
        <v>0</v>
      </c>
      <c r="AB331" s="16">
        <v>0</v>
      </c>
      <c r="AC331" s="16">
        <v>0</v>
      </c>
      <c r="AD331" s="16">
        <v>0</v>
      </c>
      <c r="AE331" s="16">
        <v>0</v>
      </c>
      <c r="AF331" s="16">
        <v>0</v>
      </c>
      <c r="AG331" s="16">
        <v>0</v>
      </c>
      <c r="AH331" s="16">
        <v>0</v>
      </c>
      <c r="AI331" s="16">
        <v>0</v>
      </c>
      <c r="AJ331" s="16">
        <v>0</v>
      </c>
      <c r="AK331" s="16">
        <v>0</v>
      </c>
      <c r="AL331" s="16">
        <v>0</v>
      </c>
      <c r="AM331" s="16">
        <v>0</v>
      </c>
      <c r="AN331" s="16">
        <v>0</v>
      </c>
      <c r="AO331" s="16">
        <v>0</v>
      </c>
      <c r="AP331" s="16">
        <v>0</v>
      </c>
      <c r="AQ331" s="16">
        <v>0</v>
      </c>
      <c r="AR331" s="16">
        <v>0</v>
      </c>
      <c r="AS331" s="16">
        <v>0</v>
      </c>
      <c r="AT331" s="16">
        <v>0</v>
      </c>
      <c r="AU331" s="16">
        <v>0</v>
      </c>
      <c r="AV331" s="16">
        <v>0</v>
      </c>
    </row>
    <row r="332" spans="1:48" ht="14.25" customHeight="1">
      <c r="A332" s="13"/>
      <c r="B332" s="14"/>
      <c r="C332" s="14"/>
      <c r="D332" s="14"/>
      <c r="E332" s="14"/>
      <c r="F332" s="14"/>
      <c r="G332" s="14"/>
      <c r="H332" s="14"/>
      <c r="I332" s="14"/>
      <c r="J332" s="14"/>
      <c r="K332" s="15">
        <f t="shared" si="12"/>
        <v>0</v>
      </c>
      <c r="L332" s="24"/>
      <c r="M332" s="14"/>
      <c r="N332" s="49"/>
      <c r="O332" s="24"/>
      <c r="P332" s="24">
        <f t="shared" si="15"/>
        <v>0</v>
      </c>
      <c r="Q332" s="23"/>
      <c r="R332" s="24"/>
      <c r="S332" s="49"/>
      <c r="T332" s="24"/>
      <c r="U332" s="24">
        <f t="shared" si="16"/>
        <v>0</v>
      </c>
      <c r="V332" s="24"/>
      <c r="AA332" s="16">
        <v>0</v>
      </c>
      <c r="AB332" s="16">
        <v>0</v>
      </c>
      <c r="AC332" s="16">
        <v>0</v>
      </c>
      <c r="AD332" s="16">
        <v>0</v>
      </c>
      <c r="AE332" s="16">
        <v>0</v>
      </c>
      <c r="AF332" s="16">
        <v>0</v>
      </c>
      <c r="AG332" s="16">
        <v>0</v>
      </c>
      <c r="AH332" s="16">
        <v>0</v>
      </c>
      <c r="AI332" s="16">
        <v>0</v>
      </c>
      <c r="AJ332" s="16">
        <v>0</v>
      </c>
      <c r="AK332" s="16">
        <v>0</v>
      </c>
      <c r="AL332" s="16">
        <v>0</v>
      </c>
      <c r="AM332" s="16">
        <v>0</v>
      </c>
      <c r="AN332" s="16">
        <v>0</v>
      </c>
      <c r="AO332" s="16">
        <v>0</v>
      </c>
      <c r="AP332" s="16">
        <v>0</v>
      </c>
      <c r="AQ332" s="16">
        <v>0</v>
      </c>
      <c r="AR332" s="16">
        <v>0</v>
      </c>
      <c r="AS332" s="16">
        <v>0</v>
      </c>
      <c r="AT332" s="16">
        <v>0</v>
      </c>
      <c r="AU332" s="16">
        <v>0</v>
      </c>
      <c r="AV332" s="16">
        <v>0</v>
      </c>
    </row>
    <row r="333" spans="1:48" ht="14.25" customHeight="1">
      <c r="A333" s="13"/>
      <c r="B333" s="14"/>
      <c r="C333" s="14"/>
      <c r="D333" s="14"/>
      <c r="E333" s="14"/>
      <c r="F333" s="14"/>
      <c r="G333" s="14"/>
      <c r="H333" s="14"/>
      <c r="I333" s="14"/>
      <c r="J333" s="14"/>
      <c r="K333" s="15">
        <f t="shared" si="12"/>
        <v>0</v>
      </c>
      <c r="L333" s="24"/>
      <c r="M333" s="14"/>
      <c r="N333" s="49"/>
      <c r="O333" s="24"/>
      <c r="P333" s="24">
        <f t="shared" si="15"/>
        <v>0</v>
      </c>
      <c r="Q333" s="23"/>
      <c r="R333" s="24"/>
      <c r="S333" s="49"/>
      <c r="T333" s="24"/>
      <c r="U333" s="24">
        <f t="shared" si="16"/>
        <v>0</v>
      </c>
      <c r="V333" s="24"/>
      <c r="AA333" s="16">
        <v>0</v>
      </c>
      <c r="AB333" s="16">
        <v>0</v>
      </c>
      <c r="AC333" s="16">
        <v>0</v>
      </c>
      <c r="AD333" s="16">
        <v>0</v>
      </c>
      <c r="AE333" s="16">
        <v>0</v>
      </c>
      <c r="AF333" s="16">
        <v>0</v>
      </c>
      <c r="AG333" s="16">
        <v>0</v>
      </c>
      <c r="AH333" s="16">
        <v>0</v>
      </c>
      <c r="AI333" s="16">
        <v>0</v>
      </c>
      <c r="AJ333" s="16">
        <v>0</v>
      </c>
      <c r="AK333" s="16">
        <v>0</v>
      </c>
      <c r="AL333" s="16">
        <v>0</v>
      </c>
      <c r="AM333" s="16">
        <v>0</v>
      </c>
      <c r="AN333" s="16">
        <v>0</v>
      </c>
      <c r="AO333" s="16">
        <v>0</v>
      </c>
      <c r="AP333" s="16">
        <v>0</v>
      </c>
      <c r="AQ333" s="16">
        <v>0</v>
      </c>
      <c r="AR333" s="16">
        <v>0</v>
      </c>
      <c r="AS333" s="16">
        <v>0</v>
      </c>
      <c r="AT333" s="16">
        <v>0</v>
      </c>
      <c r="AU333" s="16">
        <v>0</v>
      </c>
      <c r="AV333" s="16">
        <v>0</v>
      </c>
    </row>
    <row r="334" spans="1:48" ht="14.25" customHeight="1">
      <c r="A334" s="13"/>
      <c r="B334" s="14"/>
      <c r="C334" s="14"/>
      <c r="D334" s="14"/>
      <c r="E334" s="14"/>
      <c r="F334" s="14"/>
      <c r="G334" s="14"/>
      <c r="H334" s="14"/>
      <c r="I334" s="14"/>
      <c r="J334" s="14"/>
      <c r="K334" s="15">
        <f t="shared" si="12"/>
        <v>0</v>
      </c>
      <c r="L334" s="24"/>
      <c r="M334" s="14"/>
      <c r="N334" s="49"/>
      <c r="O334" s="24"/>
      <c r="P334" s="24">
        <f t="shared" si="15"/>
        <v>0</v>
      </c>
      <c r="Q334" s="23"/>
      <c r="R334" s="24"/>
      <c r="S334" s="49"/>
      <c r="T334" s="24"/>
      <c r="U334" s="24">
        <f t="shared" si="16"/>
        <v>0</v>
      </c>
      <c r="V334" s="24"/>
      <c r="AA334" s="16">
        <v>0</v>
      </c>
      <c r="AB334" s="16">
        <v>0</v>
      </c>
      <c r="AC334" s="16">
        <v>0</v>
      </c>
      <c r="AD334" s="16">
        <v>0</v>
      </c>
      <c r="AE334" s="16">
        <v>0</v>
      </c>
      <c r="AF334" s="16">
        <v>0</v>
      </c>
      <c r="AG334" s="16">
        <v>0</v>
      </c>
      <c r="AH334" s="16">
        <v>0</v>
      </c>
      <c r="AI334" s="16">
        <v>0</v>
      </c>
      <c r="AJ334" s="16">
        <v>0</v>
      </c>
      <c r="AK334" s="16">
        <v>0</v>
      </c>
      <c r="AL334" s="16">
        <v>0</v>
      </c>
      <c r="AM334" s="16">
        <v>0</v>
      </c>
      <c r="AN334" s="16">
        <v>0</v>
      </c>
      <c r="AO334" s="16">
        <v>0</v>
      </c>
      <c r="AP334" s="16">
        <v>0</v>
      </c>
      <c r="AQ334" s="16">
        <v>0</v>
      </c>
      <c r="AR334" s="16">
        <v>0</v>
      </c>
      <c r="AS334" s="16">
        <v>0</v>
      </c>
      <c r="AT334" s="16">
        <v>0</v>
      </c>
      <c r="AU334" s="16">
        <v>0</v>
      </c>
      <c r="AV334" s="16">
        <v>0</v>
      </c>
    </row>
    <row r="335" spans="1:48" ht="14.25" customHeight="1">
      <c r="A335" s="13"/>
      <c r="B335" s="14"/>
      <c r="C335" s="14"/>
      <c r="D335" s="14"/>
      <c r="E335" s="14"/>
      <c r="F335" s="14"/>
      <c r="G335" s="14"/>
      <c r="H335" s="14"/>
      <c r="I335" s="14"/>
      <c r="J335" s="14"/>
      <c r="K335" s="15">
        <f t="shared" si="12"/>
        <v>0</v>
      </c>
      <c r="L335" s="24"/>
      <c r="M335" s="14"/>
      <c r="N335" s="49"/>
      <c r="O335" s="24"/>
      <c r="P335" s="24">
        <f t="shared" si="15"/>
        <v>0</v>
      </c>
      <c r="Q335" s="23"/>
      <c r="R335" s="24"/>
      <c r="S335" s="49"/>
      <c r="T335" s="24"/>
      <c r="U335" s="24">
        <f t="shared" si="16"/>
        <v>0</v>
      </c>
      <c r="V335" s="24"/>
      <c r="AA335" s="16">
        <v>0</v>
      </c>
      <c r="AB335" s="16">
        <v>0</v>
      </c>
      <c r="AC335" s="16">
        <v>0</v>
      </c>
      <c r="AD335" s="16">
        <v>0</v>
      </c>
      <c r="AE335" s="16">
        <v>0</v>
      </c>
      <c r="AF335" s="16">
        <v>0</v>
      </c>
      <c r="AG335" s="16">
        <v>0</v>
      </c>
      <c r="AH335" s="16">
        <v>0</v>
      </c>
      <c r="AI335" s="16">
        <v>0</v>
      </c>
      <c r="AJ335" s="16">
        <v>0</v>
      </c>
      <c r="AK335" s="16">
        <v>0</v>
      </c>
      <c r="AL335" s="16">
        <v>0</v>
      </c>
      <c r="AM335" s="16">
        <v>0</v>
      </c>
      <c r="AN335" s="16">
        <v>0</v>
      </c>
      <c r="AO335" s="16">
        <v>0</v>
      </c>
      <c r="AP335" s="16">
        <v>0</v>
      </c>
      <c r="AQ335" s="16">
        <v>0</v>
      </c>
      <c r="AR335" s="16">
        <v>0</v>
      </c>
      <c r="AS335" s="16">
        <v>0</v>
      </c>
      <c r="AT335" s="16">
        <v>0</v>
      </c>
      <c r="AU335" s="16">
        <v>0</v>
      </c>
      <c r="AV335" s="16">
        <v>0</v>
      </c>
    </row>
    <row r="336" spans="1:48" ht="14.25" customHeight="1">
      <c r="A336" s="13"/>
      <c r="B336" s="14"/>
      <c r="C336" s="14"/>
      <c r="D336" s="14"/>
      <c r="E336" s="14"/>
      <c r="F336" s="14"/>
      <c r="G336" s="14"/>
      <c r="H336" s="14"/>
      <c r="I336" s="14"/>
      <c r="J336" s="14"/>
      <c r="K336" s="15">
        <f t="shared" si="12"/>
        <v>0</v>
      </c>
      <c r="L336" s="24"/>
      <c r="M336" s="14"/>
      <c r="N336" s="49"/>
      <c r="O336" s="24"/>
      <c r="P336" s="24">
        <f t="shared" si="15"/>
        <v>0</v>
      </c>
      <c r="Q336" s="23"/>
      <c r="R336" s="24"/>
      <c r="S336" s="49"/>
      <c r="T336" s="24"/>
      <c r="U336" s="24">
        <f t="shared" si="16"/>
        <v>0</v>
      </c>
      <c r="V336" s="24"/>
      <c r="AA336" s="16">
        <v>0</v>
      </c>
      <c r="AB336" s="16">
        <v>0</v>
      </c>
      <c r="AC336" s="16">
        <v>0</v>
      </c>
      <c r="AD336" s="16">
        <v>0</v>
      </c>
      <c r="AE336" s="16">
        <v>0</v>
      </c>
      <c r="AF336" s="16">
        <v>0</v>
      </c>
      <c r="AG336" s="16">
        <v>0</v>
      </c>
      <c r="AH336" s="16">
        <v>0</v>
      </c>
      <c r="AI336" s="16">
        <v>0</v>
      </c>
      <c r="AJ336" s="16">
        <v>0</v>
      </c>
      <c r="AK336" s="16">
        <v>0</v>
      </c>
      <c r="AL336" s="16">
        <v>0</v>
      </c>
      <c r="AM336" s="16">
        <v>0</v>
      </c>
      <c r="AN336" s="16">
        <v>0</v>
      </c>
      <c r="AO336" s="16">
        <v>0</v>
      </c>
      <c r="AP336" s="16">
        <v>0</v>
      </c>
      <c r="AQ336" s="16">
        <v>0</v>
      </c>
      <c r="AR336" s="16">
        <v>0</v>
      </c>
      <c r="AS336" s="16">
        <v>0</v>
      </c>
      <c r="AT336" s="16">
        <v>0</v>
      </c>
      <c r="AU336" s="16">
        <v>0</v>
      </c>
      <c r="AV336" s="16">
        <v>0</v>
      </c>
    </row>
    <row r="337" spans="1:48" ht="14.25" customHeight="1">
      <c r="A337" s="13"/>
      <c r="B337" s="14"/>
      <c r="C337" s="14"/>
      <c r="D337" s="14"/>
      <c r="E337" s="14"/>
      <c r="F337" s="14"/>
      <c r="G337" s="14"/>
      <c r="H337" s="14"/>
      <c r="I337" s="14"/>
      <c r="J337" s="14"/>
      <c r="K337" s="15">
        <f t="shared" si="12"/>
        <v>0</v>
      </c>
      <c r="L337" s="24"/>
      <c r="M337" s="14"/>
      <c r="N337" s="49"/>
      <c r="O337" s="24"/>
      <c r="P337" s="24">
        <f t="shared" si="15"/>
        <v>0</v>
      </c>
      <c r="Q337" s="23"/>
      <c r="R337" s="24"/>
      <c r="S337" s="49"/>
      <c r="T337" s="24"/>
      <c r="U337" s="24">
        <f t="shared" si="16"/>
        <v>0</v>
      </c>
      <c r="V337" s="24"/>
      <c r="AA337" s="16">
        <v>0</v>
      </c>
      <c r="AB337" s="16">
        <v>0</v>
      </c>
      <c r="AC337" s="16">
        <v>0</v>
      </c>
      <c r="AD337" s="16">
        <v>0</v>
      </c>
      <c r="AE337" s="16">
        <v>0</v>
      </c>
      <c r="AF337" s="16">
        <v>0</v>
      </c>
      <c r="AG337" s="16">
        <v>0</v>
      </c>
      <c r="AH337" s="16">
        <v>0</v>
      </c>
      <c r="AI337" s="16">
        <v>0</v>
      </c>
      <c r="AJ337" s="16">
        <v>0</v>
      </c>
      <c r="AK337" s="16">
        <v>0</v>
      </c>
      <c r="AL337" s="16">
        <v>0</v>
      </c>
      <c r="AM337" s="16">
        <v>0</v>
      </c>
      <c r="AN337" s="16">
        <v>0</v>
      </c>
      <c r="AO337" s="16">
        <v>0</v>
      </c>
      <c r="AP337" s="16">
        <v>0</v>
      </c>
      <c r="AQ337" s="16">
        <v>0</v>
      </c>
      <c r="AR337" s="16">
        <v>0</v>
      </c>
      <c r="AS337" s="16">
        <v>0</v>
      </c>
      <c r="AT337" s="16">
        <v>0</v>
      </c>
      <c r="AU337" s="16">
        <v>0</v>
      </c>
      <c r="AV337" s="16">
        <v>0</v>
      </c>
    </row>
    <row r="338" spans="1:48" ht="14.25" customHeight="1">
      <c r="A338" s="13"/>
      <c r="B338" s="14"/>
      <c r="C338" s="14"/>
      <c r="D338" s="14"/>
      <c r="E338" s="14"/>
      <c r="F338" s="14"/>
      <c r="G338" s="14"/>
      <c r="H338" s="14"/>
      <c r="I338" s="14"/>
      <c r="J338" s="14"/>
      <c r="K338" s="15">
        <f t="shared" si="12"/>
        <v>0</v>
      </c>
      <c r="L338" s="24"/>
      <c r="M338" s="14"/>
      <c r="N338" s="49"/>
      <c r="O338" s="24"/>
      <c r="P338" s="24">
        <f t="shared" si="15"/>
        <v>0</v>
      </c>
      <c r="Q338" s="23"/>
      <c r="R338" s="24"/>
      <c r="S338" s="49"/>
      <c r="T338" s="24"/>
      <c r="U338" s="24">
        <f t="shared" si="16"/>
        <v>0</v>
      </c>
      <c r="V338" s="24"/>
      <c r="AA338" s="16">
        <v>0</v>
      </c>
      <c r="AB338" s="16">
        <v>0</v>
      </c>
      <c r="AC338" s="16">
        <v>0</v>
      </c>
      <c r="AD338" s="16">
        <v>0</v>
      </c>
      <c r="AE338" s="16">
        <v>0</v>
      </c>
      <c r="AF338" s="16">
        <v>0</v>
      </c>
      <c r="AG338" s="16">
        <v>0</v>
      </c>
      <c r="AH338" s="16">
        <v>0</v>
      </c>
      <c r="AI338" s="16">
        <v>0</v>
      </c>
      <c r="AJ338" s="16">
        <v>0</v>
      </c>
      <c r="AK338" s="16">
        <v>0</v>
      </c>
      <c r="AL338" s="16">
        <v>0</v>
      </c>
      <c r="AM338" s="16">
        <v>0</v>
      </c>
      <c r="AN338" s="16">
        <v>0</v>
      </c>
      <c r="AO338" s="16">
        <v>0</v>
      </c>
      <c r="AP338" s="16">
        <v>0</v>
      </c>
      <c r="AQ338" s="16">
        <v>0</v>
      </c>
      <c r="AR338" s="16">
        <v>0</v>
      </c>
      <c r="AS338" s="16">
        <v>0</v>
      </c>
      <c r="AT338" s="16">
        <v>0</v>
      </c>
      <c r="AU338" s="16">
        <v>0</v>
      </c>
      <c r="AV338" s="16">
        <v>0</v>
      </c>
    </row>
    <row r="339" spans="1:48" ht="14.25" customHeight="1">
      <c r="A339" s="13"/>
      <c r="B339" s="14"/>
      <c r="C339" s="14"/>
      <c r="D339" s="14"/>
      <c r="E339" s="14"/>
      <c r="F339" s="14"/>
      <c r="G339" s="14"/>
      <c r="H339" s="14"/>
      <c r="I339" s="14"/>
      <c r="J339" s="14"/>
      <c r="K339" s="15">
        <f t="shared" si="12"/>
        <v>0</v>
      </c>
      <c r="L339" s="24"/>
      <c r="M339" s="14"/>
      <c r="N339" s="49"/>
      <c r="O339" s="24"/>
      <c r="P339" s="24">
        <f t="shared" si="15"/>
        <v>0</v>
      </c>
      <c r="Q339" s="23"/>
      <c r="R339" s="24"/>
      <c r="S339" s="49"/>
      <c r="T339" s="24"/>
      <c r="U339" s="24">
        <f t="shared" si="16"/>
        <v>0</v>
      </c>
      <c r="V339" s="24"/>
      <c r="AA339" s="16">
        <v>0</v>
      </c>
      <c r="AB339" s="16">
        <v>0</v>
      </c>
      <c r="AC339" s="16">
        <v>0</v>
      </c>
      <c r="AD339" s="16">
        <v>0</v>
      </c>
      <c r="AE339" s="16">
        <v>0</v>
      </c>
      <c r="AF339" s="16">
        <v>0</v>
      </c>
      <c r="AG339" s="16">
        <v>0</v>
      </c>
      <c r="AH339" s="16">
        <v>0</v>
      </c>
      <c r="AI339" s="16">
        <v>0</v>
      </c>
      <c r="AJ339" s="16">
        <v>0</v>
      </c>
      <c r="AK339" s="16">
        <v>0</v>
      </c>
      <c r="AL339" s="16">
        <v>0</v>
      </c>
      <c r="AM339" s="16">
        <v>0</v>
      </c>
      <c r="AN339" s="16">
        <v>0</v>
      </c>
      <c r="AO339" s="16">
        <v>0</v>
      </c>
      <c r="AP339" s="16">
        <v>0</v>
      </c>
      <c r="AQ339" s="16">
        <v>0</v>
      </c>
      <c r="AR339" s="16">
        <v>0</v>
      </c>
      <c r="AS339" s="16">
        <v>0</v>
      </c>
      <c r="AT339" s="16">
        <v>0</v>
      </c>
      <c r="AU339" s="16">
        <v>0</v>
      </c>
      <c r="AV339" s="16">
        <v>0</v>
      </c>
    </row>
    <row r="340" spans="1:48" ht="14.25" customHeight="1">
      <c r="A340" s="13"/>
      <c r="B340" s="14"/>
      <c r="C340" s="14"/>
      <c r="D340" s="14"/>
      <c r="E340" s="14"/>
      <c r="F340" s="14"/>
      <c r="G340" s="14"/>
      <c r="H340" s="14"/>
      <c r="I340" s="14"/>
      <c r="J340" s="14"/>
      <c r="K340" s="15">
        <f t="shared" si="12"/>
        <v>0</v>
      </c>
      <c r="L340" s="24"/>
      <c r="M340" s="14"/>
      <c r="N340" s="49"/>
      <c r="O340" s="24"/>
      <c r="P340" s="24">
        <f t="shared" si="15"/>
        <v>0</v>
      </c>
      <c r="Q340" s="23"/>
      <c r="R340" s="24"/>
      <c r="S340" s="49"/>
      <c r="T340" s="24"/>
      <c r="U340" s="24">
        <f t="shared" si="16"/>
        <v>0</v>
      </c>
      <c r="V340" s="24"/>
      <c r="AA340" s="16">
        <v>0</v>
      </c>
      <c r="AB340" s="16">
        <v>0</v>
      </c>
      <c r="AC340" s="16">
        <v>0</v>
      </c>
      <c r="AD340" s="16">
        <v>0</v>
      </c>
      <c r="AE340" s="16">
        <v>0</v>
      </c>
      <c r="AF340" s="16">
        <v>0</v>
      </c>
      <c r="AG340" s="16">
        <v>0</v>
      </c>
      <c r="AH340" s="16">
        <v>0</v>
      </c>
      <c r="AI340" s="16">
        <v>0</v>
      </c>
      <c r="AJ340" s="16">
        <v>0</v>
      </c>
      <c r="AK340" s="16">
        <v>0</v>
      </c>
      <c r="AL340" s="16">
        <v>0</v>
      </c>
      <c r="AM340" s="16">
        <v>0</v>
      </c>
      <c r="AN340" s="16">
        <v>0</v>
      </c>
      <c r="AO340" s="16">
        <v>0</v>
      </c>
      <c r="AP340" s="16">
        <v>0</v>
      </c>
      <c r="AQ340" s="16">
        <v>0</v>
      </c>
      <c r="AR340" s="16">
        <v>0</v>
      </c>
      <c r="AS340" s="16">
        <v>0</v>
      </c>
      <c r="AT340" s="16">
        <v>0</v>
      </c>
      <c r="AU340" s="16">
        <v>0</v>
      </c>
      <c r="AV340" s="16">
        <v>0</v>
      </c>
    </row>
    <row r="341" spans="1:48" ht="14.25" customHeight="1">
      <c r="A341" s="13"/>
      <c r="B341" s="14"/>
      <c r="C341" s="14"/>
      <c r="D341" s="14"/>
      <c r="E341" s="14"/>
      <c r="F341" s="14"/>
      <c r="G341" s="14"/>
      <c r="H341" s="14"/>
      <c r="I341" s="14"/>
      <c r="J341" s="14"/>
      <c r="K341" s="15">
        <f t="shared" si="12"/>
        <v>0</v>
      </c>
      <c r="L341" s="24"/>
      <c r="M341" s="14"/>
      <c r="N341" s="49"/>
      <c r="O341" s="24"/>
      <c r="P341" s="24">
        <f t="shared" si="15"/>
        <v>0</v>
      </c>
      <c r="Q341" s="23"/>
      <c r="R341" s="24"/>
      <c r="S341" s="49"/>
      <c r="T341" s="24"/>
      <c r="U341" s="24">
        <f t="shared" si="16"/>
        <v>0</v>
      </c>
      <c r="V341" s="24"/>
      <c r="AA341" s="16">
        <v>0</v>
      </c>
      <c r="AB341" s="16">
        <v>0</v>
      </c>
      <c r="AC341" s="16">
        <v>0</v>
      </c>
      <c r="AD341" s="16">
        <v>0</v>
      </c>
      <c r="AE341" s="16">
        <v>0</v>
      </c>
      <c r="AF341" s="16">
        <v>0</v>
      </c>
      <c r="AG341" s="16">
        <v>0</v>
      </c>
      <c r="AH341" s="16">
        <v>0</v>
      </c>
      <c r="AI341" s="16">
        <v>0</v>
      </c>
      <c r="AJ341" s="16">
        <v>0</v>
      </c>
      <c r="AK341" s="16">
        <v>0</v>
      </c>
      <c r="AL341" s="16">
        <v>0</v>
      </c>
      <c r="AM341" s="16">
        <v>0</v>
      </c>
      <c r="AN341" s="16">
        <v>0</v>
      </c>
      <c r="AO341" s="16">
        <v>0</v>
      </c>
      <c r="AP341" s="16">
        <v>0</v>
      </c>
      <c r="AQ341" s="16">
        <v>0</v>
      </c>
      <c r="AR341" s="16">
        <v>0</v>
      </c>
      <c r="AS341" s="16">
        <v>0</v>
      </c>
      <c r="AT341" s="16">
        <v>0</v>
      </c>
      <c r="AU341" s="16">
        <v>0</v>
      </c>
      <c r="AV341" s="16">
        <v>0</v>
      </c>
    </row>
    <row r="342" spans="1:48" ht="14.25" customHeight="1">
      <c r="A342" s="13"/>
      <c r="B342" s="14"/>
      <c r="C342" s="14"/>
      <c r="D342" s="14"/>
      <c r="E342" s="14"/>
      <c r="F342" s="14"/>
      <c r="G342" s="14"/>
      <c r="H342" s="14"/>
      <c r="I342" s="14"/>
      <c r="J342" s="14"/>
      <c r="K342" s="15">
        <f t="shared" si="12"/>
        <v>0</v>
      </c>
      <c r="L342" s="24"/>
      <c r="M342" s="14"/>
      <c r="N342" s="49"/>
      <c r="O342" s="24"/>
      <c r="P342" s="24">
        <f t="shared" si="15"/>
        <v>0</v>
      </c>
      <c r="Q342" s="23"/>
      <c r="R342" s="24"/>
      <c r="S342" s="49"/>
      <c r="T342" s="24"/>
      <c r="U342" s="24">
        <f t="shared" si="16"/>
        <v>0</v>
      </c>
      <c r="V342" s="24"/>
      <c r="AA342" s="16">
        <v>0</v>
      </c>
      <c r="AB342" s="16">
        <v>0</v>
      </c>
      <c r="AC342" s="16">
        <v>0</v>
      </c>
      <c r="AD342" s="16">
        <v>0</v>
      </c>
      <c r="AE342" s="16">
        <v>0</v>
      </c>
      <c r="AF342" s="16">
        <v>0</v>
      </c>
      <c r="AG342" s="16">
        <v>0</v>
      </c>
      <c r="AH342" s="16">
        <v>0</v>
      </c>
      <c r="AI342" s="16">
        <v>0</v>
      </c>
      <c r="AJ342" s="16">
        <v>0</v>
      </c>
      <c r="AK342" s="16">
        <v>0</v>
      </c>
      <c r="AL342" s="16">
        <v>0</v>
      </c>
      <c r="AM342" s="16">
        <v>0</v>
      </c>
      <c r="AN342" s="16">
        <v>0</v>
      </c>
      <c r="AO342" s="16">
        <v>0</v>
      </c>
      <c r="AP342" s="16">
        <v>0</v>
      </c>
      <c r="AQ342" s="16">
        <v>0</v>
      </c>
      <c r="AR342" s="16">
        <v>0</v>
      </c>
      <c r="AS342" s="16">
        <v>0</v>
      </c>
      <c r="AT342" s="16">
        <v>0</v>
      </c>
      <c r="AU342" s="16">
        <v>0</v>
      </c>
      <c r="AV342" s="16">
        <v>0</v>
      </c>
    </row>
    <row r="343" spans="1:48" ht="14.25" customHeight="1">
      <c r="A343" s="13"/>
      <c r="B343" s="14"/>
      <c r="C343" s="14"/>
      <c r="D343" s="14"/>
      <c r="E343" s="14"/>
      <c r="F343" s="14"/>
      <c r="G343" s="14"/>
      <c r="H343" s="14"/>
      <c r="I343" s="14"/>
      <c r="J343" s="14"/>
      <c r="K343" s="15">
        <f t="shared" si="12"/>
        <v>0</v>
      </c>
      <c r="L343" s="24"/>
      <c r="M343" s="14"/>
      <c r="N343" s="49"/>
      <c r="O343" s="24"/>
      <c r="P343" s="24">
        <f t="shared" si="15"/>
        <v>0</v>
      </c>
      <c r="Q343" s="23"/>
      <c r="R343" s="24"/>
      <c r="S343" s="49"/>
      <c r="T343" s="24"/>
      <c r="U343" s="24">
        <f t="shared" si="16"/>
        <v>0</v>
      </c>
      <c r="V343" s="24"/>
      <c r="AA343" s="16">
        <v>0</v>
      </c>
      <c r="AB343" s="16">
        <v>0</v>
      </c>
      <c r="AC343" s="16">
        <v>0</v>
      </c>
      <c r="AD343" s="16">
        <v>0</v>
      </c>
      <c r="AE343" s="16">
        <v>0</v>
      </c>
      <c r="AF343" s="16">
        <v>0</v>
      </c>
      <c r="AG343" s="16">
        <v>0</v>
      </c>
      <c r="AH343" s="16">
        <v>0</v>
      </c>
      <c r="AI343" s="16">
        <v>0</v>
      </c>
      <c r="AJ343" s="16">
        <v>0</v>
      </c>
      <c r="AK343" s="16">
        <v>0</v>
      </c>
      <c r="AL343" s="16">
        <v>0</v>
      </c>
      <c r="AM343" s="16">
        <v>0</v>
      </c>
      <c r="AN343" s="16">
        <v>0</v>
      </c>
      <c r="AO343" s="16">
        <v>0</v>
      </c>
      <c r="AP343" s="16">
        <v>0</v>
      </c>
      <c r="AQ343" s="16">
        <v>0</v>
      </c>
      <c r="AR343" s="16">
        <v>0</v>
      </c>
      <c r="AS343" s="16">
        <v>0</v>
      </c>
      <c r="AT343" s="16">
        <v>0</v>
      </c>
      <c r="AU343" s="16">
        <v>0</v>
      </c>
      <c r="AV343" s="16">
        <v>0</v>
      </c>
    </row>
    <row r="344" spans="1:48" ht="14.25" customHeight="1">
      <c r="A344" s="13"/>
      <c r="B344" s="14"/>
      <c r="C344" s="14"/>
      <c r="D344" s="14"/>
      <c r="E344" s="14"/>
      <c r="F344" s="14"/>
      <c r="G344" s="14"/>
      <c r="H344" s="14"/>
      <c r="I344" s="14"/>
      <c r="J344" s="14"/>
      <c r="K344" s="15">
        <f t="shared" si="12"/>
        <v>0</v>
      </c>
      <c r="L344" s="24"/>
      <c r="M344" s="14"/>
      <c r="N344" s="49"/>
      <c r="O344" s="24"/>
      <c r="P344" s="24">
        <f t="shared" si="15"/>
        <v>0</v>
      </c>
      <c r="Q344" s="23"/>
      <c r="R344" s="24"/>
      <c r="S344" s="49"/>
      <c r="T344" s="24"/>
      <c r="U344" s="24">
        <f t="shared" si="16"/>
        <v>0</v>
      </c>
      <c r="V344" s="24"/>
      <c r="AA344" s="16">
        <v>0</v>
      </c>
      <c r="AB344" s="16">
        <v>0</v>
      </c>
      <c r="AC344" s="16">
        <v>0</v>
      </c>
      <c r="AD344" s="16">
        <v>0</v>
      </c>
      <c r="AE344" s="16">
        <v>0</v>
      </c>
      <c r="AF344" s="16">
        <v>0</v>
      </c>
      <c r="AG344" s="16">
        <v>0</v>
      </c>
      <c r="AH344" s="16">
        <v>0</v>
      </c>
      <c r="AI344" s="16">
        <v>0</v>
      </c>
      <c r="AJ344" s="16">
        <v>0</v>
      </c>
      <c r="AK344" s="16">
        <v>0</v>
      </c>
      <c r="AL344" s="16">
        <v>0</v>
      </c>
      <c r="AM344" s="16">
        <v>0</v>
      </c>
      <c r="AN344" s="16">
        <v>0</v>
      </c>
      <c r="AO344" s="16">
        <v>0</v>
      </c>
      <c r="AP344" s="16">
        <v>0</v>
      </c>
      <c r="AQ344" s="16">
        <v>0</v>
      </c>
      <c r="AR344" s="16">
        <v>0</v>
      </c>
      <c r="AS344" s="16">
        <v>0</v>
      </c>
      <c r="AT344" s="16">
        <v>0</v>
      </c>
      <c r="AU344" s="16">
        <v>0</v>
      </c>
      <c r="AV344" s="16">
        <v>0</v>
      </c>
    </row>
    <row r="345" spans="1:48" ht="14.25" customHeight="1">
      <c r="A345" s="13"/>
      <c r="B345" s="14"/>
      <c r="C345" s="14"/>
      <c r="D345" s="14"/>
      <c r="E345" s="14"/>
      <c r="F345" s="14"/>
      <c r="G345" s="14"/>
      <c r="H345" s="14"/>
      <c r="I345" s="14"/>
      <c r="J345" s="14"/>
      <c r="K345" s="15">
        <f t="shared" si="12"/>
        <v>0</v>
      </c>
      <c r="L345" s="24"/>
      <c r="M345" s="14"/>
      <c r="N345" s="49"/>
      <c r="O345" s="24"/>
      <c r="P345" s="24">
        <f t="shared" si="15"/>
        <v>0</v>
      </c>
      <c r="Q345" s="23"/>
      <c r="R345" s="24"/>
      <c r="S345" s="49"/>
      <c r="T345" s="24"/>
      <c r="U345" s="24">
        <f t="shared" si="16"/>
        <v>0</v>
      </c>
      <c r="V345" s="24"/>
      <c r="AA345" s="16">
        <v>0</v>
      </c>
      <c r="AB345" s="16">
        <v>0</v>
      </c>
      <c r="AC345" s="16">
        <v>0</v>
      </c>
      <c r="AD345" s="16">
        <v>0</v>
      </c>
      <c r="AE345" s="16">
        <v>0</v>
      </c>
      <c r="AF345" s="16">
        <v>0</v>
      </c>
      <c r="AG345" s="16">
        <v>0</v>
      </c>
      <c r="AH345" s="16">
        <v>0</v>
      </c>
      <c r="AI345" s="16">
        <v>0</v>
      </c>
      <c r="AJ345" s="16">
        <v>0</v>
      </c>
      <c r="AK345" s="16">
        <v>0</v>
      </c>
      <c r="AL345" s="16">
        <v>0</v>
      </c>
      <c r="AM345" s="16">
        <v>0</v>
      </c>
      <c r="AN345" s="16">
        <v>0</v>
      </c>
      <c r="AO345" s="16">
        <v>0</v>
      </c>
      <c r="AP345" s="16">
        <v>0</v>
      </c>
      <c r="AQ345" s="16">
        <v>0</v>
      </c>
      <c r="AR345" s="16">
        <v>0</v>
      </c>
      <c r="AS345" s="16">
        <v>0</v>
      </c>
      <c r="AT345" s="16">
        <v>0</v>
      </c>
      <c r="AU345" s="16">
        <v>0</v>
      </c>
      <c r="AV345" s="16">
        <v>0</v>
      </c>
    </row>
    <row r="346" spans="1:48" ht="14.25" customHeight="1">
      <c r="A346" s="13"/>
      <c r="B346" s="14"/>
      <c r="C346" s="14"/>
      <c r="D346" s="14"/>
      <c r="E346" s="14"/>
      <c r="F346" s="14"/>
      <c r="G346" s="14"/>
      <c r="H346" s="14"/>
      <c r="I346" s="14"/>
      <c r="J346" s="14"/>
      <c r="K346" s="15">
        <f t="shared" si="12"/>
        <v>0</v>
      </c>
      <c r="L346" s="24"/>
      <c r="M346" s="14"/>
      <c r="N346" s="49"/>
      <c r="O346" s="24"/>
      <c r="P346" s="24">
        <f t="shared" si="15"/>
        <v>0</v>
      </c>
      <c r="Q346" s="23"/>
      <c r="R346" s="24"/>
      <c r="S346" s="49"/>
      <c r="T346" s="24"/>
      <c r="U346" s="24">
        <f t="shared" si="16"/>
        <v>0</v>
      </c>
      <c r="V346" s="24"/>
      <c r="AA346" s="16">
        <v>0</v>
      </c>
      <c r="AB346" s="16">
        <v>0</v>
      </c>
      <c r="AC346" s="16">
        <v>0</v>
      </c>
      <c r="AD346" s="16">
        <v>0</v>
      </c>
      <c r="AE346" s="16">
        <v>0</v>
      </c>
      <c r="AF346" s="16">
        <v>0</v>
      </c>
      <c r="AG346" s="16">
        <v>0</v>
      </c>
      <c r="AH346" s="16">
        <v>0</v>
      </c>
      <c r="AI346" s="16">
        <v>0</v>
      </c>
      <c r="AJ346" s="16">
        <v>0</v>
      </c>
      <c r="AK346" s="16">
        <v>0</v>
      </c>
      <c r="AL346" s="16">
        <v>0</v>
      </c>
      <c r="AM346" s="16">
        <v>0</v>
      </c>
      <c r="AN346" s="16">
        <v>0</v>
      </c>
      <c r="AO346" s="16">
        <v>0</v>
      </c>
      <c r="AP346" s="16">
        <v>0</v>
      </c>
      <c r="AQ346" s="16">
        <v>0</v>
      </c>
      <c r="AR346" s="16">
        <v>0</v>
      </c>
      <c r="AS346" s="16">
        <v>0</v>
      </c>
      <c r="AT346" s="16">
        <v>0</v>
      </c>
      <c r="AU346" s="16">
        <v>0</v>
      </c>
      <c r="AV346" s="16">
        <v>0</v>
      </c>
    </row>
    <row r="347" spans="1:48" ht="14.25" customHeight="1">
      <c r="A347" s="13"/>
      <c r="B347" s="14"/>
      <c r="C347" s="14"/>
      <c r="D347" s="14"/>
      <c r="E347" s="14"/>
      <c r="F347" s="14"/>
      <c r="G347" s="14"/>
      <c r="H347" s="14"/>
      <c r="I347" s="14"/>
      <c r="J347" s="14"/>
      <c r="K347" s="15">
        <f t="shared" si="12"/>
        <v>0</v>
      </c>
      <c r="L347" s="24"/>
      <c r="M347" s="14"/>
      <c r="N347" s="49"/>
      <c r="O347" s="24"/>
      <c r="P347" s="24">
        <f t="shared" si="15"/>
        <v>0</v>
      </c>
      <c r="Q347" s="23"/>
      <c r="R347" s="24"/>
      <c r="S347" s="49"/>
      <c r="T347" s="24"/>
      <c r="U347" s="24">
        <f t="shared" si="16"/>
        <v>0</v>
      </c>
      <c r="V347" s="24"/>
      <c r="AA347" s="16">
        <v>0</v>
      </c>
      <c r="AB347" s="16">
        <v>0</v>
      </c>
      <c r="AC347" s="16">
        <v>0</v>
      </c>
      <c r="AD347" s="16">
        <v>0</v>
      </c>
      <c r="AE347" s="16">
        <v>0</v>
      </c>
      <c r="AF347" s="16">
        <v>0</v>
      </c>
      <c r="AG347" s="16">
        <v>0</v>
      </c>
      <c r="AH347" s="16">
        <v>0</v>
      </c>
      <c r="AI347" s="16">
        <v>0</v>
      </c>
      <c r="AJ347" s="16">
        <v>0</v>
      </c>
      <c r="AK347" s="16">
        <v>0</v>
      </c>
      <c r="AL347" s="16">
        <v>0</v>
      </c>
      <c r="AM347" s="16">
        <v>0</v>
      </c>
      <c r="AN347" s="16">
        <v>0</v>
      </c>
      <c r="AO347" s="16">
        <v>0</v>
      </c>
      <c r="AP347" s="16">
        <v>0</v>
      </c>
      <c r="AQ347" s="16">
        <v>0</v>
      </c>
      <c r="AR347" s="16">
        <v>0</v>
      </c>
      <c r="AS347" s="16">
        <v>0</v>
      </c>
      <c r="AT347" s="16">
        <v>0</v>
      </c>
      <c r="AU347" s="16">
        <v>0</v>
      </c>
      <c r="AV347" s="16">
        <v>0</v>
      </c>
    </row>
    <row r="348" spans="1:48" ht="14.25" customHeight="1">
      <c r="A348" s="13"/>
      <c r="B348" s="14"/>
      <c r="C348" s="14"/>
      <c r="D348" s="14"/>
      <c r="E348" s="14"/>
      <c r="F348" s="14"/>
      <c r="G348" s="14"/>
      <c r="H348" s="14"/>
      <c r="I348" s="14"/>
      <c r="J348" s="14"/>
      <c r="K348" s="15">
        <f t="shared" si="12"/>
        <v>0</v>
      </c>
      <c r="L348" s="24"/>
      <c r="M348" s="14"/>
      <c r="N348" s="49"/>
      <c r="O348" s="24"/>
      <c r="P348" s="24">
        <f t="shared" si="15"/>
        <v>0</v>
      </c>
      <c r="Q348" s="23"/>
      <c r="R348" s="24"/>
      <c r="S348" s="49"/>
      <c r="T348" s="24"/>
      <c r="U348" s="24">
        <f t="shared" si="16"/>
        <v>0</v>
      </c>
      <c r="V348" s="24"/>
      <c r="AA348" s="16">
        <v>0</v>
      </c>
      <c r="AB348" s="16">
        <v>0</v>
      </c>
      <c r="AC348" s="16">
        <v>0</v>
      </c>
      <c r="AD348" s="16">
        <v>0</v>
      </c>
      <c r="AE348" s="16">
        <v>0</v>
      </c>
      <c r="AF348" s="16">
        <v>0</v>
      </c>
      <c r="AG348" s="16">
        <v>0</v>
      </c>
      <c r="AH348" s="16">
        <v>0</v>
      </c>
      <c r="AI348" s="16">
        <v>0</v>
      </c>
      <c r="AJ348" s="16">
        <v>0</v>
      </c>
      <c r="AK348" s="16">
        <v>0</v>
      </c>
      <c r="AL348" s="16">
        <v>0</v>
      </c>
      <c r="AM348" s="16">
        <v>0</v>
      </c>
      <c r="AN348" s="16">
        <v>0</v>
      </c>
      <c r="AO348" s="16">
        <v>0</v>
      </c>
      <c r="AP348" s="16">
        <v>0</v>
      </c>
      <c r="AQ348" s="16">
        <v>0</v>
      </c>
      <c r="AR348" s="16">
        <v>0</v>
      </c>
      <c r="AS348" s="16">
        <v>0</v>
      </c>
      <c r="AT348" s="16">
        <v>0</v>
      </c>
      <c r="AU348" s="16">
        <v>0</v>
      </c>
      <c r="AV348" s="16">
        <v>0</v>
      </c>
    </row>
    <row r="349" spans="1:48" ht="14.25" customHeight="1">
      <c r="A349" s="13"/>
      <c r="B349" s="14"/>
      <c r="C349" s="14"/>
      <c r="D349" s="14"/>
      <c r="E349" s="14"/>
      <c r="F349" s="14"/>
      <c r="G349" s="14"/>
      <c r="H349" s="14"/>
      <c r="I349" s="14"/>
      <c r="J349" s="14"/>
      <c r="K349" s="15">
        <f t="shared" si="12"/>
        <v>0</v>
      </c>
      <c r="L349" s="24"/>
      <c r="M349" s="14"/>
      <c r="N349" s="49"/>
      <c r="O349" s="24"/>
      <c r="P349" s="24">
        <f t="shared" si="15"/>
        <v>0</v>
      </c>
      <c r="Q349" s="23"/>
      <c r="R349" s="24"/>
      <c r="S349" s="49"/>
      <c r="T349" s="24"/>
      <c r="U349" s="24">
        <f t="shared" si="16"/>
        <v>0</v>
      </c>
      <c r="V349" s="24"/>
      <c r="AA349" s="16">
        <v>0</v>
      </c>
      <c r="AB349" s="16">
        <v>0</v>
      </c>
      <c r="AC349" s="16">
        <v>0</v>
      </c>
      <c r="AD349" s="16">
        <v>0</v>
      </c>
      <c r="AE349" s="16">
        <v>0</v>
      </c>
      <c r="AF349" s="16">
        <v>0</v>
      </c>
      <c r="AG349" s="16">
        <v>0</v>
      </c>
      <c r="AH349" s="16">
        <v>0</v>
      </c>
      <c r="AI349" s="16">
        <v>0</v>
      </c>
      <c r="AJ349" s="16">
        <v>0</v>
      </c>
      <c r="AK349" s="16">
        <v>0</v>
      </c>
      <c r="AL349" s="16">
        <v>0</v>
      </c>
      <c r="AM349" s="16">
        <v>0</v>
      </c>
      <c r="AN349" s="16">
        <v>0</v>
      </c>
      <c r="AO349" s="16">
        <v>0</v>
      </c>
      <c r="AP349" s="16">
        <v>0</v>
      </c>
      <c r="AQ349" s="16">
        <v>0</v>
      </c>
      <c r="AR349" s="16">
        <v>0</v>
      </c>
      <c r="AS349" s="16">
        <v>0</v>
      </c>
      <c r="AT349" s="16">
        <v>0</v>
      </c>
      <c r="AU349" s="16">
        <v>0</v>
      </c>
      <c r="AV349" s="16">
        <v>0</v>
      </c>
    </row>
    <row r="350" spans="1:48" ht="14.25" customHeight="1">
      <c r="A350" s="13"/>
      <c r="B350" s="14"/>
      <c r="C350" s="14"/>
      <c r="D350" s="14"/>
      <c r="E350" s="14"/>
      <c r="F350" s="14"/>
      <c r="G350" s="14"/>
      <c r="H350" s="14"/>
      <c r="I350" s="14"/>
      <c r="J350" s="14"/>
      <c r="K350" s="15">
        <f t="shared" si="12"/>
        <v>0</v>
      </c>
      <c r="L350" s="24"/>
      <c r="M350" s="14"/>
      <c r="N350" s="49"/>
      <c r="O350" s="24"/>
      <c r="P350" s="24">
        <f t="shared" si="15"/>
        <v>0</v>
      </c>
      <c r="Q350" s="23"/>
      <c r="R350" s="24"/>
      <c r="S350" s="49"/>
      <c r="T350" s="24"/>
      <c r="U350" s="24">
        <f t="shared" si="16"/>
        <v>0</v>
      </c>
      <c r="V350" s="24"/>
      <c r="AA350" s="16">
        <v>0</v>
      </c>
      <c r="AB350" s="16">
        <v>0</v>
      </c>
      <c r="AC350" s="16">
        <v>0</v>
      </c>
      <c r="AD350" s="16">
        <v>0</v>
      </c>
      <c r="AE350" s="16">
        <v>0</v>
      </c>
      <c r="AF350" s="16">
        <v>0</v>
      </c>
      <c r="AG350" s="16">
        <v>0</v>
      </c>
      <c r="AH350" s="16">
        <v>0</v>
      </c>
      <c r="AI350" s="16">
        <v>0</v>
      </c>
      <c r="AJ350" s="16">
        <v>0</v>
      </c>
      <c r="AK350" s="16">
        <v>0</v>
      </c>
      <c r="AL350" s="16">
        <v>0</v>
      </c>
      <c r="AM350" s="16">
        <v>0</v>
      </c>
      <c r="AN350" s="16">
        <v>0</v>
      </c>
      <c r="AO350" s="16">
        <v>0</v>
      </c>
      <c r="AP350" s="16">
        <v>0</v>
      </c>
      <c r="AQ350" s="16">
        <v>0</v>
      </c>
      <c r="AR350" s="16">
        <v>0</v>
      </c>
      <c r="AS350" s="16">
        <v>0</v>
      </c>
      <c r="AT350" s="16">
        <v>0</v>
      </c>
      <c r="AU350" s="16">
        <v>0</v>
      </c>
      <c r="AV350" s="16">
        <v>0</v>
      </c>
    </row>
    <row r="351" spans="1:48" ht="14.25" customHeight="1">
      <c r="A351" s="13"/>
      <c r="B351" s="14"/>
      <c r="C351" s="14"/>
      <c r="D351" s="14"/>
      <c r="E351" s="14"/>
      <c r="F351" s="14"/>
      <c r="G351" s="14"/>
      <c r="H351" s="14"/>
      <c r="I351" s="14"/>
      <c r="J351" s="14"/>
      <c r="K351" s="15">
        <f t="shared" si="12"/>
        <v>0</v>
      </c>
      <c r="L351" s="24"/>
      <c r="M351" s="14"/>
      <c r="N351" s="49"/>
      <c r="O351" s="24"/>
      <c r="P351" s="24">
        <f t="shared" si="15"/>
        <v>0</v>
      </c>
      <c r="Q351" s="23"/>
      <c r="R351" s="24"/>
      <c r="S351" s="49"/>
      <c r="T351" s="24"/>
      <c r="U351" s="24">
        <f t="shared" si="16"/>
        <v>0</v>
      </c>
      <c r="V351" s="24"/>
      <c r="AA351" s="16">
        <v>0</v>
      </c>
      <c r="AB351" s="16">
        <v>0</v>
      </c>
      <c r="AC351" s="16">
        <v>0</v>
      </c>
      <c r="AD351" s="16">
        <v>0</v>
      </c>
      <c r="AE351" s="16">
        <v>0</v>
      </c>
      <c r="AF351" s="16">
        <v>0</v>
      </c>
      <c r="AG351" s="16">
        <v>0</v>
      </c>
      <c r="AH351" s="16">
        <v>0</v>
      </c>
      <c r="AI351" s="16">
        <v>0</v>
      </c>
      <c r="AJ351" s="16">
        <v>0</v>
      </c>
      <c r="AK351" s="16">
        <v>0</v>
      </c>
      <c r="AL351" s="16">
        <v>0</v>
      </c>
      <c r="AM351" s="16">
        <v>0</v>
      </c>
      <c r="AN351" s="16">
        <v>0</v>
      </c>
      <c r="AO351" s="16">
        <v>0</v>
      </c>
      <c r="AP351" s="16">
        <v>0</v>
      </c>
      <c r="AQ351" s="16">
        <v>0</v>
      </c>
      <c r="AR351" s="16">
        <v>0</v>
      </c>
      <c r="AS351" s="16">
        <v>0</v>
      </c>
      <c r="AT351" s="16">
        <v>0</v>
      </c>
      <c r="AU351" s="16">
        <v>0</v>
      </c>
      <c r="AV351" s="16">
        <v>0</v>
      </c>
    </row>
    <row r="352" spans="1:48" ht="14.25" customHeight="1">
      <c r="A352" s="13"/>
      <c r="B352" s="14"/>
      <c r="C352" s="14"/>
      <c r="D352" s="14"/>
      <c r="E352" s="14"/>
      <c r="F352" s="14"/>
      <c r="G352" s="14"/>
      <c r="H352" s="14"/>
      <c r="I352" s="14"/>
      <c r="J352" s="14"/>
      <c r="K352" s="15">
        <f t="shared" si="12"/>
        <v>0</v>
      </c>
      <c r="L352" s="24"/>
      <c r="M352" s="14"/>
      <c r="N352" s="49"/>
      <c r="O352" s="24"/>
      <c r="P352" s="24">
        <f t="shared" si="15"/>
        <v>0</v>
      </c>
      <c r="Q352" s="23"/>
      <c r="R352" s="24"/>
      <c r="S352" s="49"/>
      <c r="T352" s="24"/>
      <c r="U352" s="24">
        <f t="shared" si="16"/>
        <v>0</v>
      </c>
      <c r="V352" s="24"/>
      <c r="AA352" s="16">
        <v>0</v>
      </c>
      <c r="AB352" s="16">
        <v>0</v>
      </c>
      <c r="AC352" s="16">
        <v>0</v>
      </c>
      <c r="AD352" s="16">
        <v>0</v>
      </c>
      <c r="AE352" s="16">
        <v>0</v>
      </c>
      <c r="AF352" s="16">
        <v>0</v>
      </c>
      <c r="AG352" s="16">
        <v>0</v>
      </c>
      <c r="AH352" s="16">
        <v>0</v>
      </c>
      <c r="AI352" s="16">
        <v>0</v>
      </c>
      <c r="AJ352" s="16">
        <v>0</v>
      </c>
      <c r="AK352" s="16">
        <v>0</v>
      </c>
      <c r="AL352" s="16">
        <v>0</v>
      </c>
      <c r="AM352" s="16">
        <v>0</v>
      </c>
      <c r="AN352" s="16">
        <v>0</v>
      </c>
      <c r="AO352" s="16">
        <v>0</v>
      </c>
      <c r="AP352" s="16">
        <v>0</v>
      </c>
      <c r="AQ352" s="16">
        <v>0</v>
      </c>
      <c r="AR352" s="16">
        <v>0</v>
      </c>
      <c r="AS352" s="16">
        <v>0</v>
      </c>
      <c r="AT352" s="16">
        <v>0</v>
      </c>
      <c r="AU352" s="16">
        <v>0</v>
      </c>
      <c r="AV352" s="16">
        <v>0</v>
      </c>
    </row>
    <row r="353" spans="1:48" ht="14.25" customHeight="1">
      <c r="A353" s="13"/>
      <c r="B353" s="14"/>
      <c r="C353" s="14"/>
      <c r="D353" s="14"/>
      <c r="E353" s="14"/>
      <c r="F353" s="14"/>
      <c r="G353" s="14"/>
      <c r="H353" s="14"/>
      <c r="I353" s="14"/>
      <c r="J353" s="14"/>
      <c r="K353" s="15">
        <f t="shared" si="12"/>
        <v>0</v>
      </c>
      <c r="L353" s="24"/>
      <c r="M353" s="14"/>
      <c r="N353" s="49"/>
      <c r="O353" s="24"/>
      <c r="P353" s="24">
        <f t="shared" si="15"/>
        <v>0</v>
      </c>
      <c r="Q353" s="23"/>
      <c r="R353" s="24"/>
      <c r="S353" s="49"/>
      <c r="T353" s="24"/>
      <c r="U353" s="24">
        <f t="shared" si="16"/>
        <v>0</v>
      </c>
      <c r="V353" s="24"/>
      <c r="AA353" s="16">
        <v>0</v>
      </c>
      <c r="AB353" s="16">
        <v>0</v>
      </c>
      <c r="AC353" s="16">
        <v>0</v>
      </c>
      <c r="AD353" s="16">
        <v>0</v>
      </c>
      <c r="AE353" s="16">
        <v>0</v>
      </c>
      <c r="AF353" s="16">
        <v>0</v>
      </c>
      <c r="AG353" s="16">
        <v>0</v>
      </c>
      <c r="AH353" s="16">
        <v>0</v>
      </c>
      <c r="AI353" s="16">
        <v>0</v>
      </c>
      <c r="AJ353" s="16">
        <v>0</v>
      </c>
      <c r="AK353" s="16">
        <v>0</v>
      </c>
      <c r="AL353" s="16">
        <v>0</v>
      </c>
      <c r="AM353" s="16">
        <v>0</v>
      </c>
      <c r="AN353" s="16">
        <v>0</v>
      </c>
      <c r="AO353" s="16">
        <v>0</v>
      </c>
      <c r="AP353" s="16">
        <v>0</v>
      </c>
      <c r="AQ353" s="16">
        <v>0</v>
      </c>
      <c r="AR353" s="16">
        <v>0</v>
      </c>
      <c r="AS353" s="16">
        <v>0</v>
      </c>
      <c r="AT353" s="16">
        <v>0</v>
      </c>
      <c r="AU353" s="16">
        <v>0</v>
      </c>
      <c r="AV353" s="16">
        <v>0</v>
      </c>
    </row>
    <row r="354" spans="1:48" ht="14.25" customHeight="1">
      <c r="A354" s="13"/>
      <c r="B354" s="14"/>
      <c r="C354" s="14"/>
      <c r="D354" s="14"/>
      <c r="E354" s="14"/>
      <c r="F354" s="14"/>
      <c r="G354" s="14"/>
      <c r="H354" s="14"/>
      <c r="I354" s="14"/>
      <c r="J354" s="14"/>
      <c r="K354" s="15">
        <f t="shared" si="12"/>
        <v>0</v>
      </c>
      <c r="L354" s="24"/>
      <c r="M354" s="14"/>
      <c r="N354" s="49"/>
      <c r="O354" s="24"/>
      <c r="P354" s="24">
        <f t="shared" si="15"/>
        <v>0</v>
      </c>
      <c r="Q354" s="23"/>
      <c r="R354" s="24"/>
      <c r="S354" s="49"/>
      <c r="T354" s="24"/>
      <c r="U354" s="24">
        <f t="shared" si="16"/>
        <v>0</v>
      </c>
      <c r="V354" s="24"/>
      <c r="AA354" s="16">
        <v>0</v>
      </c>
      <c r="AB354" s="16">
        <v>0</v>
      </c>
      <c r="AC354" s="16">
        <v>0</v>
      </c>
      <c r="AD354" s="16">
        <v>0</v>
      </c>
      <c r="AE354" s="16">
        <v>0</v>
      </c>
      <c r="AF354" s="16">
        <v>0</v>
      </c>
      <c r="AG354" s="16">
        <v>0</v>
      </c>
      <c r="AH354" s="16">
        <v>0</v>
      </c>
      <c r="AI354" s="16">
        <v>0</v>
      </c>
      <c r="AJ354" s="16">
        <v>0</v>
      </c>
      <c r="AK354" s="16">
        <v>0</v>
      </c>
      <c r="AL354" s="16">
        <v>0</v>
      </c>
      <c r="AM354" s="16">
        <v>0</v>
      </c>
      <c r="AN354" s="16">
        <v>0</v>
      </c>
      <c r="AO354" s="16">
        <v>0</v>
      </c>
      <c r="AP354" s="16">
        <v>0</v>
      </c>
      <c r="AQ354" s="16">
        <v>0</v>
      </c>
      <c r="AR354" s="16">
        <v>0</v>
      </c>
      <c r="AS354" s="16">
        <v>0</v>
      </c>
      <c r="AT354" s="16">
        <v>0</v>
      </c>
      <c r="AU354" s="16">
        <v>0</v>
      </c>
      <c r="AV354" s="16">
        <v>0</v>
      </c>
    </row>
    <row r="355" spans="1:48" ht="14.25" customHeight="1">
      <c r="A355" s="13"/>
      <c r="B355" s="14"/>
      <c r="C355" s="14"/>
      <c r="D355" s="14"/>
      <c r="E355" s="14"/>
      <c r="F355" s="14"/>
      <c r="G355" s="14"/>
      <c r="H355" s="14"/>
      <c r="I355" s="14"/>
      <c r="J355" s="14"/>
      <c r="K355" s="15">
        <f t="shared" si="12"/>
        <v>0</v>
      </c>
      <c r="L355" s="24"/>
      <c r="M355" s="14"/>
      <c r="N355" s="49"/>
      <c r="O355" s="24"/>
      <c r="P355" s="24">
        <f t="shared" si="15"/>
        <v>0</v>
      </c>
      <c r="Q355" s="23"/>
      <c r="R355" s="24"/>
      <c r="S355" s="49"/>
      <c r="T355" s="24"/>
      <c r="U355" s="24">
        <f t="shared" si="16"/>
        <v>0</v>
      </c>
      <c r="V355" s="24"/>
      <c r="AA355" s="16">
        <v>0</v>
      </c>
      <c r="AB355" s="16">
        <v>0</v>
      </c>
      <c r="AC355" s="16">
        <v>0</v>
      </c>
      <c r="AD355" s="16">
        <v>0</v>
      </c>
      <c r="AE355" s="16">
        <v>0</v>
      </c>
      <c r="AF355" s="16">
        <v>0</v>
      </c>
      <c r="AG355" s="16">
        <v>0</v>
      </c>
      <c r="AH355" s="16">
        <v>0</v>
      </c>
      <c r="AI355" s="16">
        <v>0</v>
      </c>
      <c r="AJ355" s="16">
        <v>0</v>
      </c>
      <c r="AK355" s="16">
        <v>0</v>
      </c>
      <c r="AL355" s="16">
        <v>0</v>
      </c>
      <c r="AM355" s="16">
        <v>0</v>
      </c>
      <c r="AN355" s="16">
        <v>0</v>
      </c>
      <c r="AO355" s="16">
        <v>0</v>
      </c>
      <c r="AP355" s="16">
        <v>0</v>
      </c>
      <c r="AQ355" s="16">
        <v>0</v>
      </c>
      <c r="AR355" s="16">
        <v>0</v>
      </c>
      <c r="AS355" s="16">
        <v>0</v>
      </c>
      <c r="AT355" s="16">
        <v>0</v>
      </c>
      <c r="AU355" s="16">
        <v>0</v>
      </c>
      <c r="AV355" s="16">
        <v>0</v>
      </c>
    </row>
    <row r="356" spans="1:48" ht="14.25" customHeight="1">
      <c r="A356" s="13"/>
      <c r="B356" s="14"/>
      <c r="C356" s="14"/>
      <c r="D356" s="14"/>
      <c r="E356" s="14"/>
      <c r="F356" s="14"/>
      <c r="G356" s="14"/>
      <c r="H356" s="14"/>
      <c r="I356" s="14"/>
      <c r="J356" s="14"/>
      <c r="K356" s="15">
        <f t="shared" si="12"/>
        <v>0</v>
      </c>
      <c r="L356" s="24"/>
      <c r="M356" s="14"/>
      <c r="N356" s="49"/>
      <c r="O356" s="24"/>
      <c r="P356" s="24">
        <f t="shared" si="15"/>
        <v>0</v>
      </c>
      <c r="Q356" s="23"/>
      <c r="R356" s="24"/>
      <c r="S356" s="49"/>
      <c r="T356" s="24"/>
      <c r="U356" s="24">
        <f t="shared" si="16"/>
        <v>0</v>
      </c>
      <c r="V356" s="24"/>
      <c r="AA356" s="16">
        <v>0</v>
      </c>
      <c r="AB356" s="16">
        <v>0</v>
      </c>
      <c r="AC356" s="16">
        <v>0</v>
      </c>
      <c r="AD356" s="16">
        <v>0</v>
      </c>
      <c r="AE356" s="16">
        <v>0</v>
      </c>
      <c r="AF356" s="16">
        <v>0</v>
      </c>
      <c r="AG356" s="16">
        <v>0</v>
      </c>
      <c r="AH356" s="16">
        <v>0</v>
      </c>
      <c r="AI356" s="16">
        <v>0</v>
      </c>
      <c r="AJ356" s="16">
        <v>0</v>
      </c>
      <c r="AK356" s="16">
        <v>0</v>
      </c>
      <c r="AL356" s="16">
        <v>0</v>
      </c>
      <c r="AM356" s="16">
        <v>0</v>
      </c>
      <c r="AN356" s="16">
        <v>0</v>
      </c>
      <c r="AO356" s="16">
        <v>0</v>
      </c>
      <c r="AP356" s="16">
        <v>0</v>
      </c>
      <c r="AQ356" s="16">
        <v>0</v>
      </c>
      <c r="AR356" s="16">
        <v>0</v>
      </c>
      <c r="AS356" s="16">
        <v>0</v>
      </c>
      <c r="AT356" s="16">
        <v>0</v>
      </c>
      <c r="AU356" s="16">
        <v>0</v>
      </c>
      <c r="AV356" s="16">
        <v>0</v>
      </c>
    </row>
    <row r="357" spans="1:48" ht="14.25" customHeight="1">
      <c r="A357" s="13"/>
      <c r="B357" s="14"/>
      <c r="C357" s="14"/>
      <c r="D357" s="14"/>
      <c r="E357" s="14"/>
      <c r="F357" s="14"/>
      <c r="G357" s="14"/>
      <c r="H357" s="14"/>
      <c r="I357" s="14"/>
      <c r="J357" s="14"/>
      <c r="K357" s="15">
        <f t="shared" si="12"/>
        <v>0</v>
      </c>
      <c r="L357" s="24"/>
      <c r="M357" s="14"/>
      <c r="N357" s="49"/>
      <c r="O357" s="24"/>
      <c r="P357" s="24">
        <f t="shared" si="15"/>
        <v>0</v>
      </c>
      <c r="Q357" s="23"/>
      <c r="R357" s="24"/>
      <c r="S357" s="49"/>
      <c r="T357" s="24"/>
      <c r="U357" s="24">
        <f t="shared" si="16"/>
        <v>0</v>
      </c>
      <c r="V357" s="24"/>
      <c r="AA357" s="16">
        <v>0</v>
      </c>
      <c r="AB357" s="16">
        <v>0</v>
      </c>
      <c r="AC357" s="16">
        <v>0</v>
      </c>
      <c r="AD357" s="16">
        <v>0</v>
      </c>
      <c r="AE357" s="16">
        <v>0</v>
      </c>
      <c r="AF357" s="16">
        <v>0</v>
      </c>
      <c r="AG357" s="16">
        <v>0</v>
      </c>
      <c r="AH357" s="16">
        <v>0</v>
      </c>
      <c r="AI357" s="16">
        <v>0</v>
      </c>
      <c r="AJ357" s="16">
        <v>0</v>
      </c>
      <c r="AK357" s="16">
        <v>0</v>
      </c>
      <c r="AL357" s="16">
        <v>0</v>
      </c>
      <c r="AM357" s="16">
        <v>0</v>
      </c>
      <c r="AN357" s="16">
        <v>0</v>
      </c>
      <c r="AO357" s="16">
        <v>0</v>
      </c>
      <c r="AP357" s="16">
        <v>0</v>
      </c>
      <c r="AQ357" s="16">
        <v>0</v>
      </c>
      <c r="AR357" s="16">
        <v>0</v>
      </c>
      <c r="AS357" s="16">
        <v>0</v>
      </c>
      <c r="AT357" s="16">
        <v>0</v>
      </c>
      <c r="AU357" s="16">
        <v>0</v>
      </c>
      <c r="AV357" s="16">
        <v>0</v>
      </c>
    </row>
    <row r="358" spans="1:48" ht="14.25" customHeight="1">
      <c r="A358" s="13"/>
      <c r="B358" s="14"/>
      <c r="C358" s="14"/>
      <c r="D358" s="14"/>
      <c r="E358" s="14"/>
      <c r="F358" s="14"/>
      <c r="G358" s="14"/>
      <c r="H358" s="14"/>
      <c r="I358" s="14"/>
      <c r="J358" s="14"/>
      <c r="K358" s="15">
        <f t="shared" si="12"/>
        <v>0</v>
      </c>
      <c r="L358" s="24"/>
      <c r="M358" s="14"/>
      <c r="N358" s="49"/>
      <c r="O358" s="24"/>
      <c r="P358" s="24">
        <f t="shared" si="15"/>
        <v>0</v>
      </c>
      <c r="Q358" s="23"/>
      <c r="R358" s="24"/>
      <c r="S358" s="49"/>
      <c r="T358" s="24"/>
      <c r="U358" s="24">
        <f t="shared" si="16"/>
        <v>0</v>
      </c>
      <c r="V358" s="24"/>
      <c r="AA358" s="16">
        <v>0</v>
      </c>
      <c r="AB358" s="16">
        <v>0</v>
      </c>
      <c r="AC358" s="16">
        <v>0</v>
      </c>
      <c r="AD358" s="16">
        <v>0</v>
      </c>
      <c r="AE358" s="16">
        <v>0</v>
      </c>
      <c r="AF358" s="16">
        <v>0</v>
      </c>
      <c r="AG358" s="16">
        <v>0</v>
      </c>
      <c r="AH358" s="16">
        <v>0</v>
      </c>
      <c r="AI358" s="16">
        <v>0</v>
      </c>
      <c r="AJ358" s="16">
        <v>0</v>
      </c>
      <c r="AK358" s="16">
        <v>0</v>
      </c>
      <c r="AL358" s="16">
        <v>0</v>
      </c>
      <c r="AM358" s="16">
        <v>0</v>
      </c>
      <c r="AN358" s="16">
        <v>0</v>
      </c>
      <c r="AO358" s="16">
        <v>0</v>
      </c>
      <c r="AP358" s="16">
        <v>0</v>
      </c>
      <c r="AQ358" s="16">
        <v>0</v>
      </c>
      <c r="AR358" s="16">
        <v>0</v>
      </c>
      <c r="AS358" s="16">
        <v>0</v>
      </c>
      <c r="AT358" s="16">
        <v>0</v>
      </c>
      <c r="AU358" s="16">
        <v>0</v>
      </c>
      <c r="AV358" s="16">
        <v>0</v>
      </c>
    </row>
    <row r="359" spans="1:48" ht="14.25" customHeight="1">
      <c r="A359" s="13"/>
      <c r="B359" s="14"/>
      <c r="C359" s="14"/>
      <c r="D359" s="14"/>
      <c r="E359" s="14"/>
      <c r="F359" s="14"/>
      <c r="G359" s="14"/>
      <c r="H359" s="14"/>
      <c r="I359" s="14"/>
      <c r="J359" s="14"/>
      <c r="K359" s="15">
        <f t="shared" si="12"/>
        <v>0</v>
      </c>
      <c r="L359" s="24"/>
      <c r="M359" s="14"/>
      <c r="N359" s="49"/>
      <c r="O359" s="24"/>
      <c r="P359" s="24">
        <f t="shared" si="15"/>
        <v>0</v>
      </c>
      <c r="Q359" s="23"/>
      <c r="R359" s="24"/>
      <c r="S359" s="49"/>
      <c r="T359" s="24"/>
      <c r="U359" s="24">
        <f t="shared" si="16"/>
        <v>0</v>
      </c>
      <c r="V359" s="24"/>
      <c r="AA359" s="16">
        <v>0</v>
      </c>
      <c r="AB359" s="16">
        <v>0</v>
      </c>
      <c r="AC359" s="16">
        <v>0</v>
      </c>
      <c r="AD359" s="16">
        <v>0</v>
      </c>
      <c r="AE359" s="16">
        <v>0</v>
      </c>
      <c r="AF359" s="16">
        <v>0</v>
      </c>
      <c r="AG359" s="16">
        <v>0</v>
      </c>
      <c r="AH359" s="16">
        <v>0</v>
      </c>
      <c r="AI359" s="16">
        <v>0</v>
      </c>
      <c r="AJ359" s="16">
        <v>0</v>
      </c>
      <c r="AK359" s="16">
        <v>0</v>
      </c>
      <c r="AL359" s="16">
        <v>0</v>
      </c>
      <c r="AM359" s="16">
        <v>0</v>
      </c>
      <c r="AN359" s="16">
        <v>0</v>
      </c>
      <c r="AO359" s="16">
        <v>0</v>
      </c>
      <c r="AP359" s="16">
        <v>0</v>
      </c>
      <c r="AQ359" s="16">
        <v>0</v>
      </c>
      <c r="AR359" s="16">
        <v>0</v>
      </c>
      <c r="AS359" s="16">
        <v>0</v>
      </c>
      <c r="AT359" s="16">
        <v>0</v>
      </c>
      <c r="AU359" s="16">
        <v>0</v>
      </c>
      <c r="AV359" s="16">
        <v>0</v>
      </c>
    </row>
    <row r="360" spans="1:48" ht="14.25" customHeight="1">
      <c r="A360" s="13"/>
      <c r="B360" s="14"/>
      <c r="C360" s="14"/>
      <c r="D360" s="14"/>
      <c r="E360" s="14"/>
      <c r="F360" s="14"/>
      <c r="G360" s="14"/>
      <c r="H360" s="14"/>
      <c r="I360" s="14"/>
      <c r="J360" s="14"/>
      <c r="K360" s="15">
        <f t="shared" si="12"/>
        <v>0</v>
      </c>
      <c r="L360" s="24"/>
      <c r="M360" s="14"/>
      <c r="N360" s="49"/>
      <c r="O360" s="24"/>
      <c r="P360" s="24">
        <f t="shared" si="15"/>
        <v>0</v>
      </c>
      <c r="Q360" s="23"/>
      <c r="R360" s="24"/>
      <c r="S360" s="49"/>
      <c r="T360" s="24"/>
      <c r="U360" s="24">
        <f t="shared" si="16"/>
        <v>0</v>
      </c>
      <c r="V360" s="24"/>
      <c r="AA360" s="16">
        <v>0</v>
      </c>
      <c r="AB360" s="16">
        <v>0</v>
      </c>
      <c r="AC360" s="16">
        <v>0</v>
      </c>
      <c r="AD360" s="16">
        <v>0</v>
      </c>
      <c r="AE360" s="16">
        <v>0</v>
      </c>
      <c r="AF360" s="16">
        <v>0</v>
      </c>
      <c r="AG360" s="16">
        <v>0</v>
      </c>
      <c r="AH360" s="16">
        <v>0</v>
      </c>
      <c r="AI360" s="16">
        <v>0</v>
      </c>
      <c r="AJ360" s="16">
        <v>0</v>
      </c>
      <c r="AK360" s="16">
        <v>0</v>
      </c>
      <c r="AL360" s="16">
        <v>0</v>
      </c>
      <c r="AM360" s="16">
        <v>0</v>
      </c>
      <c r="AN360" s="16">
        <v>0</v>
      </c>
      <c r="AO360" s="16">
        <v>0</v>
      </c>
      <c r="AP360" s="16">
        <v>0</v>
      </c>
      <c r="AQ360" s="16">
        <v>0</v>
      </c>
      <c r="AR360" s="16">
        <v>0</v>
      </c>
      <c r="AS360" s="16">
        <v>0</v>
      </c>
      <c r="AT360" s="16">
        <v>0</v>
      </c>
      <c r="AU360" s="16">
        <v>0</v>
      </c>
      <c r="AV360" s="16">
        <v>0</v>
      </c>
    </row>
    <row r="361" spans="1:48" ht="14.25" customHeight="1">
      <c r="A361" s="13"/>
      <c r="B361" s="14"/>
      <c r="C361" s="14"/>
      <c r="D361" s="14"/>
      <c r="E361" s="14"/>
      <c r="F361" s="14"/>
      <c r="G361" s="14"/>
      <c r="H361" s="14"/>
      <c r="I361" s="14"/>
      <c r="J361" s="14"/>
      <c r="K361" s="15">
        <f t="shared" si="12"/>
        <v>0</v>
      </c>
      <c r="L361" s="24"/>
      <c r="M361" s="14"/>
      <c r="N361" s="49"/>
      <c r="O361" s="24"/>
      <c r="P361" s="24">
        <f t="shared" si="15"/>
        <v>0</v>
      </c>
      <c r="Q361" s="23"/>
      <c r="R361" s="24"/>
      <c r="S361" s="49"/>
      <c r="T361" s="24"/>
      <c r="U361" s="24">
        <f t="shared" si="16"/>
        <v>0</v>
      </c>
      <c r="V361" s="24"/>
      <c r="AA361" s="16">
        <v>0</v>
      </c>
      <c r="AB361" s="16">
        <v>0</v>
      </c>
      <c r="AC361" s="16">
        <v>0</v>
      </c>
      <c r="AD361" s="16">
        <v>0</v>
      </c>
      <c r="AE361" s="16">
        <v>0</v>
      </c>
      <c r="AF361" s="16">
        <v>0</v>
      </c>
      <c r="AG361" s="16">
        <v>0</v>
      </c>
      <c r="AH361" s="16">
        <v>0</v>
      </c>
      <c r="AI361" s="16">
        <v>0</v>
      </c>
      <c r="AJ361" s="16">
        <v>0</v>
      </c>
      <c r="AK361" s="16">
        <v>0</v>
      </c>
      <c r="AL361" s="16">
        <v>0</v>
      </c>
      <c r="AM361" s="16">
        <v>0</v>
      </c>
      <c r="AN361" s="16">
        <v>0</v>
      </c>
      <c r="AO361" s="16">
        <v>0</v>
      </c>
      <c r="AP361" s="16">
        <v>0</v>
      </c>
      <c r="AQ361" s="16">
        <v>0</v>
      </c>
      <c r="AR361" s="16">
        <v>0</v>
      </c>
      <c r="AS361" s="16">
        <v>0</v>
      </c>
      <c r="AT361" s="16">
        <v>0</v>
      </c>
      <c r="AU361" s="16">
        <v>0</v>
      </c>
      <c r="AV361" s="16">
        <v>0</v>
      </c>
    </row>
    <row r="362" spans="1:48" ht="14.25" customHeight="1">
      <c r="A362" s="13"/>
      <c r="B362" s="14"/>
      <c r="C362" s="14"/>
      <c r="D362" s="14"/>
      <c r="E362" s="14"/>
      <c r="F362" s="14"/>
      <c r="G362" s="14"/>
      <c r="H362" s="14"/>
      <c r="I362" s="14"/>
      <c r="J362" s="14"/>
      <c r="K362" s="15">
        <f t="shared" si="12"/>
        <v>0</v>
      </c>
      <c r="L362" s="24"/>
      <c r="M362" s="14"/>
      <c r="N362" s="49"/>
      <c r="O362" s="24"/>
      <c r="P362" s="24">
        <f t="shared" si="15"/>
        <v>0</v>
      </c>
      <c r="Q362" s="23"/>
      <c r="R362" s="24"/>
      <c r="S362" s="49"/>
      <c r="T362" s="24"/>
      <c r="U362" s="24">
        <f t="shared" si="16"/>
        <v>0</v>
      </c>
      <c r="V362" s="24"/>
      <c r="AA362" s="16">
        <v>0</v>
      </c>
      <c r="AB362" s="16">
        <v>0</v>
      </c>
      <c r="AC362" s="16">
        <v>0</v>
      </c>
      <c r="AD362" s="16">
        <v>0</v>
      </c>
      <c r="AE362" s="16">
        <v>0</v>
      </c>
      <c r="AF362" s="16">
        <v>0</v>
      </c>
      <c r="AG362" s="16">
        <v>0</v>
      </c>
      <c r="AH362" s="16">
        <v>0</v>
      </c>
      <c r="AI362" s="16">
        <v>0</v>
      </c>
      <c r="AJ362" s="16">
        <v>0</v>
      </c>
      <c r="AK362" s="16">
        <v>0</v>
      </c>
      <c r="AL362" s="16">
        <v>0</v>
      </c>
      <c r="AM362" s="16">
        <v>0</v>
      </c>
      <c r="AN362" s="16">
        <v>0</v>
      </c>
      <c r="AO362" s="16">
        <v>0</v>
      </c>
      <c r="AP362" s="16">
        <v>0</v>
      </c>
      <c r="AQ362" s="16">
        <v>0</v>
      </c>
      <c r="AR362" s="16">
        <v>0</v>
      </c>
      <c r="AS362" s="16">
        <v>0</v>
      </c>
      <c r="AT362" s="16">
        <v>0</v>
      </c>
      <c r="AU362" s="16">
        <v>0</v>
      </c>
      <c r="AV362" s="16">
        <v>0</v>
      </c>
    </row>
    <row r="363" spans="1:48" ht="14.25" customHeight="1">
      <c r="A363" s="13"/>
      <c r="B363" s="14"/>
      <c r="C363" s="14"/>
      <c r="D363" s="14"/>
      <c r="E363" s="14"/>
      <c r="F363" s="14"/>
      <c r="G363" s="14"/>
      <c r="H363" s="14"/>
      <c r="I363" s="14"/>
      <c r="J363" s="14"/>
      <c r="K363" s="15">
        <f t="shared" si="12"/>
        <v>0</v>
      </c>
      <c r="L363" s="24"/>
      <c r="M363" s="14"/>
      <c r="N363" s="49"/>
      <c r="O363" s="24"/>
      <c r="P363" s="24">
        <f t="shared" si="15"/>
        <v>0</v>
      </c>
      <c r="Q363" s="23"/>
      <c r="R363" s="24"/>
      <c r="S363" s="49"/>
      <c r="T363" s="24"/>
      <c r="U363" s="24">
        <f t="shared" si="16"/>
        <v>0</v>
      </c>
      <c r="V363" s="24"/>
      <c r="AA363" s="16">
        <v>0</v>
      </c>
      <c r="AB363" s="16">
        <v>0</v>
      </c>
      <c r="AC363" s="16">
        <v>0</v>
      </c>
      <c r="AD363" s="16">
        <v>0</v>
      </c>
      <c r="AE363" s="16">
        <v>0</v>
      </c>
      <c r="AF363" s="16">
        <v>0</v>
      </c>
      <c r="AG363" s="16">
        <v>0</v>
      </c>
      <c r="AH363" s="16">
        <v>0</v>
      </c>
      <c r="AI363" s="16">
        <v>0</v>
      </c>
      <c r="AJ363" s="16">
        <v>0</v>
      </c>
      <c r="AK363" s="16">
        <v>0</v>
      </c>
      <c r="AL363" s="16">
        <v>0</v>
      </c>
      <c r="AM363" s="16">
        <v>0</v>
      </c>
      <c r="AN363" s="16">
        <v>0</v>
      </c>
      <c r="AO363" s="16">
        <v>0</v>
      </c>
      <c r="AP363" s="16">
        <v>0</v>
      </c>
      <c r="AQ363" s="16">
        <v>0</v>
      </c>
      <c r="AR363" s="16">
        <v>0</v>
      </c>
      <c r="AS363" s="16">
        <v>0</v>
      </c>
      <c r="AT363" s="16">
        <v>0</v>
      </c>
      <c r="AU363" s="16">
        <v>0</v>
      </c>
      <c r="AV363" s="16">
        <v>0</v>
      </c>
    </row>
    <row r="364" spans="1:48" ht="14.25" customHeight="1">
      <c r="A364" s="13"/>
      <c r="B364" s="14"/>
      <c r="C364" s="14"/>
      <c r="D364" s="14"/>
      <c r="E364" s="14"/>
      <c r="F364" s="14"/>
      <c r="G364" s="14"/>
      <c r="H364" s="14"/>
      <c r="I364" s="14"/>
      <c r="J364" s="14"/>
      <c r="K364" s="15">
        <f t="shared" si="12"/>
        <v>0</v>
      </c>
      <c r="L364" s="24"/>
      <c r="M364" s="14"/>
      <c r="N364" s="49"/>
      <c r="O364" s="24"/>
      <c r="P364" s="24">
        <f t="shared" si="15"/>
        <v>0</v>
      </c>
      <c r="Q364" s="23"/>
      <c r="R364" s="24"/>
      <c r="S364" s="49"/>
      <c r="T364" s="24"/>
      <c r="U364" s="24">
        <f t="shared" si="16"/>
        <v>0</v>
      </c>
      <c r="V364" s="24"/>
      <c r="AA364" s="16">
        <v>0</v>
      </c>
      <c r="AB364" s="16">
        <v>0</v>
      </c>
      <c r="AC364" s="16">
        <v>0</v>
      </c>
      <c r="AD364" s="16">
        <v>0</v>
      </c>
      <c r="AE364" s="16">
        <v>0</v>
      </c>
      <c r="AF364" s="16">
        <v>0</v>
      </c>
      <c r="AG364" s="16">
        <v>0</v>
      </c>
      <c r="AH364" s="16">
        <v>0</v>
      </c>
      <c r="AI364" s="16">
        <v>0</v>
      </c>
      <c r="AJ364" s="16">
        <v>0</v>
      </c>
      <c r="AK364" s="16">
        <v>0</v>
      </c>
      <c r="AL364" s="16">
        <v>0</v>
      </c>
      <c r="AM364" s="16">
        <v>0</v>
      </c>
      <c r="AN364" s="16">
        <v>0</v>
      </c>
      <c r="AO364" s="16">
        <v>0</v>
      </c>
      <c r="AP364" s="16">
        <v>0</v>
      </c>
      <c r="AQ364" s="16">
        <v>0</v>
      </c>
      <c r="AR364" s="16">
        <v>0</v>
      </c>
      <c r="AS364" s="16">
        <v>0</v>
      </c>
      <c r="AT364" s="16">
        <v>0</v>
      </c>
      <c r="AU364" s="16">
        <v>0</v>
      </c>
      <c r="AV364" s="16">
        <v>0</v>
      </c>
    </row>
    <row r="365" spans="1:48" ht="14.25" customHeight="1">
      <c r="A365" s="13"/>
      <c r="B365" s="14"/>
      <c r="C365" s="14"/>
      <c r="D365" s="14"/>
      <c r="E365" s="14"/>
      <c r="F365" s="14"/>
      <c r="G365" s="14"/>
      <c r="H365" s="14"/>
      <c r="I365" s="14"/>
      <c r="J365" s="14"/>
      <c r="K365" s="15">
        <f t="shared" si="12"/>
        <v>0</v>
      </c>
      <c r="L365" s="24"/>
      <c r="M365" s="14"/>
      <c r="N365" s="49"/>
      <c r="O365" s="24"/>
      <c r="P365" s="24">
        <f t="shared" si="15"/>
        <v>0</v>
      </c>
      <c r="Q365" s="23"/>
      <c r="R365" s="24"/>
      <c r="S365" s="49"/>
      <c r="T365" s="24"/>
      <c r="U365" s="24">
        <f t="shared" si="16"/>
        <v>0</v>
      </c>
      <c r="V365" s="24"/>
      <c r="AA365" s="16">
        <v>0</v>
      </c>
      <c r="AB365" s="16">
        <v>0</v>
      </c>
      <c r="AC365" s="16">
        <v>0</v>
      </c>
      <c r="AD365" s="16">
        <v>0</v>
      </c>
      <c r="AE365" s="16">
        <v>0</v>
      </c>
      <c r="AF365" s="16">
        <v>0</v>
      </c>
      <c r="AG365" s="16">
        <v>0</v>
      </c>
      <c r="AH365" s="16">
        <v>0</v>
      </c>
      <c r="AI365" s="16">
        <v>0</v>
      </c>
      <c r="AJ365" s="16">
        <v>0</v>
      </c>
      <c r="AK365" s="16">
        <v>0</v>
      </c>
      <c r="AL365" s="16">
        <v>0</v>
      </c>
      <c r="AM365" s="16">
        <v>0</v>
      </c>
      <c r="AN365" s="16">
        <v>0</v>
      </c>
      <c r="AO365" s="16">
        <v>0</v>
      </c>
      <c r="AP365" s="16">
        <v>0</v>
      </c>
      <c r="AQ365" s="16">
        <v>0</v>
      </c>
      <c r="AR365" s="16">
        <v>0</v>
      </c>
      <c r="AS365" s="16">
        <v>0</v>
      </c>
      <c r="AT365" s="16">
        <v>0</v>
      </c>
      <c r="AU365" s="16">
        <v>0</v>
      </c>
      <c r="AV365" s="16">
        <v>0</v>
      </c>
    </row>
    <row r="366" spans="1:48" ht="14.25" customHeight="1">
      <c r="A366" s="13"/>
      <c r="B366" s="14"/>
      <c r="C366" s="14"/>
      <c r="D366" s="14"/>
      <c r="E366" s="14"/>
      <c r="F366" s="14"/>
      <c r="G366" s="14"/>
      <c r="H366" s="14"/>
      <c r="I366" s="14"/>
      <c r="J366" s="14"/>
      <c r="K366" s="15">
        <f t="shared" si="12"/>
        <v>0</v>
      </c>
      <c r="L366" s="24"/>
      <c r="M366" s="14"/>
      <c r="N366" s="49"/>
      <c r="O366" s="24"/>
      <c r="P366" s="24">
        <f t="shared" si="15"/>
        <v>0</v>
      </c>
      <c r="Q366" s="23"/>
      <c r="R366" s="24"/>
      <c r="S366" s="49"/>
      <c r="T366" s="24"/>
      <c r="U366" s="24">
        <f t="shared" si="16"/>
        <v>0</v>
      </c>
      <c r="V366" s="24"/>
      <c r="AA366" s="16">
        <v>0</v>
      </c>
      <c r="AB366" s="16">
        <v>0</v>
      </c>
      <c r="AC366" s="16">
        <v>0</v>
      </c>
      <c r="AD366" s="16">
        <v>0</v>
      </c>
      <c r="AE366" s="16">
        <v>0</v>
      </c>
      <c r="AF366" s="16">
        <v>0</v>
      </c>
      <c r="AG366" s="16">
        <v>0</v>
      </c>
      <c r="AH366" s="16">
        <v>0</v>
      </c>
      <c r="AI366" s="16">
        <v>0</v>
      </c>
      <c r="AJ366" s="16">
        <v>0</v>
      </c>
      <c r="AK366" s="16">
        <v>0</v>
      </c>
      <c r="AL366" s="16">
        <v>0</v>
      </c>
      <c r="AM366" s="16">
        <v>0</v>
      </c>
      <c r="AN366" s="16">
        <v>0</v>
      </c>
      <c r="AO366" s="16">
        <v>0</v>
      </c>
      <c r="AP366" s="16">
        <v>0</v>
      </c>
      <c r="AQ366" s="16">
        <v>0</v>
      </c>
      <c r="AR366" s="16">
        <v>0</v>
      </c>
      <c r="AS366" s="16">
        <v>0</v>
      </c>
      <c r="AT366" s="16">
        <v>0</v>
      </c>
      <c r="AU366" s="16">
        <v>0</v>
      </c>
      <c r="AV366" s="16">
        <v>0</v>
      </c>
    </row>
    <row r="367" spans="1:48" ht="14.25" customHeight="1">
      <c r="A367" s="13"/>
      <c r="B367" s="14"/>
      <c r="C367" s="14"/>
      <c r="D367" s="14"/>
      <c r="E367" s="14"/>
      <c r="F367" s="14"/>
      <c r="G367" s="14"/>
      <c r="H367" s="14"/>
      <c r="I367" s="14"/>
      <c r="J367" s="14"/>
      <c r="K367" s="15">
        <f t="shared" si="12"/>
        <v>0</v>
      </c>
      <c r="L367" s="24"/>
      <c r="M367" s="14"/>
      <c r="N367" s="49"/>
      <c r="O367" s="24"/>
      <c r="P367" s="24">
        <f t="shared" si="15"/>
        <v>0</v>
      </c>
      <c r="Q367" s="23"/>
      <c r="R367" s="24"/>
      <c r="S367" s="49"/>
      <c r="T367" s="24"/>
      <c r="U367" s="24">
        <f t="shared" si="16"/>
        <v>0</v>
      </c>
      <c r="V367" s="24"/>
      <c r="AA367" s="16">
        <v>0</v>
      </c>
      <c r="AB367" s="16">
        <v>0</v>
      </c>
      <c r="AC367" s="16">
        <v>0</v>
      </c>
      <c r="AD367" s="16">
        <v>0</v>
      </c>
      <c r="AE367" s="16">
        <v>0</v>
      </c>
      <c r="AF367" s="16">
        <v>0</v>
      </c>
      <c r="AG367" s="16">
        <v>0</v>
      </c>
      <c r="AH367" s="16">
        <v>0</v>
      </c>
      <c r="AI367" s="16">
        <v>0</v>
      </c>
      <c r="AJ367" s="16">
        <v>0</v>
      </c>
      <c r="AK367" s="16">
        <v>0</v>
      </c>
      <c r="AL367" s="16">
        <v>0</v>
      </c>
      <c r="AM367" s="16">
        <v>0</v>
      </c>
      <c r="AN367" s="16">
        <v>0</v>
      </c>
      <c r="AO367" s="16">
        <v>0</v>
      </c>
      <c r="AP367" s="16">
        <v>0</v>
      </c>
      <c r="AQ367" s="16">
        <v>0</v>
      </c>
      <c r="AR367" s="16">
        <v>0</v>
      </c>
      <c r="AS367" s="16">
        <v>0</v>
      </c>
      <c r="AT367" s="16">
        <v>0</v>
      </c>
      <c r="AU367" s="16">
        <v>0</v>
      </c>
      <c r="AV367" s="16">
        <v>0</v>
      </c>
    </row>
    <row r="368" spans="1:48" ht="14.25" customHeight="1">
      <c r="A368" s="13"/>
      <c r="B368" s="14"/>
      <c r="C368" s="14"/>
      <c r="D368" s="14"/>
      <c r="E368" s="14"/>
      <c r="F368" s="14"/>
      <c r="G368" s="14"/>
      <c r="H368" s="14"/>
      <c r="I368" s="14"/>
      <c r="J368" s="14"/>
      <c r="K368" s="15">
        <f t="shared" si="12"/>
        <v>0</v>
      </c>
      <c r="L368" s="24"/>
      <c r="M368" s="14"/>
      <c r="N368" s="49"/>
      <c r="O368" s="24"/>
      <c r="P368" s="24">
        <f t="shared" si="15"/>
        <v>0</v>
      </c>
      <c r="Q368" s="23"/>
      <c r="R368" s="24"/>
      <c r="S368" s="49"/>
      <c r="T368" s="24"/>
      <c r="U368" s="24">
        <f t="shared" si="16"/>
        <v>0</v>
      </c>
      <c r="V368" s="24"/>
      <c r="AA368" s="16">
        <v>0</v>
      </c>
      <c r="AB368" s="16">
        <v>0</v>
      </c>
      <c r="AC368" s="16">
        <v>0</v>
      </c>
      <c r="AD368" s="16">
        <v>0</v>
      </c>
      <c r="AE368" s="16">
        <v>0</v>
      </c>
      <c r="AF368" s="16">
        <v>0</v>
      </c>
      <c r="AG368" s="16">
        <v>0</v>
      </c>
      <c r="AH368" s="16">
        <v>0</v>
      </c>
      <c r="AI368" s="16">
        <v>0</v>
      </c>
      <c r="AJ368" s="16">
        <v>0</v>
      </c>
      <c r="AK368" s="16">
        <v>0</v>
      </c>
      <c r="AL368" s="16">
        <v>0</v>
      </c>
      <c r="AM368" s="16">
        <v>0</v>
      </c>
      <c r="AN368" s="16">
        <v>0</v>
      </c>
      <c r="AO368" s="16">
        <v>0</v>
      </c>
      <c r="AP368" s="16">
        <v>0</v>
      </c>
      <c r="AQ368" s="16">
        <v>0</v>
      </c>
      <c r="AR368" s="16">
        <v>0</v>
      </c>
      <c r="AS368" s="16">
        <v>0</v>
      </c>
      <c r="AT368" s="16">
        <v>0</v>
      </c>
      <c r="AU368" s="16">
        <v>0</v>
      </c>
      <c r="AV368" s="16">
        <v>0</v>
      </c>
    </row>
    <row r="369" spans="1:48" ht="14.25" customHeight="1">
      <c r="A369" s="13"/>
      <c r="B369" s="14"/>
      <c r="C369" s="14"/>
      <c r="D369" s="14"/>
      <c r="E369" s="14"/>
      <c r="F369" s="14"/>
      <c r="G369" s="14"/>
      <c r="H369" s="14"/>
      <c r="I369" s="14"/>
      <c r="J369" s="14"/>
      <c r="K369" s="15">
        <f t="shared" si="12"/>
        <v>0</v>
      </c>
      <c r="L369" s="24"/>
      <c r="M369" s="14"/>
      <c r="N369" s="49"/>
      <c r="O369" s="24"/>
      <c r="P369" s="24">
        <f t="shared" si="15"/>
        <v>0</v>
      </c>
      <c r="Q369" s="23"/>
      <c r="R369" s="24"/>
      <c r="S369" s="49"/>
      <c r="T369" s="24"/>
      <c r="U369" s="24">
        <f t="shared" si="16"/>
        <v>0</v>
      </c>
      <c r="V369" s="24"/>
      <c r="AA369" s="16">
        <v>0</v>
      </c>
      <c r="AB369" s="16">
        <v>0</v>
      </c>
      <c r="AC369" s="16">
        <v>0</v>
      </c>
      <c r="AD369" s="16">
        <v>0</v>
      </c>
      <c r="AE369" s="16">
        <v>0</v>
      </c>
      <c r="AF369" s="16">
        <v>0</v>
      </c>
      <c r="AG369" s="16">
        <v>0</v>
      </c>
      <c r="AH369" s="16">
        <v>0</v>
      </c>
      <c r="AI369" s="16">
        <v>0</v>
      </c>
      <c r="AJ369" s="16">
        <v>0</v>
      </c>
      <c r="AK369" s="16">
        <v>0</v>
      </c>
      <c r="AL369" s="16">
        <v>0</v>
      </c>
      <c r="AM369" s="16">
        <v>0</v>
      </c>
      <c r="AN369" s="16">
        <v>0</v>
      </c>
      <c r="AO369" s="16">
        <v>0</v>
      </c>
      <c r="AP369" s="16">
        <v>0</v>
      </c>
      <c r="AQ369" s="16">
        <v>0</v>
      </c>
      <c r="AR369" s="16">
        <v>0</v>
      </c>
      <c r="AS369" s="16">
        <v>0</v>
      </c>
      <c r="AT369" s="16">
        <v>0</v>
      </c>
      <c r="AU369" s="16">
        <v>0</v>
      </c>
      <c r="AV369" s="16">
        <v>0</v>
      </c>
    </row>
    <row r="370" spans="1:48" ht="14.25" customHeight="1">
      <c r="A370" s="17"/>
      <c r="K370" s="18"/>
      <c r="AA370" s="16">
        <v>0</v>
      </c>
      <c r="AB370" s="16">
        <v>0</v>
      </c>
      <c r="AC370" s="16">
        <v>0</v>
      </c>
      <c r="AD370" s="16">
        <v>0</v>
      </c>
      <c r="AE370" s="16">
        <v>0</v>
      </c>
      <c r="AF370" s="16">
        <v>0</v>
      </c>
      <c r="AG370" s="16">
        <v>0</v>
      </c>
      <c r="AH370" s="16">
        <v>0</v>
      </c>
      <c r="AI370" s="16">
        <v>0</v>
      </c>
      <c r="AJ370" s="16">
        <v>0</v>
      </c>
      <c r="AK370" s="16">
        <v>0</v>
      </c>
      <c r="AL370" s="16">
        <v>0</v>
      </c>
      <c r="AM370" s="16">
        <v>0</v>
      </c>
      <c r="AN370" s="16">
        <v>0</v>
      </c>
      <c r="AO370" s="16">
        <v>0</v>
      </c>
      <c r="AP370" s="16">
        <v>0</v>
      </c>
      <c r="AQ370" s="16">
        <v>0</v>
      </c>
      <c r="AR370" s="16">
        <v>0</v>
      </c>
      <c r="AS370" s="16">
        <v>0</v>
      </c>
      <c r="AT370" s="16">
        <v>0</v>
      </c>
      <c r="AU370" s="16">
        <v>0</v>
      </c>
      <c r="AV370" s="16">
        <v>0</v>
      </c>
    </row>
    <row r="371" spans="1:48" ht="14.25" customHeight="1">
      <c r="A371" s="17"/>
      <c r="K371" s="18"/>
    </row>
    <row r="372" spans="1:48" ht="14.25" customHeight="1">
      <c r="A372" s="17"/>
      <c r="K372" s="18"/>
    </row>
    <row r="373" spans="1:48" ht="14.25" customHeight="1">
      <c r="A373" s="17"/>
      <c r="K373" s="18"/>
    </row>
    <row r="374" spans="1:48" ht="14.25" customHeight="1">
      <c r="A374" s="17"/>
      <c r="K374" s="18"/>
    </row>
    <row r="375" spans="1:48" ht="14.25" customHeight="1">
      <c r="A375" s="17"/>
      <c r="K375" s="18"/>
    </row>
    <row r="376" spans="1:48" ht="14.25" customHeight="1">
      <c r="A376" s="17"/>
      <c r="K376" s="18"/>
    </row>
    <row r="377" spans="1:48" ht="14.25" customHeight="1">
      <c r="A377" s="17"/>
      <c r="K377" s="18"/>
    </row>
    <row r="378" spans="1:48" ht="14.25" customHeight="1">
      <c r="A378" s="17"/>
      <c r="K378" s="18"/>
    </row>
    <row r="379" spans="1:48" ht="14.25" customHeight="1">
      <c r="A379" s="17"/>
      <c r="K379" s="18"/>
    </row>
    <row r="380" spans="1:48" ht="14.25" customHeight="1">
      <c r="A380" s="17"/>
      <c r="K380" s="18"/>
    </row>
    <row r="381" spans="1:48" ht="14.25" customHeight="1">
      <c r="A381" s="17"/>
      <c r="K381" s="18"/>
    </row>
    <row r="382" spans="1:48" ht="14.25" customHeight="1">
      <c r="A382" s="17"/>
      <c r="K382" s="18"/>
    </row>
    <row r="383" spans="1:48" ht="14.25" customHeight="1">
      <c r="A383" s="17"/>
      <c r="K383" s="18"/>
    </row>
    <row r="384" spans="1:48" ht="14.25" customHeight="1">
      <c r="A384" s="17"/>
      <c r="K384" s="18"/>
    </row>
    <row r="385" spans="1:11" ht="14.25" customHeight="1">
      <c r="A385" s="17"/>
      <c r="K385" s="18"/>
    </row>
    <row r="386" spans="1:11" ht="14.25" customHeight="1">
      <c r="A386" s="17"/>
      <c r="K386" s="18"/>
    </row>
    <row r="387" spans="1:11" ht="14.25" customHeight="1">
      <c r="A387" s="17"/>
      <c r="K387" s="18"/>
    </row>
    <row r="388" spans="1:11" ht="14.25" customHeight="1">
      <c r="A388" s="17"/>
      <c r="K388" s="18"/>
    </row>
    <row r="389" spans="1:11" ht="14.25" customHeight="1">
      <c r="A389" s="17"/>
      <c r="K389" s="18"/>
    </row>
    <row r="390" spans="1:11" ht="14.25" customHeight="1">
      <c r="A390" s="17"/>
      <c r="K390" s="18"/>
    </row>
    <row r="391" spans="1:11" ht="14.25" customHeight="1">
      <c r="A391" s="17"/>
      <c r="K391" s="18"/>
    </row>
    <row r="392" spans="1:11" ht="14.25" customHeight="1">
      <c r="A392" s="17"/>
      <c r="K392" s="18"/>
    </row>
    <row r="393" spans="1:11" ht="14.25" customHeight="1">
      <c r="A393" s="17"/>
      <c r="K393" s="18"/>
    </row>
    <row r="394" spans="1:11" ht="14.25" customHeight="1">
      <c r="A394" s="17"/>
      <c r="K394" s="18"/>
    </row>
    <row r="395" spans="1:11" ht="14.25" customHeight="1">
      <c r="A395" s="17"/>
      <c r="K395" s="18"/>
    </row>
    <row r="396" spans="1:11" ht="14.25" customHeight="1">
      <c r="A396" s="17"/>
      <c r="K396" s="18"/>
    </row>
    <row r="397" spans="1:11" ht="14.25" customHeight="1">
      <c r="A397" s="17"/>
      <c r="K397" s="18"/>
    </row>
    <row r="398" spans="1:11" ht="14.25" customHeight="1">
      <c r="A398" s="17"/>
      <c r="K398" s="18"/>
    </row>
    <row r="399" spans="1:11" ht="14.25" customHeight="1">
      <c r="A399" s="17"/>
      <c r="K399" s="18"/>
    </row>
    <row r="400" spans="1:11" ht="14.25" customHeight="1">
      <c r="A400" s="17"/>
      <c r="K400" s="18"/>
    </row>
    <row r="401" spans="1:11" ht="14.25" customHeight="1">
      <c r="A401" s="17"/>
      <c r="K401" s="18"/>
    </row>
    <row r="402" spans="1:11" ht="14.25" customHeight="1">
      <c r="A402" s="17"/>
      <c r="K402" s="18"/>
    </row>
    <row r="403" spans="1:11" ht="14.25" customHeight="1">
      <c r="A403" s="17"/>
      <c r="K403" s="18"/>
    </row>
    <row r="404" spans="1:11" ht="14.25" customHeight="1">
      <c r="A404" s="17"/>
      <c r="K404" s="18"/>
    </row>
    <row r="405" spans="1:11" ht="14.25" customHeight="1">
      <c r="A405" s="17"/>
      <c r="K405" s="18"/>
    </row>
    <row r="406" spans="1:11" ht="14.25" customHeight="1">
      <c r="A406" s="17"/>
      <c r="K406" s="18"/>
    </row>
    <row r="407" spans="1:11" ht="14.25" customHeight="1">
      <c r="A407" s="17"/>
      <c r="K407" s="18"/>
    </row>
    <row r="408" spans="1:11" ht="14.25" customHeight="1">
      <c r="A408" s="17"/>
      <c r="K408" s="18"/>
    </row>
    <row r="409" spans="1:11" ht="14.25" customHeight="1">
      <c r="A409" s="17"/>
      <c r="K409" s="18"/>
    </row>
    <row r="410" spans="1:11" ht="14.25" customHeight="1">
      <c r="A410" s="17"/>
      <c r="K410" s="18"/>
    </row>
    <row r="411" spans="1:11" ht="14.25" customHeight="1">
      <c r="A411" s="17"/>
      <c r="K411" s="18"/>
    </row>
    <row r="412" spans="1:11" ht="14.25" customHeight="1">
      <c r="A412" s="17"/>
      <c r="K412" s="18"/>
    </row>
    <row r="413" spans="1:11" ht="14.25" customHeight="1">
      <c r="A413" s="17"/>
      <c r="K413" s="18"/>
    </row>
    <row r="414" spans="1:11" ht="14.25" customHeight="1">
      <c r="A414" s="17"/>
      <c r="K414" s="18"/>
    </row>
    <row r="415" spans="1:11" ht="14.25" customHeight="1">
      <c r="A415" s="17"/>
      <c r="K415" s="18"/>
    </row>
    <row r="416" spans="1:11" ht="14.25" customHeight="1">
      <c r="A416" s="17"/>
      <c r="K416" s="18"/>
    </row>
    <row r="417" spans="1:11" ht="14.25" customHeight="1">
      <c r="A417" s="17"/>
      <c r="K417" s="18"/>
    </row>
    <row r="418" spans="1:11" ht="14.25" customHeight="1">
      <c r="A418" s="17"/>
      <c r="K418" s="18"/>
    </row>
    <row r="419" spans="1:11" ht="14.25" customHeight="1">
      <c r="A419" s="17"/>
      <c r="K419" s="18"/>
    </row>
    <row r="420" spans="1:11" ht="14.25" customHeight="1">
      <c r="A420" s="17"/>
      <c r="K420" s="18"/>
    </row>
    <row r="421" spans="1:11" ht="14.25" customHeight="1">
      <c r="A421" s="17"/>
      <c r="K421" s="18"/>
    </row>
    <row r="422" spans="1:11" ht="14.25" customHeight="1">
      <c r="A422" s="17"/>
      <c r="K422" s="18"/>
    </row>
    <row r="423" spans="1:11" ht="14.25" customHeight="1">
      <c r="A423" s="17"/>
      <c r="K423" s="18"/>
    </row>
    <row r="424" spans="1:11" ht="14.25" customHeight="1">
      <c r="A424" s="17"/>
      <c r="K424" s="18"/>
    </row>
    <row r="425" spans="1:11" ht="14.25" customHeight="1">
      <c r="A425" s="17"/>
      <c r="K425" s="18"/>
    </row>
    <row r="426" spans="1:11" ht="14.25" customHeight="1">
      <c r="A426" s="17"/>
      <c r="K426" s="18"/>
    </row>
    <row r="427" spans="1:11" ht="14.25" customHeight="1">
      <c r="A427" s="17"/>
      <c r="K427" s="18"/>
    </row>
    <row r="428" spans="1:11" ht="14.25" customHeight="1">
      <c r="A428" s="17"/>
      <c r="K428" s="18"/>
    </row>
    <row r="429" spans="1:11" ht="14.25" customHeight="1">
      <c r="A429" s="17"/>
      <c r="K429" s="18"/>
    </row>
    <row r="430" spans="1:11" ht="14.25" customHeight="1">
      <c r="A430" s="17"/>
      <c r="K430" s="18"/>
    </row>
    <row r="431" spans="1:11" ht="14.25" customHeight="1">
      <c r="A431" s="17"/>
      <c r="K431" s="18"/>
    </row>
    <row r="432" spans="1:11" ht="14.25" customHeight="1">
      <c r="A432" s="17"/>
      <c r="K432" s="18"/>
    </row>
    <row r="433" spans="1:11" ht="14.25" customHeight="1">
      <c r="A433" s="17"/>
      <c r="K433" s="18"/>
    </row>
    <row r="434" spans="1:11" ht="14.25" customHeight="1">
      <c r="A434" s="17"/>
      <c r="K434" s="18"/>
    </row>
    <row r="435" spans="1:11" ht="14.25" customHeight="1">
      <c r="A435" s="17"/>
      <c r="K435" s="18"/>
    </row>
    <row r="436" spans="1:11" ht="14.25" customHeight="1">
      <c r="A436" s="17"/>
      <c r="K436" s="18"/>
    </row>
    <row r="437" spans="1:11" ht="14.25" customHeight="1">
      <c r="A437" s="17"/>
      <c r="K437" s="18"/>
    </row>
    <row r="438" spans="1:11" ht="14.25" customHeight="1">
      <c r="A438" s="17"/>
      <c r="K438" s="18"/>
    </row>
    <row r="439" spans="1:11" ht="14.25" customHeight="1">
      <c r="A439" s="17"/>
      <c r="K439" s="18"/>
    </row>
    <row r="440" spans="1:11" ht="14.25" customHeight="1">
      <c r="A440" s="17"/>
      <c r="K440" s="18"/>
    </row>
    <row r="441" spans="1:11" ht="14.25" customHeight="1">
      <c r="A441" s="17"/>
      <c r="K441" s="18"/>
    </row>
    <row r="442" spans="1:11" ht="14.25" customHeight="1">
      <c r="A442" s="17"/>
      <c r="K442" s="18"/>
    </row>
    <row r="443" spans="1:11" ht="14.25" customHeight="1">
      <c r="A443" s="17"/>
      <c r="K443" s="18"/>
    </row>
    <row r="444" spans="1:11" ht="14.25" customHeight="1">
      <c r="A444" s="17"/>
      <c r="K444" s="18"/>
    </row>
    <row r="445" spans="1:11" ht="14.25" customHeight="1">
      <c r="A445" s="17"/>
      <c r="K445" s="18"/>
    </row>
    <row r="446" spans="1:11" ht="14.25" customHeight="1">
      <c r="A446" s="17"/>
      <c r="K446" s="18"/>
    </row>
    <row r="447" spans="1:11" ht="14.25" customHeight="1">
      <c r="A447" s="17"/>
      <c r="K447" s="18"/>
    </row>
    <row r="448" spans="1:11" ht="14.25" customHeight="1">
      <c r="A448" s="17"/>
      <c r="K448" s="18"/>
    </row>
    <row r="449" spans="1:11" ht="14.25" customHeight="1">
      <c r="A449" s="17"/>
      <c r="K449" s="18"/>
    </row>
    <row r="450" spans="1:11" ht="14.25" customHeight="1">
      <c r="A450" s="17"/>
      <c r="K450" s="18"/>
    </row>
    <row r="451" spans="1:11" ht="14.25" customHeight="1">
      <c r="A451" s="17"/>
      <c r="K451" s="18"/>
    </row>
    <row r="452" spans="1:11" ht="14.25" customHeight="1">
      <c r="A452" s="17"/>
      <c r="K452" s="18"/>
    </row>
    <row r="453" spans="1:11" ht="14.25" customHeight="1">
      <c r="A453" s="17"/>
      <c r="K453" s="18"/>
    </row>
    <row r="454" spans="1:11" ht="14.25" customHeight="1">
      <c r="A454" s="17"/>
      <c r="K454" s="18"/>
    </row>
    <row r="455" spans="1:11" ht="14.25" customHeight="1">
      <c r="A455" s="17"/>
      <c r="K455" s="18"/>
    </row>
    <row r="456" spans="1:11" ht="14.25" customHeight="1">
      <c r="A456" s="17"/>
      <c r="K456" s="18"/>
    </row>
    <row r="457" spans="1:11" ht="14.25" customHeight="1">
      <c r="A457" s="17"/>
      <c r="K457" s="18"/>
    </row>
    <row r="458" spans="1:11" ht="14.25" customHeight="1">
      <c r="A458" s="17"/>
      <c r="K458" s="18"/>
    </row>
    <row r="459" spans="1:11" ht="14.25" customHeight="1">
      <c r="A459" s="17"/>
      <c r="K459" s="18"/>
    </row>
    <row r="460" spans="1:11" ht="14.25" customHeight="1">
      <c r="A460" s="17"/>
      <c r="K460" s="18"/>
    </row>
    <row r="461" spans="1:11" ht="14.25" customHeight="1">
      <c r="A461" s="17"/>
      <c r="K461" s="18"/>
    </row>
    <row r="462" spans="1:11" ht="14.25" customHeight="1">
      <c r="A462" s="17"/>
      <c r="K462" s="18"/>
    </row>
    <row r="463" spans="1:11" ht="14.25" customHeight="1">
      <c r="A463" s="17"/>
      <c r="K463" s="18"/>
    </row>
    <row r="464" spans="1:11" ht="14.25" customHeight="1">
      <c r="A464" s="17"/>
      <c r="K464" s="18"/>
    </row>
    <row r="465" spans="1:11" ht="14.25" customHeight="1">
      <c r="A465" s="17"/>
      <c r="K465" s="18"/>
    </row>
    <row r="466" spans="1:11" ht="14.25" customHeight="1">
      <c r="A466" s="17"/>
      <c r="K466" s="18"/>
    </row>
    <row r="467" spans="1:11" ht="14.25" customHeight="1">
      <c r="A467" s="17"/>
      <c r="K467" s="18"/>
    </row>
    <row r="468" spans="1:11" ht="14.25" customHeight="1">
      <c r="A468" s="17"/>
      <c r="K468" s="18"/>
    </row>
    <row r="469" spans="1:11" ht="14.25" customHeight="1">
      <c r="A469" s="17"/>
      <c r="K469" s="18"/>
    </row>
    <row r="470" spans="1:11" ht="14.25" customHeight="1">
      <c r="A470" s="17"/>
      <c r="K470" s="18"/>
    </row>
    <row r="471" spans="1:11" ht="14.25" customHeight="1">
      <c r="A471" s="17"/>
      <c r="K471" s="18"/>
    </row>
    <row r="472" spans="1:11" ht="14.25" customHeight="1">
      <c r="A472" s="17"/>
      <c r="K472" s="18"/>
    </row>
    <row r="473" spans="1:11" ht="14.25" customHeight="1">
      <c r="A473" s="17"/>
      <c r="K473" s="18"/>
    </row>
    <row r="474" spans="1:11" ht="14.25" customHeight="1">
      <c r="A474" s="17"/>
      <c r="K474" s="18"/>
    </row>
    <row r="475" spans="1:11" ht="14.25" customHeight="1">
      <c r="A475" s="17"/>
      <c r="K475" s="18"/>
    </row>
    <row r="476" spans="1:11" ht="14.25" customHeight="1">
      <c r="A476" s="17"/>
      <c r="K476" s="18"/>
    </row>
    <row r="477" spans="1:11" ht="14.25" customHeight="1">
      <c r="A477" s="17"/>
      <c r="K477" s="18"/>
    </row>
    <row r="478" spans="1:11" ht="14.25" customHeight="1">
      <c r="A478" s="17"/>
      <c r="K478" s="18"/>
    </row>
    <row r="479" spans="1:11" ht="14.25" customHeight="1">
      <c r="A479" s="17"/>
      <c r="K479" s="18"/>
    </row>
    <row r="480" spans="1:11" ht="14.25" customHeight="1">
      <c r="A480" s="17"/>
      <c r="K480" s="18"/>
    </row>
    <row r="481" spans="1:11" ht="14.25" customHeight="1">
      <c r="A481" s="17"/>
      <c r="K481" s="18"/>
    </row>
    <row r="482" spans="1:11" ht="14.25" customHeight="1">
      <c r="A482" s="17"/>
      <c r="K482" s="18"/>
    </row>
    <row r="483" spans="1:11" ht="14.25" customHeight="1">
      <c r="A483" s="17"/>
      <c r="K483" s="18"/>
    </row>
    <row r="484" spans="1:11" ht="14.25" customHeight="1">
      <c r="A484" s="17"/>
      <c r="K484" s="18"/>
    </row>
    <row r="485" spans="1:11" ht="14.25" customHeight="1">
      <c r="A485" s="17"/>
      <c r="K485" s="18"/>
    </row>
    <row r="486" spans="1:11" ht="14.25" customHeight="1">
      <c r="A486" s="17"/>
      <c r="K486" s="18"/>
    </row>
    <row r="487" spans="1:11" ht="14.25" customHeight="1">
      <c r="A487" s="17"/>
      <c r="K487" s="18"/>
    </row>
    <row r="488" spans="1:11" ht="14.25" customHeight="1">
      <c r="A488" s="17"/>
      <c r="K488" s="18"/>
    </row>
    <row r="489" spans="1:11" ht="14.25" customHeight="1">
      <c r="A489" s="17"/>
      <c r="K489" s="18"/>
    </row>
    <row r="490" spans="1:11" ht="14.25" customHeight="1">
      <c r="A490" s="17"/>
      <c r="K490" s="18"/>
    </row>
    <row r="491" spans="1:11" ht="14.25" customHeight="1">
      <c r="A491" s="17"/>
      <c r="K491" s="18"/>
    </row>
    <row r="492" spans="1:11" ht="14.25" customHeight="1">
      <c r="A492" s="17"/>
      <c r="K492" s="18"/>
    </row>
    <row r="493" spans="1:11" ht="14.25" customHeight="1">
      <c r="A493" s="17"/>
      <c r="K493" s="18"/>
    </row>
    <row r="494" spans="1:11" ht="14.25" customHeight="1">
      <c r="A494" s="17"/>
      <c r="K494" s="18"/>
    </row>
    <row r="495" spans="1:11" ht="14.25" customHeight="1">
      <c r="A495" s="17"/>
      <c r="K495" s="18"/>
    </row>
    <row r="496" spans="1:11" ht="14.25" customHeight="1">
      <c r="A496" s="17"/>
      <c r="K496" s="18"/>
    </row>
    <row r="497" spans="1:11" ht="14.25" customHeight="1">
      <c r="A497" s="17"/>
      <c r="K497" s="18"/>
    </row>
    <row r="498" spans="1:11" ht="14.25" customHeight="1">
      <c r="A498" s="17"/>
      <c r="K498" s="18"/>
    </row>
    <row r="499" spans="1:11" ht="14.25" customHeight="1">
      <c r="A499" s="17"/>
      <c r="K499" s="18"/>
    </row>
    <row r="500" spans="1:11" ht="14.25" customHeight="1">
      <c r="A500" s="17"/>
      <c r="K500" s="18"/>
    </row>
    <row r="501" spans="1:11" ht="14.25" customHeight="1">
      <c r="A501" s="17"/>
      <c r="K501" s="18"/>
    </row>
    <row r="502" spans="1:11" ht="14.25" customHeight="1">
      <c r="A502" s="17"/>
      <c r="K502" s="18"/>
    </row>
    <row r="503" spans="1:11" ht="14.25" customHeight="1">
      <c r="A503" s="17"/>
      <c r="K503" s="18"/>
    </row>
    <row r="504" spans="1:11" ht="14.25" customHeight="1">
      <c r="A504" s="17"/>
      <c r="K504" s="18"/>
    </row>
    <row r="505" spans="1:11" ht="14.25" customHeight="1">
      <c r="A505" s="17"/>
      <c r="K505" s="18"/>
    </row>
    <row r="506" spans="1:11" ht="14.25" customHeight="1">
      <c r="A506" s="17"/>
      <c r="K506" s="18"/>
    </row>
    <row r="507" spans="1:11" ht="14.25" customHeight="1">
      <c r="A507" s="17"/>
      <c r="K507" s="18"/>
    </row>
    <row r="508" spans="1:11" ht="14.25" customHeight="1">
      <c r="A508" s="17"/>
      <c r="K508" s="18"/>
    </row>
    <row r="509" spans="1:11" ht="14.25" customHeight="1">
      <c r="A509" s="17"/>
      <c r="K509" s="18"/>
    </row>
    <row r="510" spans="1:11" ht="14.25" customHeight="1">
      <c r="A510" s="17"/>
      <c r="K510" s="18"/>
    </row>
    <row r="511" spans="1:11" ht="14.25" customHeight="1">
      <c r="A511" s="17"/>
      <c r="K511" s="18"/>
    </row>
    <row r="512" spans="1:11" ht="14.25" customHeight="1">
      <c r="A512" s="17"/>
      <c r="K512" s="18"/>
    </row>
    <row r="513" spans="1:11" ht="14.25" customHeight="1">
      <c r="A513" s="17"/>
      <c r="K513" s="18"/>
    </row>
    <row r="514" spans="1:11" ht="14.25" customHeight="1">
      <c r="A514" s="17"/>
      <c r="K514" s="18"/>
    </row>
    <row r="515" spans="1:11" ht="14.25" customHeight="1">
      <c r="A515" s="17"/>
      <c r="K515" s="18"/>
    </row>
    <row r="516" spans="1:11" ht="14.25" customHeight="1">
      <c r="A516" s="17"/>
      <c r="K516" s="18"/>
    </row>
    <row r="517" spans="1:11" ht="14.25" customHeight="1">
      <c r="A517" s="17"/>
      <c r="K517" s="18"/>
    </row>
    <row r="518" spans="1:11" ht="14.25" customHeight="1">
      <c r="A518" s="17"/>
      <c r="K518" s="18"/>
    </row>
    <row r="519" spans="1:11" ht="14.25" customHeight="1">
      <c r="A519" s="17"/>
      <c r="K519" s="18"/>
    </row>
    <row r="520" spans="1:11" ht="14.25" customHeight="1">
      <c r="A520" s="17"/>
      <c r="K520" s="18"/>
    </row>
    <row r="521" spans="1:11" ht="14.25" customHeight="1">
      <c r="A521" s="17"/>
      <c r="K521" s="18"/>
    </row>
    <row r="522" spans="1:11" ht="14.25" customHeight="1">
      <c r="A522" s="17"/>
      <c r="K522" s="18"/>
    </row>
    <row r="523" spans="1:11" ht="14.25" customHeight="1">
      <c r="A523" s="17"/>
      <c r="K523" s="18"/>
    </row>
    <row r="524" spans="1:11" ht="14.25" customHeight="1">
      <c r="A524" s="17"/>
      <c r="K524" s="18"/>
    </row>
    <row r="525" spans="1:11" ht="14.25" customHeight="1">
      <c r="A525" s="17"/>
      <c r="K525" s="18"/>
    </row>
    <row r="526" spans="1:11" ht="14.25" customHeight="1">
      <c r="A526" s="17"/>
      <c r="K526" s="18"/>
    </row>
    <row r="527" spans="1:11" ht="14.25" customHeight="1">
      <c r="A527" s="17"/>
      <c r="K527" s="18"/>
    </row>
    <row r="528" spans="1:11" ht="14.25" customHeight="1">
      <c r="A528" s="17"/>
      <c r="K528" s="18"/>
    </row>
    <row r="529" spans="1:11" ht="14.25" customHeight="1">
      <c r="A529" s="17"/>
      <c r="K529" s="18"/>
    </row>
    <row r="530" spans="1:11" ht="14.25" customHeight="1">
      <c r="A530" s="17"/>
      <c r="K530" s="18"/>
    </row>
    <row r="531" spans="1:11" ht="14.25" customHeight="1">
      <c r="A531" s="17"/>
      <c r="K531" s="18"/>
    </row>
    <row r="532" spans="1:11" ht="14.25" customHeight="1">
      <c r="A532" s="17"/>
      <c r="K532" s="18"/>
    </row>
    <row r="533" spans="1:11" ht="14.25" customHeight="1">
      <c r="A533" s="17"/>
      <c r="K533" s="18"/>
    </row>
    <row r="534" spans="1:11" ht="14.25" customHeight="1">
      <c r="A534" s="17"/>
      <c r="K534" s="18"/>
    </row>
    <row r="535" spans="1:11" ht="14.25" customHeight="1">
      <c r="A535" s="17"/>
      <c r="K535" s="18"/>
    </row>
    <row r="536" spans="1:11" ht="14.25" customHeight="1">
      <c r="A536" s="17"/>
      <c r="K536" s="18"/>
    </row>
    <row r="537" spans="1:11" ht="14.25" customHeight="1">
      <c r="A537" s="17"/>
      <c r="K537" s="18"/>
    </row>
    <row r="538" spans="1:11" ht="14.25" customHeight="1">
      <c r="A538" s="17"/>
      <c r="K538" s="18"/>
    </row>
    <row r="539" spans="1:11" ht="14.25" customHeight="1">
      <c r="A539" s="17"/>
      <c r="K539" s="18"/>
    </row>
    <row r="540" spans="1:11" ht="14.25" customHeight="1">
      <c r="A540" s="17"/>
      <c r="K540" s="18"/>
    </row>
    <row r="541" spans="1:11" ht="14.25" customHeight="1">
      <c r="A541" s="17"/>
      <c r="K541" s="18"/>
    </row>
    <row r="542" spans="1:11" ht="14.25" customHeight="1">
      <c r="A542" s="17"/>
      <c r="K542" s="18"/>
    </row>
    <row r="543" spans="1:11" ht="14.25" customHeight="1">
      <c r="A543" s="17"/>
      <c r="K543" s="18"/>
    </row>
    <row r="544" spans="1:11" ht="14.25" customHeight="1">
      <c r="A544" s="17"/>
      <c r="K544" s="18"/>
    </row>
    <row r="545" spans="1:11" ht="14.25" customHeight="1">
      <c r="A545" s="17"/>
      <c r="K545" s="18"/>
    </row>
    <row r="546" spans="1:11" ht="14.25" customHeight="1">
      <c r="A546" s="17"/>
      <c r="K546" s="18"/>
    </row>
    <row r="547" spans="1:11" ht="14.25" customHeight="1">
      <c r="A547" s="17"/>
      <c r="K547" s="18"/>
    </row>
    <row r="548" spans="1:11" ht="14.25" customHeight="1">
      <c r="A548" s="17"/>
      <c r="K548" s="18"/>
    </row>
    <row r="549" spans="1:11" ht="14.25" customHeight="1">
      <c r="A549" s="17"/>
      <c r="K549" s="18"/>
    </row>
    <row r="550" spans="1:11" ht="14.25" customHeight="1">
      <c r="A550" s="17"/>
      <c r="K550" s="18"/>
    </row>
    <row r="551" spans="1:11" ht="14.25" customHeight="1">
      <c r="A551" s="17"/>
      <c r="K551" s="18"/>
    </row>
    <row r="552" spans="1:11" ht="14.25" customHeight="1">
      <c r="A552" s="17"/>
      <c r="K552" s="18"/>
    </row>
    <row r="553" spans="1:11" ht="14.25" customHeight="1">
      <c r="A553" s="17"/>
      <c r="K553" s="18"/>
    </row>
    <row r="554" spans="1:11" ht="14.25" customHeight="1">
      <c r="A554" s="17"/>
      <c r="K554" s="18"/>
    </row>
    <row r="555" spans="1:11" ht="14.25" customHeight="1">
      <c r="A555" s="17"/>
      <c r="K555" s="18"/>
    </row>
    <row r="556" spans="1:11" ht="14.25" customHeight="1">
      <c r="A556" s="17"/>
      <c r="K556" s="18"/>
    </row>
    <row r="557" spans="1:11" ht="14.25" customHeight="1">
      <c r="A557" s="17"/>
      <c r="K557" s="18"/>
    </row>
    <row r="558" spans="1:11" ht="14.25" customHeight="1">
      <c r="A558" s="17"/>
      <c r="K558" s="18"/>
    </row>
    <row r="559" spans="1:11" ht="14.25" customHeight="1">
      <c r="A559" s="17"/>
      <c r="K559" s="18"/>
    </row>
    <row r="560" spans="1:11" ht="14.25" customHeight="1">
      <c r="A560" s="17"/>
      <c r="K560" s="18"/>
    </row>
    <row r="561" spans="1:11" ht="14.25" customHeight="1">
      <c r="A561" s="17"/>
      <c r="K561" s="18"/>
    </row>
    <row r="562" spans="1:11" ht="14.25" customHeight="1">
      <c r="A562" s="17"/>
      <c r="K562" s="18"/>
    </row>
    <row r="563" spans="1:11" ht="14.25" customHeight="1">
      <c r="A563" s="17"/>
      <c r="K563" s="18"/>
    </row>
    <row r="564" spans="1:11" ht="14.25" customHeight="1">
      <c r="A564" s="17"/>
      <c r="K564" s="18"/>
    </row>
    <row r="565" spans="1:11" ht="14.25" customHeight="1">
      <c r="A565" s="17"/>
      <c r="K565" s="18"/>
    </row>
    <row r="566" spans="1:11" ht="14.25" customHeight="1">
      <c r="A566" s="17"/>
      <c r="K566" s="18"/>
    </row>
    <row r="567" spans="1:11" ht="14.25" customHeight="1">
      <c r="A567" s="17"/>
      <c r="K567" s="18"/>
    </row>
    <row r="568" spans="1:11" ht="14.25" customHeight="1">
      <c r="A568" s="17"/>
      <c r="K568" s="18"/>
    </row>
    <row r="569" spans="1:11" ht="14.25" customHeight="1">
      <c r="A569" s="17"/>
      <c r="K569" s="18"/>
    </row>
    <row r="570" spans="1:11" ht="14.25" customHeight="1">
      <c r="A570" s="17"/>
      <c r="K570" s="18"/>
    </row>
    <row r="571" spans="1:11" ht="14.25" customHeight="1">
      <c r="A571" s="17"/>
      <c r="K571" s="18"/>
    </row>
    <row r="572" spans="1:11" ht="14.25" customHeight="1">
      <c r="A572" s="17"/>
      <c r="K572" s="18"/>
    </row>
    <row r="573" spans="1:11" ht="14.25" customHeight="1">
      <c r="A573" s="17"/>
      <c r="K573" s="18"/>
    </row>
    <row r="574" spans="1:11" ht="14.25" customHeight="1">
      <c r="A574" s="17"/>
      <c r="K574" s="18"/>
    </row>
    <row r="575" spans="1:11" ht="14.25" customHeight="1">
      <c r="A575" s="17"/>
      <c r="K575" s="18"/>
    </row>
    <row r="576" spans="1:11" ht="14.25" customHeight="1">
      <c r="A576" s="17"/>
      <c r="K576" s="18"/>
    </row>
    <row r="577" spans="1:11" ht="14.25" customHeight="1">
      <c r="A577" s="17"/>
      <c r="K577" s="18"/>
    </row>
    <row r="578" spans="1:11" ht="14.25" customHeight="1">
      <c r="A578" s="17"/>
      <c r="K578" s="18"/>
    </row>
    <row r="579" spans="1:11" ht="14.25" customHeight="1">
      <c r="A579" s="17"/>
      <c r="K579" s="18"/>
    </row>
    <row r="580" spans="1:11" ht="14.25" customHeight="1">
      <c r="A580" s="17"/>
      <c r="K580" s="18"/>
    </row>
    <row r="581" spans="1:11" ht="14.25" customHeight="1">
      <c r="A581" s="17"/>
      <c r="K581" s="18"/>
    </row>
    <row r="582" spans="1:11" ht="14.25" customHeight="1">
      <c r="A582" s="17"/>
      <c r="K582" s="18"/>
    </row>
    <row r="583" spans="1:11" ht="14.25" customHeight="1">
      <c r="A583" s="17"/>
      <c r="K583" s="18"/>
    </row>
    <row r="584" spans="1:11" ht="14.25" customHeight="1">
      <c r="A584" s="17"/>
      <c r="K584" s="18"/>
    </row>
    <row r="585" spans="1:11" ht="14.25" customHeight="1">
      <c r="A585" s="17"/>
      <c r="K585" s="18"/>
    </row>
    <row r="586" spans="1:11" ht="14.25" customHeight="1">
      <c r="A586" s="17"/>
      <c r="K586" s="18"/>
    </row>
    <row r="587" spans="1:11" ht="14.25" customHeight="1">
      <c r="A587" s="17"/>
      <c r="K587" s="18"/>
    </row>
    <row r="588" spans="1:11" ht="14.25" customHeight="1">
      <c r="A588" s="17"/>
      <c r="K588" s="18"/>
    </row>
    <row r="589" spans="1:11" ht="14.25" customHeight="1">
      <c r="A589" s="17"/>
      <c r="K589" s="18"/>
    </row>
    <row r="590" spans="1:11" ht="14.25" customHeight="1">
      <c r="A590" s="17"/>
      <c r="K590" s="18"/>
    </row>
    <row r="591" spans="1:11" ht="14.25" customHeight="1">
      <c r="A591" s="17"/>
      <c r="K591" s="18"/>
    </row>
    <row r="592" spans="1:11" ht="14.25" customHeight="1">
      <c r="A592" s="17"/>
      <c r="K592" s="18"/>
    </row>
    <row r="593" spans="1:11" ht="14.25" customHeight="1">
      <c r="A593" s="17"/>
      <c r="K593" s="18"/>
    </row>
    <row r="594" spans="1:11" ht="14.25" customHeight="1">
      <c r="A594" s="17"/>
      <c r="K594" s="18"/>
    </row>
    <row r="595" spans="1:11" ht="14.25" customHeight="1">
      <c r="A595" s="17"/>
      <c r="K595" s="18"/>
    </row>
    <row r="596" spans="1:11" ht="14.25" customHeight="1">
      <c r="A596" s="17"/>
      <c r="K596" s="18"/>
    </row>
    <row r="597" spans="1:11" ht="14.25" customHeight="1">
      <c r="A597" s="17"/>
      <c r="K597" s="18"/>
    </row>
    <row r="598" spans="1:11" ht="14.25" customHeight="1">
      <c r="A598" s="17"/>
      <c r="K598" s="18"/>
    </row>
    <row r="599" spans="1:11" ht="14.25" customHeight="1">
      <c r="A599" s="17"/>
      <c r="K599" s="18"/>
    </row>
    <row r="600" spans="1:11" ht="14.25" customHeight="1">
      <c r="A600" s="17"/>
      <c r="K600" s="18"/>
    </row>
    <row r="601" spans="1:11" ht="14.25" customHeight="1">
      <c r="A601" s="17"/>
      <c r="K601" s="18"/>
    </row>
    <row r="602" spans="1:11" ht="14.25" customHeight="1">
      <c r="A602" s="17"/>
      <c r="K602" s="18"/>
    </row>
    <row r="603" spans="1:11" ht="14.25" customHeight="1">
      <c r="A603" s="17"/>
      <c r="K603" s="18"/>
    </row>
    <row r="604" spans="1:11" ht="14.25" customHeight="1">
      <c r="A604" s="17"/>
      <c r="K604" s="18"/>
    </row>
    <row r="605" spans="1:11" ht="14.25" customHeight="1">
      <c r="A605" s="17"/>
      <c r="K605" s="18"/>
    </row>
    <row r="606" spans="1:11" ht="14.25" customHeight="1">
      <c r="A606" s="17"/>
      <c r="K606" s="18"/>
    </row>
    <row r="607" spans="1:11" ht="14.25" customHeight="1">
      <c r="A607" s="17"/>
      <c r="K607" s="18"/>
    </row>
    <row r="608" spans="1:11" ht="14.25" customHeight="1">
      <c r="A608" s="17"/>
      <c r="K608" s="18"/>
    </row>
    <row r="609" spans="1:11" ht="14.25" customHeight="1">
      <c r="A609" s="17"/>
      <c r="K609" s="18"/>
    </row>
    <row r="610" spans="1:11" ht="14.25" customHeight="1">
      <c r="A610" s="17"/>
      <c r="K610" s="18"/>
    </row>
    <row r="611" spans="1:11" ht="14.25" customHeight="1">
      <c r="A611" s="17"/>
      <c r="K611" s="18"/>
    </row>
    <row r="612" spans="1:11" ht="14.25" customHeight="1">
      <c r="A612" s="17"/>
      <c r="K612" s="18"/>
    </row>
    <row r="613" spans="1:11" ht="14.25" customHeight="1">
      <c r="A613" s="17"/>
      <c r="K613" s="18"/>
    </row>
    <row r="614" spans="1:11" ht="14.25" customHeight="1">
      <c r="A614" s="17"/>
      <c r="K614" s="18"/>
    </row>
    <row r="615" spans="1:11" ht="14.25" customHeight="1">
      <c r="A615" s="17"/>
      <c r="K615" s="18"/>
    </row>
    <row r="616" spans="1:11" ht="14.25" customHeight="1">
      <c r="A616" s="17"/>
      <c r="K616" s="18"/>
    </row>
    <row r="617" spans="1:11" ht="14.25" customHeight="1">
      <c r="A617" s="17"/>
      <c r="K617" s="18"/>
    </row>
    <row r="618" spans="1:11" ht="14.25" customHeight="1">
      <c r="A618" s="17"/>
      <c r="K618" s="18"/>
    </row>
    <row r="619" spans="1:11" ht="14.25" customHeight="1">
      <c r="A619" s="17"/>
      <c r="K619" s="18"/>
    </row>
    <row r="620" spans="1:11" ht="14.25" customHeight="1">
      <c r="A620" s="17"/>
      <c r="K620" s="18"/>
    </row>
    <row r="621" spans="1:11" ht="14.25" customHeight="1">
      <c r="A621" s="17"/>
      <c r="K621" s="18"/>
    </row>
    <row r="622" spans="1:11" ht="14.25" customHeight="1">
      <c r="A622" s="17"/>
      <c r="K622" s="18"/>
    </row>
    <row r="623" spans="1:11" ht="14.25" customHeight="1">
      <c r="A623" s="17"/>
      <c r="K623" s="18"/>
    </row>
    <row r="624" spans="1:11" ht="14.25" customHeight="1">
      <c r="A624" s="17"/>
      <c r="K624" s="18"/>
    </row>
    <row r="625" spans="1:11" ht="14.25" customHeight="1">
      <c r="A625" s="17"/>
      <c r="K625" s="18"/>
    </row>
    <row r="626" spans="1:11" ht="14.25" customHeight="1">
      <c r="A626" s="17"/>
      <c r="K626" s="18"/>
    </row>
    <row r="627" spans="1:11" ht="14.25" customHeight="1">
      <c r="A627" s="17"/>
      <c r="K627" s="18"/>
    </row>
    <row r="628" spans="1:11" ht="14.25" customHeight="1">
      <c r="A628" s="17"/>
      <c r="K628" s="18"/>
    </row>
    <row r="629" spans="1:11" ht="14.25" customHeight="1">
      <c r="A629" s="17"/>
      <c r="K629" s="18"/>
    </row>
    <row r="630" spans="1:11" ht="14.25" customHeight="1">
      <c r="A630" s="17"/>
      <c r="K630" s="18"/>
    </row>
    <row r="631" spans="1:11" ht="14.25" customHeight="1">
      <c r="A631" s="17"/>
      <c r="K631" s="18"/>
    </row>
    <row r="632" spans="1:11" ht="14.25" customHeight="1">
      <c r="A632" s="17"/>
      <c r="K632" s="18"/>
    </row>
    <row r="633" spans="1:11" ht="14.25" customHeight="1">
      <c r="A633" s="17"/>
      <c r="K633" s="18"/>
    </row>
    <row r="634" spans="1:11" ht="14.25" customHeight="1">
      <c r="A634" s="17"/>
      <c r="K634" s="18"/>
    </row>
    <row r="635" spans="1:11" ht="14.25" customHeight="1">
      <c r="A635" s="17"/>
      <c r="K635" s="18"/>
    </row>
    <row r="636" spans="1:11" ht="14.25" customHeight="1">
      <c r="A636" s="17"/>
      <c r="K636" s="18"/>
    </row>
    <row r="637" spans="1:11" ht="14.25" customHeight="1">
      <c r="A637" s="17"/>
      <c r="K637" s="18"/>
    </row>
    <row r="638" spans="1:11" ht="14.25" customHeight="1">
      <c r="A638" s="17"/>
      <c r="K638" s="18"/>
    </row>
    <row r="639" spans="1:11" ht="14.25" customHeight="1">
      <c r="A639" s="17"/>
      <c r="K639" s="18"/>
    </row>
    <row r="640" spans="1:11" ht="14.25" customHeight="1">
      <c r="A640" s="17"/>
      <c r="K640" s="18"/>
    </row>
    <row r="641" spans="1:11" ht="14.25" customHeight="1">
      <c r="A641" s="17"/>
      <c r="K641" s="18"/>
    </row>
    <row r="642" spans="1:11" ht="14.25" customHeight="1">
      <c r="A642" s="17"/>
      <c r="K642" s="18"/>
    </row>
    <row r="643" spans="1:11" ht="14.25" customHeight="1">
      <c r="A643" s="17"/>
      <c r="K643" s="18"/>
    </row>
    <row r="644" spans="1:11" ht="14.25" customHeight="1">
      <c r="A644" s="17"/>
      <c r="K644" s="18"/>
    </row>
    <row r="645" spans="1:11" ht="14.25" customHeight="1">
      <c r="A645" s="17"/>
      <c r="K645" s="18"/>
    </row>
    <row r="646" spans="1:11" ht="14.25" customHeight="1">
      <c r="A646" s="17"/>
      <c r="K646" s="18"/>
    </row>
    <row r="647" spans="1:11" ht="14.25" customHeight="1">
      <c r="A647" s="17"/>
      <c r="K647" s="18"/>
    </row>
    <row r="648" spans="1:11" ht="14.25" customHeight="1">
      <c r="A648" s="17"/>
      <c r="K648" s="18"/>
    </row>
    <row r="649" spans="1:11" ht="14.25" customHeight="1">
      <c r="A649" s="17"/>
      <c r="K649" s="18"/>
    </row>
    <row r="650" spans="1:11" ht="14.25" customHeight="1">
      <c r="A650" s="17"/>
      <c r="K650" s="18"/>
    </row>
    <row r="651" spans="1:11" ht="14.25" customHeight="1">
      <c r="A651" s="17"/>
      <c r="K651" s="18"/>
    </row>
    <row r="652" spans="1:11" ht="14.25" customHeight="1">
      <c r="A652" s="17"/>
      <c r="K652" s="18"/>
    </row>
    <row r="653" spans="1:11" ht="14.25" customHeight="1">
      <c r="A653" s="17"/>
      <c r="K653" s="18"/>
    </row>
    <row r="654" spans="1:11" ht="14.25" customHeight="1">
      <c r="A654" s="17"/>
      <c r="K654" s="18"/>
    </row>
    <row r="655" spans="1:11" ht="14.25" customHeight="1">
      <c r="A655" s="17"/>
      <c r="K655" s="18"/>
    </row>
    <row r="656" spans="1:11" ht="14.25" customHeight="1">
      <c r="A656" s="17"/>
      <c r="K656" s="18"/>
    </row>
    <row r="657" spans="1:11" ht="14.25" customHeight="1">
      <c r="A657" s="17"/>
      <c r="K657" s="18"/>
    </row>
    <row r="658" spans="1:11" ht="14.25" customHeight="1">
      <c r="A658" s="17"/>
      <c r="K658" s="18"/>
    </row>
    <row r="659" spans="1:11" ht="14.25" customHeight="1">
      <c r="A659" s="17"/>
      <c r="K659" s="18"/>
    </row>
    <row r="660" spans="1:11" ht="14.25" customHeight="1">
      <c r="A660" s="17"/>
      <c r="K660" s="18"/>
    </row>
    <row r="661" spans="1:11" ht="14.25" customHeight="1">
      <c r="A661" s="17"/>
      <c r="K661" s="18"/>
    </row>
    <row r="662" spans="1:11" ht="14.25" customHeight="1">
      <c r="A662" s="17"/>
      <c r="K662" s="18"/>
    </row>
    <row r="663" spans="1:11" ht="14.25" customHeight="1">
      <c r="A663" s="17"/>
      <c r="K663" s="18"/>
    </row>
    <row r="664" spans="1:11" ht="14.25" customHeight="1">
      <c r="A664" s="17"/>
      <c r="K664" s="18"/>
    </row>
    <row r="665" spans="1:11" ht="14.25" customHeight="1">
      <c r="A665" s="17"/>
      <c r="K665" s="18"/>
    </row>
    <row r="666" spans="1:11" ht="14.25" customHeight="1">
      <c r="A666" s="17"/>
      <c r="K666" s="18"/>
    </row>
    <row r="667" spans="1:11" ht="14.25" customHeight="1">
      <c r="A667" s="17"/>
      <c r="K667" s="18"/>
    </row>
    <row r="668" spans="1:11" ht="14.25" customHeight="1">
      <c r="A668" s="17"/>
      <c r="K668" s="18"/>
    </row>
    <row r="669" spans="1:11" ht="14.25" customHeight="1">
      <c r="A669" s="17"/>
      <c r="K669" s="18"/>
    </row>
    <row r="670" spans="1:11" ht="14.25" customHeight="1">
      <c r="A670" s="17"/>
      <c r="K670" s="18"/>
    </row>
    <row r="671" spans="1:11" ht="14.25" customHeight="1">
      <c r="A671" s="17"/>
      <c r="K671" s="18"/>
    </row>
    <row r="672" spans="1:11" ht="14.25" customHeight="1">
      <c r="A672" s="17"/>
      <c r="K672" s="18"/>
    </row>
    <row r="673" spans="1:11" ht="14.25" customHeight="1">
      <c r="A673" s="17"/>
      <c r="K673" s="18"/>
    </row>
    <row r="674" spans="1:11" ht="14.25" customHeight="1">
      <c r="A674" s="17"/>
      <c r="K674" s="18"/>
    </row>
    <row r="675" spans="1:11" ht="14.25" customHeight="1">
      <c r="A675" s="17"/>
      <c r="K675" s="18"/>
    </row>
    <row r="676" spans="1:11" ht="14.25" customHeight="1">
      <c r="A676" s="17"/>
      <c r="K676" s="18"/>
    </row>
    <row r="677" spans="1:11" ht="14.25" customHeight="1">
      <c r="A677" s="17"/>
      <c r="K677" s="18"/>
    </row>
    <row r="678" spans="1:11" ht="14.25" customHeight="1">
      <c r="A678" s="17"/>
      <c r="K678" s="18"/>
    </row>
    <row r="679" spans="1:11" ht="14.25" customHeight="1">
      <c r="A679" s="17"/>
      <c r="K679" s="18"/>
    </row>
    <row r="680" spans="1:11" ht="14.25" customHeight="1">
      <c r="A680" s="17"/>
      <c r="K680" s="18"/>
    </row>
    <row r="681" spans="1:11" ht="14.25" customHeight="1">
      <c r="A681" s="17"/>
      <c r="K681" s="18"/>
    </row>
    <row r="682" spans="1:11" ht="14.25" customHeight="1">
      <c r="A682" s="17"/>
      <c r="K682" s="18"/>
    </row>
    <row r="683" spans="1:11" ht="14.25" customHeight="1">
      <c r="A683" s="17"/>
      <c r="K683" s="18"/>
    </row>
    <row r="684" spans="1:11" ht="14.25" customHeight="1">
      <c r="A684" s="17"/>
      <c r="K684" s="18"/>
    </row>
    <row r="685" spans="1:11" ht="14.25" customHeight="1">
      <c r="A685" s="17"/>
      <c r="K685" s="18"/>
    </row>
    <row r="686" spans="1:11" ht="14.25" customHeight="1">
      <c r="A686" s="17"/>
      <c r="K686" s="18"/>
    </row>
    <row r="687" spans="1:11" ht="14.25" customHeight="1">
      <c r="A687" s="17"/>
      <c r="K687" s="18"/>
    </row>
    <row r="688" spans="1:11" ht="14.25" customHeight="1">
      <c r="A688" s="17"/>
      <c r="K688" s="18"/>
    </row>
    <row r="689" spans="1:11" ht="14.25" customHeight="1">
      <c r="A689" s="17"/>
      <c r="K689" s="18"/>
    </row>
    <row r="690" spans="1:11" ht="14.25" customHeight="1">
      <c r="A690" s="17"/>
      <c r="K690" s="18"/>
    </row>
    <row r="691" spans="1:11" ht="14.25" customHeight="1">
      <c r="A691" s="17"/>
      <c r="K691" s="18"/>
    </row>
    <row r="692" spans="1:11" ht="14.25" customHeight="1">
      <c r="A692" s="17"/>
      <c r="K692" s="18"/>
    </row>
    <row r="693" spans="1:11" ht="14.25" customHeight="1">
      <c r="A693" s="17"/>
      <c r="K693" s="18"/>
    </row>
    <row r="694" spans="1:11" ht="14.25" customHeight="1">
      <c r="A694" s="17"/>
      <c r="K694" s="18"/>
    </row>
    <row r="695" spans="1:11" ht="14.25" customHeight="1">
      <c r="A695" s="17"/>
      <c r="K695" s="18"/>
    </row>
    <row r="696" spans="1:11" ht="14.25" customHeight="1">
      <c r="A696" s="17"/>
      <c r="K696" s="18"/>
    </row>
    <row r="697" spans="1:11" ht="14.25" customHeight="1">
      <c r="A697" s="17"/>
      <c r="K697" s="18"/>
    </row>
    <row r="698" spans="1:11" ht="14.25" customHeight="1">
      <c r="A698" s="17"/>
      <c r="K698" s="18"/>
    </row>
    <row r="699" spans="1:11" ht="14.25" customHeight="1">
      <c r="A699" s="17"/>
      <c r="K699" s="18"/>
    </row>
    <row r="700" spans="1:11" ht="14.25" customHeight="1">
      <c r="A700" s="17"/>
      <c r="K700" s="18"/>
    </row>
    <row r="701" spans="1:11" ht="14.25" customHeight="1">
      <c r="A701" s="17"/>
      <c r="K701" s="18"/>
    </row>
    <row r="702" spans="1:11" ht="14.25" customHeight="1">
      <c r="A702" s="17"/>
      <c r="K702" s="18"/>
    </row>
    <row r="703" spans="1:11" ht="14.25" customHeight="1">
      <c r="A703" s="17"/>
      <c r="K703" s="18"/>
    </row>
    <row r="704" spans="1:11" ht="14.25" customHeight="1">
      <c r="A704" s="17"/>
      <c r="K704" s="18"/>
    </row>
    <row r="705" spans="1:11" ht="14.25" customHeight="1">
      <c r="A705" s="17"/>
      <c r="K705" s="18"/>
    </row>
    <row r="706" spans="1:11" ht="14.25" customHeight="1">
      <c r="A706" s="17"/>
      <c r="K706" s="18"/>
    </row>
    <row r="707" spans="1:11" ht="14.25" customHeight="1">
      <c r="A707" s="17"/>
      <c r="K707" s="18"/>
    </row>
    <row r="708" spans="1:11" ht="14.25" customHeight="1">
      <c r="A708" s="17"/>
      <c r="K708" s="18"/>
    </row>
    <row r="709" spans="1:11" ht="14.25" customHeight="1">
      <c r="A709" s="17"/>
      <c r="K709" s="18"/>
    </row>
    <row r="710" spans="1:11" ht="14.25" customHeight="1">
      <c r="A710" s="17"/>
      <c r="K710" s="18"/>
    </row>
    <row r="711" spans="1:11" ht="14.25" customHeight="1">
      <c r="A711" s="17"/>
      <c r="K711" s="18"/>
    </row>
    <row r="712" spans="1:11" ht="14.25" customHeight="1">
      <c r="A712" s="17"/>
      <c r="K712" s="18"/>
    </row>
    <row r="713" spans="1:11" ht="14.25" customHeight="1">
      <c r="A713" s="17"/>
      <c r="K713" s="18"/>
    </row>
    <row r="714" spans="1:11" ht="14.25" customHeight="1">
      <c r="A714" s="17"/>
      <c r="K714" s="18"/>
    </row>
    <row r="715" spans="1:11" ht="14.25" customHeight="1">
      <c r="A715" s="17"/>
      <c r="K715" s="18"/>
    </row>
    <row r="716" spans="1:11" ht="14.25" customHeight="1">
      <c r="A716" s="17"/>
      <c r="K716" s="18"/>
    </row>
    <row r="717" spans="1:11" ht="14.25" customHeight="1">
      <c r="A717" s="17"/>
      <c r="K717" s="18"/>
    </row>
    <row r="718" spans="1:11" ht="14.25" customHeight="1">
      <c r="A718" s="17"/>
      <c r="K718" s="18"/>
    </row>
    <row r="719" spans="1:11" ht="14.25" customHeight="1">
      <c r="A719" s="17"/>
      <c r="K719" s="18"/>
    </row>
    <row r="720" spans="1:11" ht="14.25" customHeight="1">
      <c r="A720" s="17"/>
      <c r="K720" s="18"/>
    </row>
    <row r="721" spans="1:11" ht="14.25" customHeight="1">
      <c r="A721" s="17"/>
      <c r="K721" s="18"/>
    </row>
    <row r="722" spans="1:11" ht="14.25" customHeight="1">
      <c r="A722" s="17"/>
      <c r="K722" s="18"/>
    </row>
    <row r="723" spans="1:11" ht="14.25" customHeight="1">
      <c r="A723" s="17"/>
      <c r="K723" s="18"/>
    </row>
    <row r="724" spans="1:11" ht="14.25" customHeight="1">
      <c r="A724" s="17"/>
      <c r="K724" s="18"/>
    </row>
    <row r="725" spans="1:11" ht="14.25" customHeight="1">
      <c r="A725" s="17"/>
      <c r="K725" s="18"/>
    </row>
    <row r="726" spans="1:11" ht="14.25" customHeight="1">
      <c r="A726" s="17"/>
      <c r="K726" s="18"/>
    </row>
    <row r="727" spans="1:11" ht="14.25" customHeight="1">
      <c r="A727" s="17"/>
      <c r="K727" s="18"/>
    </row>
    <row r="728" spans="1:11" ht="14.25" customHeight="1">
      <c r="A728" s="17"/>
      <c r="K728" s="18"/>
    </row>
    <row r="729" spans="1:11" ht="14.25" customHeight="1">
      <c r="A729" s="17"/>
      <c r="K729" s="18"/>
    </row>
    <row r="730" spans="1:11" ht="14.25" customHeight="1">
      <c r="A730" s="17"/>
      <c r="K730" s="18"/>
    </row>
    <row r="731" spans="1:11" ht="14.25" customHeight="1">
      <c r="A731" s="17"/>
      <c r="K731" s="18"/>
    </row>
    <row r="732" spans="1:11" ht="14.25" customHeight="1">
      <c r="A732" s="17"/>
      <c r="K732" s="18"/>
    </row>
    <row r="733" spans="1:11" ht="14.25" customHeight="1">
      <c r="A733" s="17"/>
      <c r="K733" s="18"/>
    </row>
    <row r="734" spans="1:11" ht="14.25" customHeight="1">
      <c r="A734" s="17"/>
      <c r="K734" s="18"/>
    </row>
    <row r="735" spans="1:11" ht="14.25" customHeight="1">
      <c r="A735" s="17"/>
      <c r="K735" s="18"/>
    </row>
    <row r="736" spans="1:11" ht="14.25" customHeight="1">
      <c r="A736" s="17"/>
      <c r="K736" s="18"/>
    </row>
    <row r="737" spans="1:11" ht="14.25" customHeight="1">
      <c r="A737" s="17"/>
      <c r="K737" s="18"/>
    </row>
    <row r="738" spans="1:11" ht="14.25" customHeight="1">
      <c r="A738" s="17"/>
      <c r="K738" s="18"/>
    </row>
    <row r="739" spans="1:11" ht="14.25" customHeight="1">
      <c r="A739" s="17"/>
      <c r="K739" s="18"/>
    </row>
    <row r="740" spans="1:11" ht="14.25" customHeight="1">
      <c r="A740" s="17"/>
      <c r="K740" s="18"/>
    </row>
    <row r="741" spans="1:11" ht="14.25" customHeight="1">
      <c r="A741" s="17"/>
      <c r="K741" s="18"/>
    </row>
    <row r="742" spans="1:11" ht="14.25" customHeight="1">
      <c r="A742" s="17"/>
      <c r="K742" s="18"/>
    </row>
    <row r="743" spans="1:11" ht="14.25" customHeight="1">
      <c r="A743" s="17"/>
      <c r="K743" s="18"/>
    </row>
    <row r="744" spans="1:11" ht="14.25" customHeight="1">
      <c r="A744" s="17"/>
      <c r="K744" s="18"/>
    </row>
    <row r="745" spans="1:11" ht="14.25" customHeight="1">
      <c r="A745" s="17"/>
      <c r="K745" s="18"/>
    </row>
    <row r="746" spans="1:11" ht="14.25" customHeight="1">
      <c r="A746" s="17"/>
      <c r="K746" s="18"/>
    </row>
    <row r="747" spans="1:11" ht="14.25" customHeight="1">
      <c r="A747" s="17"/>
      <c r="K747" s="18"/>
    </row>
    <row r="748" spans="1:11" ht="14.25" customHeight="1">
      <c r="A748" s="17"/>
      <c r="K748" s="18"/>
    </row>
    <row r="749" spans="1:11" ht="14.25" customHeight="1">
      <c r="A749" s="17"/>
      <c r="K749" s="18"/>
    </row>
    <row r="750" spans="1:11" ht="14.25" customHeight="1">
      <c r="A750" s="17"/>
      <c r="K750" s="18"/>
    </row>
    <row r="751" spans="1:11" ht="14.25" customHeight="1">
      <c r="A751" s="17"/>
      <c r="K751" s="18"/>
    </row>
    <row r="752" spans="1:11" ht="14.25" customHeight="1">
      <c r="A752" s="17"/>
      <c r="K752" s="18"/>
    </row>
    <row r="753" spans="1:11" ht="14.25" customHeight="1">
      <c r="A753" s="17"/>
      <c r="K753" s="18"/>
    </row>
    <row r="754" spans="1:11" ht="14.25" customHeight="1">
      <c r="A754" s="17"/>
      <c r="K754" s="18"/>
    </row>
    <row r="755" spans="1:11" ht="14.25" customHeight="1">
      <c r="A755" s="17"/>
      <c r="K755" s="18"/>
    </row>
    <row r="756" spans="1:11" ht="14.25" customHeight="1">
      <c r="A756" s="17"/>
      <c r="K756" s="18"/>
    </row>
    <row r="757" spans="1:11" ht="14.25" customHeight="1">
      <c r="A757" s="17"/>
      <c r="K757" s="18"/>
    </row>
    <row r="758" spans="1:11" ht="14.25" customHeight="1">
      <c r="A758" s="17"/>
      <c r="K758" s="18"/>
    </row>
    <row r="759" spans="1:11" ht="14.25" customHeight="1">
      <c r="A759" s="17"/>
      <c r="K759" s="18"/>
    </row>
    <row r="760" spans="1:11" ht="14.25" customHeight="1">
      <c r="A760" s="17"/>
      <c r="K760" s="18"/>
    </row>
    <row r="761" spans="1:11" ht="14.25" customHeight="1">
      <c r="A761" s="17"/>
      <c r="K761" s="18"/>
    </row>
    <row r="762" spans="1:11" ht="14.25" customHeight="1">
      <c r="A762" s="17"/>
      <c r="K762" s="18"/>
    </row>
    <row r="763" spans="1:11" ht="14.25" customHeight="1">
      <c r="A763" s="17"/>
      <c r="K763" s="18"/>
    </row>
    <row r="764" spans="1:11" ht="14.25" customHeight="1">
      <c r="A764" s="17"/>
      <c r="K764" s="18"/>
    </row>
    <row r="765" spans="1:11" ht="14.25" customHeight="1">
      <c r="A765" s="17"/>
      <c r="K765" s="18"/>
    </row>
    <row r="766" spans="1:11" ht="14.25" customHeight="1">
      <c r="A766" s="17"/>
      <c r="K766" s="18"/>
    </row>
    <row r="767" spans="1:11" ht="14.25" customHeight="1">
      <c r="A767" s="17"/>
      <c r="K767" s="18"/>
    </row>
    <row r="768" spans="1:11" ht="14.25" customHeight="1">
      <c r="A768" s="17"/>
      <c r="K768" s="18"/>
    </row>
    <row r="769" spans="1:11" ht="14.25" customHeight="1">
      <c r="A769" s="17"/>
      <c r="K769" s="18"/>
    </row>
    <row r="770" spans="1:11" ht="14.25" customHeight="1">
      <c r="A770" s="17"/>
      <c r="K770" s="18"/>
    </row>
    <row r="771" spans="1:11" ht="14.25" customHeight="1">
      <c r="A771" s="17"/>
      <c r="K771" s="18"/>
    </row>
    <row r="772" spans="1:11" ht="14.25" customHeight="1">
      <c r="A772" s="17"/>
      <c r="K772" s="18"/>
    </row>
    <row r="773" spans="1:11" ht="14.25" customHeight="1">
      <c r="A773" s="17"/>
      <c r="K773" s="18"/>
    </row>
    <row r="774" spans="1:11" ht="14.25" customHeight="1">
      <c r="A774" s="17"/>
      <c r="K774" s="18"/>
    </row>
    <row r="775" spans="1:11" ht="14.25" customHeight="1">
      <c r="A775" s="17"/>
      <c r="K775" s="18"/>
    </row>
    <row r="776" spans="1:11" ht="14.25" customHeight="1">
      <c r="A776" s="17"/>
      <c r="K776" s="18"/>
    </row>
    <row r="777" spans="1:11" ht="14.25" customHeight="1">
      <c r="A777" s="17"/>
      <c r="K777" s="18"/>
    </row>
    <row r="778" spans="1:11" ht="14.25" customHeight="1">
      <c r="A778" s="17"/>
      <c r="K778" s="18"/>
    </row>
    <row r="779" spans="1:11" ht="14.25" customHeight="1">
      <c r="A779" s="17"/>
      <c r="K779" s="18"/>
    </row>
    <row r="780" spans="1:11" ht="14.25" customHeight="1">
      <c r="A780" s="17"/>
      <c r="K780" s="18"/>
    </row>
    <row r="781" spans="1:11" ht="14.25" customHeight="1">
      <c r="A781" s="17"/>
      <c r="K781" s="18"/>
    </row>
    <row r="782" spans="1:11" ht="14.25" customHeight="1">
      <c r="A782" s="17"/>
      <c r="K782" s="18"/>
    </row>
    <row r="783" spans="1:11" ht="14.25" customHeight="1">
      <c r="A783" s="17"/>
      <c r="K783" s="18"/>
    </row>
    <row r="784" spans="1:11" ht="14.25" customHeight="1">
      <c r="A784" s="17"/>
      <c r="K784" s="18"/>
    </row>
    <row r="785" spans="1:11" ht="14.25" customHeight="1">
      <c r="A785" s="17"/>
      <c r="K785" s="18"/>
    </row>
    <row r="786" spans="1:11" ht="14.25" customHeight="1">
      <c r="A786" s="17"/>
      <c r="K786" s="18"/>
    </row>
    <row r="787" spans="1:11" ht="14.25" customHeight="1">
      <c r="A787" s="17"/>
      <c r="K787" s="18"/>
    </row>
    <row r="788" spans="1:11" ht="14.25" customHeight="1">
      <c r="A788" s="17"/>
      <c r="K788" s="18"/>
    </row>
    <row r="789" spans="1:11" ht="14.25" customHeight="1">
      <c r="A789" s="17"/>
      <c r="K789" s="18"/>
    </row>
    <row r="790" spans="1:11" ht="14.25" customHeight="1">
      <c r="A790" s="17"/>
      <c r="K790" s="18"/>
    </row>
    <row r="791" spans="1:11" ht="14.25" customHeight="1">
      <c r="A791" s="17"/>
      <c r="K791" s="18"/>
    </row>
    <row r="792" spans="1:11" ht="14.25" customHeight="1">
      <c r="A792" s="17"/>
      <c r="K792" s="18"/>
    </row>
    <row r="793" spans="1:11" ht="14.25" customHeight="1">
      <c r="A793" s="17"/>
      <c r="K793" s="18"/>
    </row>
    <row r="794" spans="1:11" ht="14.25" customHeight="1">
      <c r="A794" s="17"/>
      <c r="K794" s="18"/>
    </row>
    <row r="795" spans="1:11" ht="14.25" customHeight="1">
      <c r="A795" s="17"/>
      <c r="K795" s="18"/>
    </row>
    <row r="796" spans="1:11" ht="14.25" customHeight="1">
      <c r="A796" s="17"/>
      <c r="K796" s="18"/>
    </row>
    <row r="797" spans="1:11" ht="14.25" customHeight="1">
      <c r="A797" s="17"/>
      <c r="K797" s="18"/>
    </row>
    <row r="798" spans="1:11" ht="14.25" customHeight="1">
      <c r="A798" s="17"/>
      <c r="K798" s="18"/>
    </row>
    <row r="799" spans="1:11" ht="14.25" customHeight="1">
      <c r="A799" s="17"/>
      <c r="K799" s="18"/>
    </row>
    <row r="800" spans="1:11" ht="14.25" customHeight="1">
      <c r="A800" s="17"/>
      <c r="K800" s="18"/>
    </row>
    <row r="801" spans="1:11" ht="14.25" customHeight="1">
      <c r="A801" s="17"/>
      <c r="K801" s="18"/>
    </row>
    <row r="802" spans="1:11" ht="14.25" customHeight="1">
      <c r="A802" s="17"/>
      <c r="K802" s="18"/>
    </row>
    <row r="803" spans="1:11" ht="14.25" customHeight="1">
      <c r="A803" s="17"/>
      <c r="K803" s="18"/>
    </row>
    <row r="804" spans="1:11" ht="14.25" customHeight="1">
      <c r="A804" s="17"/>
      <c r="K804" s="18"/>
    </row>
    <row r="805" spans="1:11" ht="14.25" customHeight="1">
      <c r="A805" s="17"/>
      <c r="K805" s="18"/>
    </row>
    <row r="806" spans="1:11" ht="14.25" customHeight="1">
      <c r="A806" s="17"/>
      <c r="K806" s="18"/>
    </row>
    <row r="807" spans="1:11" ht="14.25" customHeight="1">
      <c r="A807" s="17"/>
      <c r="K807" s="18"/>
    </row>
    <row r="808" spans="1:11" ht="14.25" customHeight="1">
      <c r="A808" s="17"/>
      <c r="K808" s="18"/>
    </row>
    <row r="809" spans="1:11" ht="14.25" customHeight="1">
      <c r="A809" s="17"/>
      <c r="K809" s="18"/>
    </row>
    <row r="810" spans="1:11" ht="14.25" customHeight="1">
      <c r="A810" s="17"/>
      <c r="K810" s="18"/>
    </row>
    <row r="811" spans="1:11" ht="14.25" customHeight="1">
      <c r="A811" s="17"/>
      <c r="K811" s="18"/>
    </row>
    <row r="812" spans="1:11" ht="14.25" customHeight="1">
      <c r="A812" s="17"/>
      <c r="K812" s="18"/>
    </row>
    <row r="813" spans="1:11" ht="14.25" customHeight="1">
      <c r="A813" s="17"/>
      <c r="K813" s="18"/>
    </row>
    <row r="814" spans="1:11" ht="14.25" customHeight="1">
      <c r="A814" s="17"/>
      <c r="K814" s="18"/>
    </row>
    <row r="815" spans="1:11" ht="14.25" customHeight="1">
      <c r="A815" s="17"/>
      <c r="K815" s="18"/>
    </row>
    <row r="816" spans="1:11" ht="14.25" customHeight="1">
      <c r="A816" s="17"/>
      <c r="K816" s="18"/>
    </row>
    <row r="817" spans="1:11" ht="14.25" customHeight="1">
      <c r="A817" s="17"/>
      <c r="K817" s="18"/>
    </row>
    <row r="818" spans="1:11" ht="14.25" customHeight="1">
      <c r="A818" s="17"/>
      <c r="K818" s="18"/>
    </row>
    <row r="819" spans="1:11" ht="14.25" customHeight="1">
      <c r="A819" s="17"/>
      <c r="K819" s="18"/>
    </row>
    <row r="820" spans="1:11" ht="14.25" customHeight="1">
      <c r="A820" s="17"/>
      <c r="K820" s="18"/>
    </row>
    <row r="821" spans="1:11" ht="14.25" customHeight="1">
      <c r="A821" s="17"/>
      <c r="K821" s="18"/>
    </row>
    <row r="822" spans="1:11" ht="14.25" customHeight="1">
      <c r="A822" s="17"/>
      <c r="K822" s="18"/>
    </row>
    <row r="823" spans="1:11" ht="14.25" customHeight="1">
      <c r="A823" s="17"/>
      <c r="K823" s="18"/>
    </row>
    <row r="824" spans="1:11" ht="14.25" customHeight="1">
      <c r="A824" s="17"/>
      <c r="K824" s="18"/>
    </row>
    <row r="825" spans="1:11" ht="14.25" customHeight="1">
      <c r="A825" s="17"/>
      <c r="K825" s="18"/>
    </row>
    <row r="826" spans="1:11" ht="14.25" customHeight="1">
      <c r="A826" s="17"/>
      <c r="K826" s="18"/>
    </row>
    <row r="827" spans="1:11" ht="14.25" customHeight="1">
      <c r="A827" s="17"/>
      <c r="K827" s="18"/>
    </row>
    <row r="828" spans="1:11" ht="14.25" customHeight="1">
      <c r="A828" s="17"/>
      <c r="K828" s="18"/>
    </row>
    <row r="829" spans="1:11" ht="14.25" customHeight="1">
      <c r="A829" s="17"/>
      <c r="K829" s="18"/>
    </row>
    <row r="830" spans="1:11" ht="14.25" customHeight="1">
      <c r="A830" s="17"/>
      <c r="K830" s="18"/>
    </row>
    <row r="831" spans="1:11" ht="14.25" customHeight="1">
      <c r="A831" s="17"/>
      <c r="K831" s="18"/>
    </row>
    <row r="832" spans="1:11" ht="14.25" customHeight="1">
      <c r="A832" s="17"/>
      <c r="K832" s="18"/>
    </row>
    <row r="833" spans="1:11" ht="14.25" customHeight="1">
      <c r="A833" s="17"/>
      <c r="K833" s="18"/>
    </row>
    <row r="834" spans="1:11" ht="14.25" customHeight="1">
      <c r="A834" s="17"/>
      <c r="K834" s="18"/>
    </row>
    <row r="835" spans="1:11" ht="14.25" customHeight="1">
      <c r="A835" s="17"/>
      <c r="K835" s="18"/>
    </row>
    <row r="836" spans="1:11" ht="14.25" customHeight="1">
      <c r="A836" s="17"/>
      <c r="K836" s="18"/>
    </row>
    <row r="837" spans="1:11" ht="14.25" customHeight="1">
      <c r="A837" s="17"/>
      <c r="K837" s="18"/>
    </row>
    <row r="838" spans="1:11" ht="14.25" customHeight="1">
      <c r="A838" s="17"/>
      <c r="K838" s="18"/>
    </row>
    <row r="839" spans="1:11" ht="14.25" customHeight="1">
      <c r="A839" s="17"/>
      <c r="K839" s="18"/>
    </row>
    <row r="840" spans="1:11" ht="14.25" customHeight="1">
      <c r="A840" s="17"/>
      <c r="K840" s="18"/>
    </row>
    <row r="841" spans="1:11" ht="14.25" customHeight="1">
      <c r="A841" s="17"/>
      <c r="K841" s="18"/>
    </row>
    <row r="842" spans="1:11" ht="14.25" customHeight="1">
      <c r="A842" s="17"/>
      <c r="K842" s="18"/>
    </row>
    <row r="843" spans="1:11" ht="14.25" customHeight="1">
      <c r="A843" s="17"/>
      <c r="K843" s="18"/>
    </row>
    <row r="844" spans="1:11" ht="14.25" customHeight="1">
      <c r="A844" s="17"/>
      <c r="K844" s="18"/>
    </row>
    <row r="845" spans="1:11" ht="14.25" customHeight="1">
      <c r="A845" s="17"/>
      <c r="K845" s="18"/>
    </row>
    <row r="846" spans="1:11" ht="14.25" customHeight="1">
      <c r="A846" s="17"/>
      <c r="K846" s="18"/>
    </row>
    <row r="847" spans="1:11" ht="14.25" customHeight="1">
      <c r="A847" s="17"/>
      <c r="K847" s="18"/>
    </row>
    <row r="848" spans="1:11" ht="14.25" customHeight="1">
      <c r="A848" s="17"/>
      <c r="K848" s="18"/>
    </row>
    <row r="849" spans="1:11" ht="14.25" customHeight="1">
      <c r="A849" s="17"/>
      <c r="K849" s="18"/>
    </row>
    <row r="850" spans="1:11" ht="14.25" customHeight="1">
      <c r="A850" s="17"/>
      <c r="K850" s="18"/>
    </row>
    <row r="851" spans="1:11" ht="14.25" customHeight="1">
      <c r="A851" s="17"/>
      <c r="K851" s="18"/>
    </row>
    <row r="852" spans="1:11" ht="14.25" customHeight="1">
      <c r="A852" s="17"/>
      <c r="K852" s="18"/>
    </row>
    <row r="853" spans="1:11" ht="14.25" customHeight="1">
      <c r="A853" s="17"/>
      <c r="K853" s="18"/>
    </row>
    <row r="854" spans="1:11" ht="14.25" customHeight="1">
      <c r="A854" s="17"/>
      <c r="K854" s="18"/>
    </row>
    <row r="855" spans="1:11" ht="14.25" customHeight="1">
      <c r="A855" s="17"/>
      <c r="K855" s="18"/>
    </row>
    <row r="856" spans="1:11" ht="14.25" customHeight="1">
      <c r="A856" s="17"/>
      <c r="K856" s="18"/>
    </row>
    <row r="857" spans="1:11" ht="14.25" customHeight="1">
      <c r="A857" s="17"/>
      <c r="K857" s="18"/>
    </row>
    <row r="858" spans="1:11" ht="14.25" customHeight="1">
      <c r="A858" s="17"/>
      <c r="K858" s="18"/>
    </row>
    <row r="859" spans="1:11" ht="14.25" customHeight="1">
      <c r="A859" s="17"/>
      <c r="K859" s="18"/>
    </row>
    <row r="860" spans="1:11" ht="14.25" customHeight="1">
      <c r="A860" s="17"/>
      <c r="K860" s="18"/>
    </row>
    <row r="861" spans="1:11" ht="14.25" customHeight="1">
      <c r="A861" s="17"/>
      <c r="K861" s="18"/>
    </row>
    <row r="862" spans="1:11" ht="14.25" customHeight="1">
      <c r="A862" s="17"/>
      <c r="K862" s="18"/>
    </row>
    <row r="863" spans="1:11" ht="14.25" customHeight="1">
      <c r="A863" s="17"/>
      <c r="K863" s="18"/>
    </row>
    <row r="864" spans="1:11" ht="14.25" customHeight="1">
      <c r="A864" s="17"/>
      <c r="K864" s="18"/>
    </row>
    <row r="865" spans="1:11" ht="14.25" customHeight="1">
      <c r="A865" s="17"/>
      <c r="K865" s="18"/>
    </row>
    <row r="866" spans="1:11" ht="14.25" customHeight="1">
      <c r="A866" s="17"/>
      <c r="K866" s="18"/>
    </row>
    <row r="867" spans="1:11" ht="14.25" customHeight="1">
      <c r="A867" s="17"/>
      <c r="K867" s="18"/>
    </row>
    <row r="868" spans="1:11" ht="14.25" customHeight="1">
      <c r="A868" s="17"/>
      <c r="K868" s="18"/>
    </row>
    <row r="869" spans="1:11" ht="14.25" customHeight="1">
      <c r="A869" s="17"/>
      <c r="K869" s="18"/>
    </row>
    <row r="870" spans="1:11" ht="14.25" customHeight="1">
      <c r="A870" s="17"/>
      <c r="K870" s="18"/>
    </row>
    <row r="871" spans="1:11" ht="14.25" customHeight="1">
      <c r="A871" s="17"/>
      <c r="K871" s="18"/>
    </row>
    <row r="872" spans="1:11" ht="14.25" customHeight="1">
      <c r="A872" s="17"/>
      <c r="K872" s="18"/>
    </row>
    <row r="873" spans="1:11" ht="14.25" customHeight="1">
      <c r="A873" s="17"/>
      <c r="K873" s="18"/>
    </row>
    <row r="874" spans="1:11" ht="14.25" customHeight="1">
      <c r="A874" s="17"/>
      <c r="K874" s="18"/>
    </row>
    <row r="875" spans="1:11" ht="14.25" customHeight="1">
      <c r="A875" s="17"/>
      <c r="K875" s="18"/>
    </row>
    <row r="876" spans="1:11" ht="14.25" customHeight="1">
      <c r="A876" s="17"/>
      <c r="K876" s="18"/>
    </row>
    <row r="877" spans="1:11" ht="14.25" customHeight="1">
      <c r="A877" s="17"/>
      <c r="K877" s="18"/>
    </row>
    <row r="878" spans="1:11" ht="14.25" customHeight="1">
      <c r="A878" s="17"/>
      <c r="K878" s="18"/>
    </row>
    <row r="879" spans="1:11" ht="14.25" customHeight="1">
      <c r="A879" s="17"/>
      <c r="K879" s="18"/>
    </row>
    <row r="880" spans="1:11" ht="14.25" customHeight="1">
      <c r="A880" s="17"/>
      <c r="K880" s="18"/>
    </row>
    <row r="881" spans="1:11" ht="14.25" customHeight="1">
      <c r="A881" s="17"/>
      <c r="K881" s="18"/>
    </row>
    <row r="882" spans="1:11" ht="14.25" customHeight="1">
      <c r="A882" s="17"/>
      <c r="K882" s="18"/>
    </row>
    <row r="883" spans="1:11" ht="14.25" customHeight="1">
      <c r="A883" s="17"/>
      <c r="K883" s="18"/>
    </row>
    <row r="884" spans="1:11" ht="14.25" customHeight="1">
      <c r="A884" s="17"/>
      <c r="K884" s="18"/>
    </row>
    <row r="885" spans="1:11" ht="14.25" customHeight="1">
      <c r="A885" s="17"/>
      <c r="K885" s="18"/>
    </row>
    <row r="886" spans="1:11" ht="14.25" customHeight="1">
      <c r="A886" s="17"/>
      <c r="K886" s="18"/>
    </row>
    <row r="887" spans="1:11" ht="14.25" customHeight="1">
      <c r="A887" s="17"/>
      <c r="K887" s="18"/>
    </row>
    <row r="888" spans="1:11" ht="14.25" customHeight="1">
      <c r="A888" s="17"/>
      <c r="K888" s="18"/>
    </row>
    <row r="889" spans="1:11" ht="14.25" customHeight="1">
      <c r="A889" s="17"/>
      <c r="K889" s="18"/>
    </row>
    <row r="890" spans="1:11" ht="14.25" customHeight="1">
      <c r="A890" s="17"/>
      <c r="K890" s="18"/>
    </row>
    <row r="891" spans="1:11" ht="14.25" customHeight="1">
      <c r="A891" s="17"/>
      <c r="K891" s="18"/>
    </row>
    <row r="892" spans="1:11" ht="14.25" customHeight="1">
      <c r="A892" s="17"/>
      <c r="K892" s="18"/>
    </row>
    <row r="893" spans="1:11" ht="14.25" customHeight="1">
      <c r="A893" s="17"/>
      <c r="K893" s="18"/>
    </row>
    <row r="894" spans="1:11" ht="14.25" customHeight="1">
      <c r="A894" s="17"/>
      <c r="K894" s="18"/>
    </row>
    <row r="895" spans="1:11" ht="14.25" customHeight="1">
      <c r="A895" s="17"/>
      <c r="K895" s="18"/>
    </row>
    <row r="896" spans="1:11" ht="14.25" customHeight="1">
      <c r="A896" s="17"/>
      <c r="K896" s="18"/>
    </row>
    <row r="897" spans="1:11" ht="14.25" customHeight="1">
      <c r="A897" s="17"/>
      <c r="K897" s="18"/>
    </row>
    <row r="898" spans="1:11" ht="14.25" customHeight="1">
      <c r="A898" s="17"/>
      <c r="K898" s="18"/>
    </row>
    <row r="899" spans="1:11" ht="14.25" customHeight="1">
      <c r="A899" s="17"/>
      <c r="K899" s="18"/>
    </row>
    <row r="900" spans="1:11" ht="14.25" customHeight="1">
      <c r="A900" s="17"/>
      <c r="K900" s="18"/>
    </row>
    <row r="901" spans="1:11" ht="14.25" customHeight="1">
      <c r="A901" s="17"/>
      <c r="K901" s="18"/>
    </row>
    <row r="902" spans="1:11" ht="14.25" customHeight="1">
      <c r="A902" s="17"/>
      <c r="K902" s="18"/>
    </row>
    <row r="903" spans="1:11" ht="14.25" customHeight="1">
      <c r="A903" s="17"/>
      <c r="K903" s="18"/>
    </row>
    <row r="904" spans="1:11" ht="14.25" customHeight="1">
      <c r="A904" s="17"/>
      <c r="K904" s="18"/>
    </row>
    <row r="905" spans="1:11" ht="14.25" customHeight="1">
      <c r="A905" s="17"/>
      <c r="K905" s="18"/>
    </row>
    <row r="906" spans="1:11" ht="14.25" customHeight="1">
      <c r="A906" s="17"/>
      <c r="K906" s="18"/>
    </row>
    <row r="907" spans="1:11" ht="14.25" customHeight="1">
      <c r="A907" s="17"/>
      <c r="K907" s="18"/>
    </row>
    <row r="908" spans="1:11" ht="14.25" customHeight="1">
      <c r="A908" s="17"/>
      <c r="K908" s="18"/>
    </row>
    <row r="909" spans="1:11" ht="14.25" customHeight="1">
      <c r="A909" s="17"/>
      <c r="K909" s="18"/>
    </row>
    <row r="910" spans="1:11" ht="14.25" customHeight="1">
      <c r="A910" s="17"/>
      <c r="K910" s="18"/>
    </row>
    <row r="911" spans="1:11" ht="14.25" customHeight="1">
      <c r="A911" s="17"/>
      <c r="K911" s="18"/>
    </row>
    <row r="912" spans="1:11" ht="14.25" customHeight="1">
      <c r="A912" s="17"/>
      <c r="K912" s="18"/>
    </row>
    <row r="913" spans="1:11" ht="14.25" customHeight="1">
      <c r="A913" s="17"/>
      <c r="K913" s="18"/>
    </row>
    <row r="914" spans="1:11" ht="14.25" customHeight="1">
      <c r="A914" s="17"/>
      <c r="K914" s="18"/>
    </row>
    <row r="915" spans="1:11" ht="14.25" customHeight="1">
      <c r="A915" s="17"/>
      <c r="K915" s="18"/>
    </row>
    <row r="916" spans="1:11" ht="14.25" customHeight="1">
      <c r="A916" s="17"/>
      <c r="K916" s="18"/>
    </row>
    <row r="917" spans="1:11" ht="14.25" customHeight="1">
      <c r="A917" s="17"/>
      <c r="K917" s="18"/>
    </row>
    <row r="918" spans="1:11" ht="14.25" customHeight="1">
      <c r="A918" s="17"/>
      <c r="K918" s="18"/>
    </row>
    <row r="919" spans="1:11" ht="14.25" customHeight="1">
      <c r="A919" s="17"/>
      <c r="K919" s="18"/>
    </row>
    <row r="920" spans="1:11" ht="14.25" customHeight="1">
      <c r="A920" s="17"/>
      <c r="K920" s="18"/>
    </row>
    <row r="921" spans="1:11" ht="14.25" customHeight="1">
      <c r="A921" s="17"/>
      <c r="K921" s="18"/>
    </row>
    <row r="922" spans="1:11" ht="14.25" customHeight="1">
      <c r="A922" s="17"/>
      <c r="K922" s="18"/>
    </row>
    <row r="923" spans="1:11" ht="14.25" customHeight="1">
      <c r="A923" s="17"/>
      <c r="K923" s="18"/>
    </row>
    <row r="924" spans="1:11" ht="14.25" customHeight="1">
      <c r="A924" s="17"/>
      <c r="K924" s="18"/>
    </row>
    <row r="925" spans="1:11" ht="14.25" customHeight="1">
      <c r="A925" s="17"/>
      <c r="K925" s="18"/>
    </row>
    <row r="926" spans="1:11" ht="14.25" customHeight="1">
      <c r="A926" s="17"/>
      <c r="K926" s="18"/>
    </row>
    <row r="927" spans="1:11" ht="14.25" customHeight="1">
      <c r="A927" s="17"/>
      <c r="K927" s="18"/>
    </row>
    <row r="928" spans="1:11" ht="14.25" customHeight="1">
      <c r="A928" s="17"/>
      <c r="K928" s="18"/>
    </row>
    <row r="929" spans="1:11" ht="14.25" customHeight="1">
      <c r="A929" s="17"/>
      <c r="K929" s="18"/>
    </row>
    <row r="930" spans="1:11" ht="14.25" customHeight="1">
      <c r="A930" s="17"/>
      <c r="K930" s="18"/>
    </row>
    <row r="931" spans="1:11" ht="14.25" customHeight="1">
      <c r="A931" s="17"/>
      <c r="K931" s="18"/>
    </row>
    <row r="932" spans="1:11" ht="14.25" customHeight="1">
      <c r="A932" s="17"/>
      <c r="K932" s="18"/>
    </row>
    <row r="933" spans="1:11" ht="14.25" customHeight="1">
      <c r="A933" s="17"/>
      <c r="K933" s="18"/>
    </row>
    <row r="934" spans="1:11" ht="14.25" customHeight="1">
      <c r="A934" s="17"/>
      <c r="K934" s="18"/>
    </row>
    <row r="935" spans="1:11" ht="14.25" customHeight="1">
      <c r="A935" s="17"/>
      <c r="K935" s="18"/>
    </row>
    <row r="936" spans="1:11" ht="14.25" customHeight="1">
      <c r="A936" s="17"/>
      <c r="K936" s="18"/>
    </row>
    <row r="937" spans="1:11" ht="14.25" customHeight="1">
      <c r="A937" s="17"/>
      <c r="K937" s="18"/>
    </row>
    <row r="938" spans="1:11" ht="14.25" customHeight="1">
      <c r="A938" s="17"/>
      <c r="K938" s="18"/>
    </row>
    <row r="939" spans="1:11" ht="14.25" customHeight="1">
      <c r="A939" s="17"/>
      <c r="K939" s="18"/>
    </row>
    <row r="940" spans="1:11" ht="14.25" customHeight="1">
      <c r="A940" s="17"/>
      <c r="K940" s="18"/>
    </row>
    <row r="941" spans="1:11" ht="14.25" customHeight="1">
      <c r="A941" s="17"/>
      <c r="K941" s="18"/>
    </row>
    <row r="942" spans="1:11" ht="14.25" customHeight="1">
      <c r="A942" s="17"/>
      <c r="K942" s="18"/>
    </row>
    <row r="943" spans="1:11" ht="14.25" customHeight="1">
      <c r="A943" s="17"/>
      <c r="K943" s="18"/>
    </row>
    <row r="944" spans="1:11" ht="14.25" customHeight="1">
      <c r="A944" s="17"/>
      <c r="K944" s="18"/>
    </row>
    <row r="945" spans="1:11" ht="14.25" customHeight="1">
      <c r="A945" s="17"/>
      <c r="K945" s="18"/>
    </row>
    <row r="946" spans="1:11" ht="14.25" customHeight="1">
      <c r="A946" s="17"/>
      <c r="K946" s="18"/>
    </row>
    <row r="947" spans="1:11" ht="14.25" customHeight="1">
      <c r="A947" s="17"/>
      <c r="K947" s="18"/>
    </row>
    <row r="948" spans="1:11" ht="14.25" customHeight="1">
      <c r="A948" s="17"/>
      <c r="K948" s="18"/>
    </row>
    <row r="949" spans="1:11" ht="14.25" customHeight="1">
      <c r="A949" s="17"/>
      <c r="K949" s="18"/>
    </row>
    <row r="950" spans="1:11" ht="14.25" customHeight="1">
      <c r="A950" s="17"/>
      <c r="K950" s="18"/>
    </row>
    <row r="951" spans="1:11" ht="14.25" customHeight="1">
      <c r="A951" s="17"/>
      <c r="K951" s="18"/>
    </row>
    <row r="952" spans="1:11" ht="14.25" customHeight="1">
      <c r="A952" s="17"/>
      <c r="K952" s="18"/>
    </row>
    <row r="953" spans="1:11" ht="14.25" customHeight="1">
      <c r="A953" s="17"/>
      <c r="K953" s="18"/>
    </row>
    <row r="954" spans="1:11" ht="14.25" customHeight="1">
      <c r="A954" s="17"/>
      <c r="K954" s="18"/>
    </row>
    <row r="955" spans="1:11" ht="14.25" customHeight="1">
      <c r="A955" s="17"/>
      <c r="K955" s="18"/>
    </row>
    <row r="956" spans="1:11" ht="14.25" customHeight="1">
      <c r="A956" s="17"/>
      <c r="K956" s="18"/>
    </row>
    <row r="957" spans="1:11" ht="14.25" customHeight="1">
      <c r="A957" s="17"/>
      <c r="K957" s="18"/>
    </row>
    <row r="958" spans="1:11" ht="14.25" customHeight="1">
      <c r="A958" s="17"/>
      <c r="K958" s="18"/>
    </row>
    <row r="959" spans="1:11" ht="14.25" customHeight="1">
      <c r="A959" s="17"/>
      <c r="K959" s="18"/>
    </row>
    <row r="960" spans="1:11" ht="14.25" customHeight="1">
      <c r="A960" s="17"/>
      <c r="K960" s="18"/>
    </row>
    <row r="961" spans="1:11" ht="14.25" customHeight="1">
      <c r="A961" s="17"/>
      <c r="K961" s="18"/>
    </row>
    <row r="962" spans="1:11" ht="14.25" customHeight="1">
      <c r="A962" s="17"/>
      <c r="K962" s="18"/>
    </row>
    <row r="963" spans="1:11" ht="14.25" customHeight="1">
      <c r="A963" s="17"/>
      <c r="K963" s="18"/>
    </row>
    <row r="964" spans="1:11" ht="14.25" customHeight="1">
      <c r="A964" s="17"/>
      <c r="K964" s="18"/>
    </row>
    <row r="965" spans="1:11" ht="14.25" customHeight="1">
      <c r="A965" s="17"/>
      <c r="K965" s="18"/>
    </row>
    <row r="966" spans="1:11" ht="14.25" customHeight="1">
      <c r="A966" s="17"/>
      <c r="K966" s="18"/>
    </row>
    <row r="967" spans="1:11" ht="14.25" customHeight="1">
      <c r="A967" s="17"/>
      <c r="K967" s="18"/>
    </row>
    <row r="968" spans="1:11" ht="14.25" customHeight="1">
      <c r="A968" s="17"/>
      <c r="K968" s="18"/>
    </row>
    <row r="969" spans="1:11" ht="14.25" customHeight="1">
      <c r="A969" s="17"/>
      <c r="K969" s="18"/>
    </row>
  </sheetData>
  <conditionalFormatting sqref="Q1:Q1048576">
    <cfRule type="containsText" dxfId="7" priority="4" operator="containsText" text="BELUM SELESAI">
      <formula>NOT(ISERROR(SEARCH("BELUM SELESAI",Q1)))</formula>
    </cfRule>
  </conditionalFormatting>
  <conditionalFormatting sqref="V1:V1048576">
    <cfRule type="containsText" dxfId="6" priority="3" operator="containsText" text="BELUM SELESAI">
      <formula>NOT(ISERROR(SEARCH("BELUM SELESAI",V1)))</formula>
    </cfRule>
  </conditionalFormatting>
  <conditionalFormatting sqref="AQ2">
    <cfRule type="containsText" dxfId="5" priority="2" operator="containsText" text="BELUM SELESAI">
      <formula>NOT(ISERROR(SEARCH("BELUM SELESAI",AQ2)))</formula>
    </cfRule>
  </conditionalFormatting>
  <conditionalFormatting sqref="AV2">
    <cfRule type="containsText" dxfId="4" priority="1" operator="containsText" text="BELUM SELESAI">
      <formula>NOT(ISERROR(SEARCH("BELUM SELESAI",AV2)))</formula>
    </cfRule>
  </conditionalFormatting>
  <dataValidations count="1">
    <dataValidation type="list" allowBlank="1" showErrorMessage="1" sqref="Q2:Q369 V2:V369" xr:uid="{8CC9815B-97FF-41FF-A1BD-16E065194F39}">
      <formula1>"SELESAI,BELUM SELESAI"</formula1>
    </dataValidation>
  </dataValidations>
  <pageMargins left="0.7" right="0.7" top="0.75" bottom="0.75" header="0" footer="0"/>
  <pageSetup orientation="landscape" r:id="rId1"/>
  <drawing r:id="rId2"/>
  <legacyDrawing r:id="rId3"/>
  <controls>
    <mc:AlternateContent xmlns:mc="http://schemas.openxmlformats.org/markup-compatibility/2006">
      <mc:Choice Requires="x14">
        <control shapeId="17409" r:id="rId4" name="TextBox1">
          <controlPr defaultSize="0" autoLine="0" linkedCell="AB1" r:id="rId5">
            <anchor moveWithCells="1">
              <from>
                <xdr:col>27</xdr:col>
                <xdr:colOff>63500</xdr:colOff>
                <xdr:row>0</xdr:row>
                <xdr:rowOff>76200</xdr:rowOff>
              </from>
              <to>
                <xdr:col>27</xdr:col>
                <xdr:colOff>2419350</xdr:colOff>
                <xdr:row>0</xdr:row>
                <xdr:rowOff>381000</xdr:rowOff>
              </to>
            </anchor>
          </controlPr>
        </control>
      </mc:Choice>
      <mc:Fallback>
        <control shapeId="17409" r:id="rId4" name="TextBox1"/>
      </mc:Fallback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xr:uid="{E00AB151-8C71-462C-87BE-1E13E9684B0B}">
          <x14:formula1>
            <xm:f>DATA!$A$1:$A$24</xm:f>
          </x14:formula1>
          <xm:sqref>C2:C369</xm:sqref>
        </x14:dataValidation>
        <x14:dataValidation type="list" allowBlank="1" showErrorMessage="1" xr:uid="{BD29DFB3-4347-401A-A5FB-19EEE6C54D6F}">
          <x14:formula1>
            <xm:f>DATA!$B:$B</xm:f>
          </x14:formula1>
          <xm:sqref>B2:B369</xm:sqref>
        </x14:dataValidation>
        <x14:dataValidation type="list" allowBlank="1" showErrorMessage="1" xr:uid="{E2B34BBB-F3D9-4859-846B-CF3E0F1D0A4E}">
          <x14:formula1>
            <xm:f>DATA!$D:$D</xm:f>
          </x14:formula1>
          <xm:sqref>M2:M369</xm:sqref>
        </x14:dataValidation>
        <x14:dataValidation type="list" allowBlank="1" showInputMessage="1" showErrorMessage="1" xr:uid="{2410AF29-1FC3-404A-A368-35EE22E00D3A}">
          <x14:formula1>
            <xm:f>DATA!$E:$E</xm:f>
          </x14:formula1>
          <xm:sqref>R2:R369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X969"/>
  <sheetViews>
    <sheetView workbookViewId="0">
      <pane ySplit="1" topLeftCell="A2" activePane="bottomLeft" state="frozen"/>
      <selection pane="bottomLeft" activeCell="O10" sqref="O10"/>
    </sheetView>
  </sheetViews>
  <sheetFormatPr defaultColWidth="14.453125" defaultRowHeight="15" customHeight="1"/>
  <cols>
    <col min="1" max="1" width="20.08984375" style="16" customWidth="1"/>
    <col min="2" max="2" width="17.453125" style="16" customWidth="1"/>
    <col min="3" max="3" width="21.26953125" style="16" customWidth="1"/>
    <col min="4" max="4" width="18.54296875" style="16" customWidth="1"/>
    <col min="5" max="5" width="7.7265625" style="16" customWidth="1"/>
    <col min="6" max="6" width="13.7265625" style="16" customWidth="1"/>
    <col min="7" max="12" width="7.7265625" style="16" customWidth="1"/>
    <col min="13" max="13" width="9.81640625" style="16" customWidth="1"/>
    <col min="14" max="14" width="16.36328125" style="16" bestFit="1" customWidth="1"/>
    <col min="15" max="16" width="14.08984375" style="16" customWidth="1"/>
    <col min="17" max="18" width="8.7265625" style="16" customWidth="1"/>
    <col min="19" max="19" width="18" style="16" bestFit="1" customWidth="1"/>
    <col min="20" max="20" width="11.08984375" style="16" bestFit="1" customWidth="1"/>
    <col min="21" max="21" width="14.08984375" style="16" customWidth="1"/>
    <col min="22" max="23" width="8.7265625" style="16" customWidth="1"/>
    <col min="24" max="24" width="18" style="16" bestFit="1" customWidth="1"/>
    <col min="25" max="30" width="8.7265625" style="16" customWidth="1"/>
    <col min="31" max="16384" width="14.453125" style="16"/>
  </cols>
  <sheetData>
    <row r="1" spans="1:24" s="12" customFormat="1" ht="33.5" customHeight="1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>
        <v>12</v>
      </c>
      <c r="L1" s="10">
        <v>14</v>
      </c>
      <c r="M1" s="11" t="s">
        <v>10</v>
      </c>
      <c r="N1" s="20" t="s">
        <v>45</v>
      </c>
      <c r="O1" s="10" t="s">
        <v>11</v>
      </c>
      <c r="P1" s="19" t="s">
        <v>52</v>
      </c>
      <c r="Q1" s="21" t="s">
        <v>46</v>
      </c>
      <c r="R1" s="22" t="s">
        <v>27</v>
      </c>
      <c r="S1" s="19" t="s">
        <v>53</v>
      </c>
      <c r="T1" s="22" t="s">
        <v>51</v>
      </c>
      <c r="U1" s="19" t="s">
        <v>52</v>
      </c>
      <c r="V1" s="21" t="s">
        <v>46</v>
      </c>
      <c r="W1" s="22" t="s">
        <v>27</v>
      </c>
      <c r="X1" s="19" t="s">
        <v>53</v>
      </c>
    </row>
    <row r="2" spans="1:24" ht="14.25" customHeight="1">
      <c r="A2" s="13"/>
      <c r="B2" s="14"/>
      <c r="C2" s="14"/>
      <c r="D2" s="14"/>
      <c r="E2" s="14"/>
      <c r="F2" s="14"/>
      <c r="G2" s="14"/>
      <c r="H2" s="14"/>
      <c r="I2" s="14"/>
      <c r="J2" s="14"/>
      <c r="K2" s="14"/>
      <c r="L2" s="14">
        <v>20</v>
      </c>
      <c r="M2" s="15">
        <f t="shared" ref="M2:M225" si="0">SUM(F2:L2)</f>
        <v>20</v>
      </c>
      <c r="N2" s="24"/>
      <c r="O2" s="14"/>
      <c r="P2" s="49"/>
      <c r="Q2" s="24">
        <v>18</v>
      </c>
      <c r="R2" s="24">
        <f>Q2-M2</f>
        <v>-2</v>
      </c>
      <c r="S2" s="23"/>
      <c r="T2" s="24"/>
      <c r="U2" s="49"/>
      <c r="V2" s="24">
        <v>18</v>
      </c>
      <c r="W2" s="24">
        <f>V2-Q2</f>
        <v>0</v>
      </c>
      <c r="X2" s="24"/>
    </row>
    <row r="3" spans="1:24" ht="14.25" customHeight="1">
      <c r="A3" s="13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5">
        <f t="shared" si="0"/>
        <v>0</v>
      </c>
      <c r="N3" s="24"/>
      <c r="O3" s="14"/>
      <c r="P3" s="49"/>
      <c r="Q3" s="24"/>
      <c r="R3" s="24">
        <f t="shared" ref="R3:R66" si="1">Q3-M3</f>
        <v>0</v>
      </c>
      <c r="S3" s="23"/>
      <c r="T3" s="24"/>
      <c r="U3" s="49"/>
      <c r="V3" s="24"/>
      <c r="W3" s="24">
        <f t="shared" ref="W3:W66" si="2">V3-Q3</f>
        <v>0</v>
      </c>
      <c r="X3" s="24"/>
    </row>
    <row r="4" spans="1:24" ht="14.25" customHeight="1">
      <c r="A4" s="1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5">
        <f t="shared" si="0"/>
        <v>0</v>
      </c>
      <c r="N4" s="24"/>
      <c r="O4" s="14"/>
      <c r="P4" s="49"/>
      <c r="Q4" s="24"/>
      <c r="R4" s="24">
        <f t="shared" si="1"/>
        <v>0</v>
      </c>
      <c r="S4" s="23"/>
      <c r="T4" s="24"/>
      <c r="U4" s="49"/>
      <c r="V4" s="24"/>
      <c r="W4" s="24">
        <f t="shared" si="2"/>
        <v>0</v>
      </c>
      <c r="X4" s="24"/>
    </row>
    <row r="5" spans="1:24" ht="14.25" customHeight="1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5">
        <f t="shared" si="0"/>
        <v>0</v>
      </c>
      <c r="N5" s="24"/>
      <c r="O5" s="14"/>
      <c r="P5" s="49"/>
      <c r="Q5" s="24"/>
      <c r="R5" s="24">
        <f t="shared" si="1"/>
        <v>0</v>
      </c>
      <c r="S5" s="23"/>
      <c r="T5" s="24"/>
      <c r="U5" s="49"/>
      <c r="V5" s="24"/>
      <c r="W5" s="24">
        <f t="shared" si="2"/>
        <v>0</v>
      </c>
      <c r="X5" s="24"/>
    </row>
    <row r="6" spans="1:24" ht="14.25" customHeight="1">
      <c r="A6" s="13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5">
        <f t="shared" si="0"/>
        <v>0</v>
      </c>
      <c r="N6" s="24"/>
      <c r="O6" s="14"/>
      <c r="P6" s="49"/>
      <c r="Q6" s="24"/>
      <c r="R6" s="24">
        <f t="shared" si="1"/>
        <v>0</v>
      </c>
      <c r="S6" s="23"/>
      <c r="T6" s="24"/>
      <c r="U6" s="49"/>
      <c r="V6" s="24"/>
      <c r="W6" s="24">
        <f t="shared" si="2"/>
        <v>0</v>
      </c>
      <c r="X6" s="24"/>
    </row>
    <row r="7" spans="1:24" ht="14.25" customHeight="1">
      <c r="A7" s="13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5">
        <f t="shared" si="0"/>
        <v>0</v>
      </c>
      <c r="N7" s="24"/>
      <c r="O7" s="14"/>
      <c r="P7" s="49"/>
      <c r="Q7" s="24"/>
      <c r="R7" s="24">
        <f t="shared" si="1"/>
        <v>0</v>
      </c>
      <c r="S7" s="23"/>
      <c r="T7" s="24"/>
      <c r="U7" s="49"/>
      <c r="V7" s="24"/>
      <c r="W7" s="24">
        <f t="shared" si="2"/>
        <v>0</v>
      </c>
      <c r="X7" s="24"/>
    </row>
    <row r="8" spans="1:24" ht="14.25" customHeight="1">
      <c r="A8" s="13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5">
        <f t="shared" si="0"/>
        <v>0</v>
      </c>
      <c r="N8" s="24"/>
      <c r="O8" s="14"/>
      <c r="P8" s="49"/>
      <c r="Q8" s="24"/>
      <c r="R8" s="24">
        <f t="shared" si="1"/>
        <v>0</v>
      </c>
      <c r="S8" s="23"/>
      <c r="T8" s="24"/>
      <c r="U8" s="49"/>
      <c r="V8" s="24"/>
      <c r="W8" s="24">
        <f t="shared" si="2"/>
        <v>0</v>
      </c>
      <c r="X8" s="24"/>
    </row>
    <row r="9" spans="1:24" ht="14.25" customHeight="1">
      <c r="A9" s="13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5">
        <f t="shared" si="0"/>
        <v>0</v>
      </c>
      <c r="N9" s="24"/>
      <c r="O9" s="14"/>
      <c r="P9" s="49"/>
      <c r="Q9" s="24"/>
      <c r="R9" s="24">
        <f t="shared" si="1"/>
        <v>0</v>
      </c>
      <c r="S9" s="23"/>
      <c r="T9" s="24"/>
      <c r="U9" s="49"/>
      <c r="V9" s="24"/>
      <c r="W9" s="24">
        <f t="shared" si="2"/>
        <v>0</v>
      </c>
      <c r="X9" s="24"/>
    </row>
    <row r="10" spans="1:24" ht="14.25" customHeight="1">
      <c r="A10" s="13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5">
        <f t="shared" si="0"/>
        <v>0</v>
      </c>
      <c r="N10" s="24"/>
      <c r="O10" s="14"/>
      <c r="P10" s="49"/>
      <c r="Q10" s="24"/>
      <c r="R10" s="24">
        <f t="shared" si="1"/>
        <v>0</v>
      </c>
      <c r="S10" s="23"/>
      <c r="T10" s="24"/>
      <c r="U10" s="49"/>
      <c r="V10" s="24"/>
      <c r="W10" s="24">
        <f t="shared" si="2"/>
        <v>0</v>
      </c>
      <c r="X10" s="24"/>
    </row>
    <row r="11" spans="1:24" ht="14.25" customHeight="1">
      <c r="A11" s="13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5">
        <f t="shared" si="0"/>
        <v>0</v>
      </c>
      <c r="N11" s="24"/>
      <c r="O11" s="14"/>
      <c r="P11" s="49"/>
      <c r="Q11" s="24"/>
      <c r="R11" s="24">
        <f t="shared" si="1"/>
        <v>0</v>
      </c>
      <c r="S11" s="23"/>
      <c r="T11" s="24"/>
      <c r="U11" s="49"/>
      <c r="V11" s="24"/>
      <c r="W11" s="24">
        <f t="shared" si="2"/>
        <v>0</v>
      </c>
      <c r="X11" s="24"/>
    </row>
    <row r="12" spans="1:24" ht="14.25" customHeight="1">
      <c r="A12" s="13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5">
        <f t="shared" si="0"/>
        <v>0</v>
      </c>
      <c r="N12" s="24"/>
      <c r="O12" s="14"/>
      <c r="P12" s="49"/>
      <c r="Q12" s="24"/>
      <c r="R12" s="24">
        <f t="shared" si="1"/>
        <v>0</v>
      </c>
      <c r="S12" s="23"/>
      <c r="T12" s="24"/>
      <c r="U12" s="49"/>
      <c r="V12" s="24"/>
      <c r="W12" s="24">
        <f t="shared" si="2"/>
        <v>0</v>
      </c>
      <c r="X12" s="24"/>
    </row>
    <row r="13" spans="1:24" ht="14.25" customHeight="1">
      <c r="A13" s="13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5">
        <f t="shared" si="0"/>
        <v>0</v>
      </c>
      <c r="N13" s="24"/>
      <c r="O13" s="14"/>
      <c r="P13" s="49"/>
      <c r="Q13" s="24"/>
      <c r="R13" s="24">
        <f t="shared" si="1"/>
        <v>0</v>
      </c>
      <c r="S13" s="23"/>
      <c r="T13" s="24"/>
      <c r="U13" s="49"/>
      <c r="V13" s="24"/>
      <c r="W13" s="24">
        <f t="shared" si="2"/>
        <v>0</v>
      </c>
      <c r="X13" s="24"/>
    </row>
    <row r="14" spans="1:24" ht="14.25" customHeight="1">
      <c r="A14" s="13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5">
        <f t="shared" si="0"/>
        <v>0</v>
      </c>
      <c r="N14" s="24"/>
      <c r="O14" s="14"/>
      <c r="P14" s="49"/>
      <c r="Q14" s="24"/>
      <c r="R14" s="24">
        <f t="shared" si="1"/>
        <v>0</v>
      </c>
      <c r="S14" s="23"/>
      <c r="T14" s="24"/>
      <c r="U14" s="49"/>
      <c r="V14" s="24"/>
      <c r="W14" s="24">
        <f t="shared" si="2"/>
        <v>0</v>
      </c>
      <c r="X14" s="24"/>
    </row>
    <row r="15" spans="1:24" ht="14.25" customHeight="1">
      <c r="A15" s="13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5">
        <f t="shared" si="0"/>
        <v>0</v>
      </c>
      <c r="N15" s="24"/>
      <c r="O15" s="14"/>
      <c r="P15" s="49"/>
      <c r="Q15" s="24"/>
      <c r="R15" s="24">
        <f t="shared" si="1"/>
        <v>0</v>
      </c>
      <c r="S15" s="23"/>
      <c r="T15" s="24"/>
      <c r="U15" s="49"/>
      <c r="V15" s="24"/>
      <c r="W15" s="24">
        <f t="shared" si="2"/>
        <v>0</v>
      </c>
      <c r="X15" s="24"/>
    </row>
    <row r="16" spans="1:24" ht="14.25" customHeight="1">
      <c r="A16" s="13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5">
        <f t="shared" si="0"/>
        <v>0</v>
      </c>
      <c r="N16" s="24"/>
      <c r="O16" s="14"/>
      <c r="P16" s="49"/>
      <c r="Q16" s="24"/>
      <c r="R16" s="24">
        <f t="shared" si="1"/>
        <v>0</v>
      </c>
      <c r="S16" s="23"/>
      <c r="T16" s="24"/>
      <c r="U16" s="49"/>
      <c r="V16" s="24"/>
      <c r="W16" s="24">
        <f t="shared" si="2"/>
        <v>0</v>
      </c>
      <c r="X16" s="24"/>
    </row>
    <row r="17" spans="1:24" ht="14.25" customHeight="1">
      <c r="A17" s="13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5">
        <f t="shared" si="0"/>
        <v>0</v>
      </c>
      <c r="N17" s="24"/>
      <c r="O17" s="14"/>
      <c r="P17" s="49"/>
      <c r="Q17" s="24"/>
      <c r="R17" s="24">
        <f t="shared" si="1"/>
        <v>0</v>
      </c>
      <c r="S17" s="23"/>
      <c r="T17" s="24"/>
      <c r="U17" s="49"/>
      <c r="V17" s="24"/>
      <c r="W17" s="24">
        <f t="shared" si="2"/>
        <v>0</v>
      </c>
      <c r="X17" s="24"/>
    </row>
    <row r="18" spans="1:24" ht="14.25" customHeight="1">
      <c r="A18" s="13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5">
        <f t="shared" si="0"/>
        <v>0</v>
      </c>
      <c r="N18" s="24"/>
      <c r="O18" s="14"/>
      <c r="P18" s="49"/>
      <c r="Q18" s="24"/>
      <c r="R18" s="24">
        <f t="shared" si="1"/>
        <v>0</v>
      </c>
      <c r="S18" s="23"/>
      <c r="T18" s="24"/>
      <c r="U18" s="49"/>
      <c r="V18" s="24"/>
      <c r="W18" s="24">
        <f t="shared" si="2"/>
        <v>0</v>
      </c>
      <c r="X18" s="24"/>
    </row>
    <row r="19" spans="1:24" ht="14.25" customHeight="1">
      <c r="A19" s="13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5">
        <f t="shared" si="0"/>
        <v>0</v>
      </c>
      <c r="N19" s="24"/>
      <c r="O19" s="14"/>
      <c r="P19" s="49"/>
      <c r="Q19" s="24"/>
      <c r="R19" s="24">
        <f t="shared" si="1"/>
        <v>0</v>
      </c>
      <c r="S19" s="23"/>
      <c r="T19" s="24"/>
      <c r="U19" s="49"/>
      <c r="V19" s="24"/>
      <c r="W19" s="24">
        <f t="shared" si="2"/>
        <v>0</v>
      </c>
      <c r="X19" s="24"/>
    </row>
    <row r="20" spans="1:24" ht="14.25" customHeight="1">
      <c r="A20" s="13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5">
        <f t="shared" si="0"/>
        <v>0</v>
      </c>
      <c r="N20" s="24"/>
      <c r="O20" s="14"/>
      <c r="P20" s="49"/>
      <c r="Q20" s="24"/>
      <c r="R20" s="24">
        <f t="shared" si="1"/>
        <v>0</v>
      </c>
      <c r="S20" s="23"/>
      <c r="T20" s="24"/>
      <c r="U20" s="49"/>
      <c r="V20" s="24"/>
      <c r="W20" s="24">
        <f t="shared" si="2"/>
        <v>0</v>
      </c>
      <c r="X20" s="24"/>
    </row>
    <row r="21" spans="1:24" ht="14.25" customHeight="1">
      <c r="A21" s="13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5">
        <f t="shared" si="0"/>
        <v>0</v>
      </c>
      <c r="N21" s="24"/>
      <c r="O21" s="14"/>
      <c r="P21" s="49"/>
      <c r="Q21" s="24"/>
      <c r="R21" s="24">
        <f t="shared" si="1"/>
        <v>0</v>
      </c>
      <c r="S21" s="23"/>
      <c r="T21" s="24"/>
      <c r="U21" s="49"/>
      <c r="V21" s="24"/>
      <c r="W21" s="24">
        <f t="shared" si="2"/>
        <v>0</v>
      </c>
      <c r="X21" s="24"/>
    </row>
    <row r="22" spans="1:24" ht="14.25" customHeight="1">
      <c r="A22" s="13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5">
        <f t="shared" si="0"/>
        <v>0</v>
      </c>
      <c r="N22" s="24"/>
      <c r="O22" s="14"/>
      <c r="P22" s="49"/>
      <c r="Q22" s="24"/>
      <c r="R22" s="24">
        <f t="shared" si="1"/>
        <v>0</v>
      </c>
      <c r="S22" s="23"/>
      <c r="T22" s="24"/>
      <c r="U22" s="49"/>
      <c r="V22" s="24"/>
      <c r="W22" s="24">
        <f t="shared" si="2"/>
        <v>0</v>
      </c>
      <c r="X22" s="24"/>
    </row>
    <row r="23" spans="1:24" ht="14.25" customHeight="1">
      <c r="A23" s="13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5">
        <f t="shared" si="0"/>
        <v>0</v>
      </c>
      <c r="N23" s="24"/>
      <c r="O23" s="14"/>
      <c r="P23" s="49"/>
      <c r="Q23" s="24"/>
      <c r="R23" s="24">
        <f t="shared" si="1"/>
        <v>0</v>
      </c>
      <c r="S23" s="23"/>
      <c r="T23" s="24"/>
      <c r="U23" s="49"/>
      <c r="V23" s="24"/>
      <c r="W23" s="24">
        <f t="shared" si="2"/>
        <v>0</v>
      </c>
      <c r="X23" s="24"/>
    </row>
    <row r="24" spans="1:24" ht="14.25" customHeight="1">
      <c r="A24" s="13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5">
        <f t="shared" si="0"/>
        <v>0</v>
      </c>
      <c r="N24" s="24"/>
      <c r="O24" s="14"/>
      <c r="P24" s="49"/>
      <c r="Q24" s="24"/>
      <c r="R24" s="24">
        <f t="shared" si="1"/>
        <v>0</v>
      </c>
      <c r="S24" s="23"/>
      <c r="T24" s="24"/>
      <c r="U24" s="49"/>
      <c r="V24" s="24"/>
      <c r="W24" s="24">
        <f t="shared" si="2"/>
        <v>0</v>
      </c>
      <c r="X24" s="24"/>
    </row>
    <row r="25" spans="1:24" ht="14.25" customHeight="1">
      <c r="A25" s="13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5">
        <f t="shared" si="0"/>
        <v>0</v>
      </c>
      <c r="N25" s="24"/>
      <c r="O25" s="14"/>
      <c r="P25" s="49"/>
      <c r="Q25" s="24"/>
      <c r="R25" s="24">
        <f t="shared" si="1"/>
        <v>0</v>
      </c>
      <c r="S25" s="23"/>
      <c r="T25" s="24"/>
      <c r="U25" s="49"/>
      <c r="V25" s="24"/>
      <c r="W25" s="24">
        <f t="shared" si="2"/>
        <v>0</v>
      </c>
      <c r="X25" s="24"/>
    </row>
    <row r="26" spans="1:24" ht="14.25" customHeight="1">
      <c r="A26" s="13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5">
        <f t="shared" si="0"/>
        <v>0</v>
      </c>
      <c r="N26" s="24"/>
      <c r="O26" s="14"/>
      <c r="P26" s="49"/>
      <c r="Q26" s="24"/>
      <c r="R26" s="24">
        <f t="shared" si="1"/>
        <v>0</v>
      </c>
      <c r="S26" s="23"/>
      <c r="T26" s="24"/>
      <c r="U26" s="49"/>
      <c r="V26" s="24"/>
      <c r="W26" s="24">
        <f t="shared" si="2"/>
        <v>0</v>
      </c>
      <c r="X26" s="24"/>
    </row>
    <row r="27" spans="1:24" ht="14.25" customHeight="1">
      <c r="A27" s="13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5">
        <f t="shared" si="0"/>
        <v>0</v>
      </c>
      <c r="N27" s="24"/>
      <c r="O27" s="14"/>
      <c r="P27" s="49"/>
      <c r="Q27" s="24"/>
      <c r="R27" s="24">
        <f t="shared" si="1"/>
        <v>0</v>
      </c>
      <c r="S27" s="23"/>
      <c r="T27" s="24"/>
      <c r="U27" s="49"/>
      <c r="V27" s="24"/>
      <c r="W27" s="24">
        <f t="shared" si="2"/>
        <v>0</v>
      </c>
      <c r="X27" s="24"/>
    </row>
    <row r="28" spans="1:24" ht="14.25" customHeight="1">
      <c r="A28" s="13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5">
        <f t="shared" si="0"/>
        <v>0</v>
      </c>
      <c r="N28" s="24"/>
      <c r="O28" s="14"/>
      <c r="P28" s="49"/>
      <c r="Q28" s="24"/>
      <c r="R28" s="24">
        <f t="shared" si="1"/>
        <v>0</v>
      </c>
      <c r="S28" s="23"/>
      <c r="T28" s="24"/>
      <c r="U28" s="49"/>
      <c r="V28" s="24"/>
      <c r="W28" s="24">
        <f t="shared" si="2"/>
        <v>0</v>
      </c>
      <c r="X28" s="24"/>
    </row>
    <row r="29" spans="1:24" ht="14.25" customHeight="1">
      <c r="A29" s="13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5">
        <f t="shared" si="0"/>
        <v>0</v>
      </c>
      <c r="N29" s="24"/>
      <c r="O29" s="14"/>
      <c r="P29" s="49"/>
      <c r="Q29" s="24"/>
      <c r="R29" s="24">
        <f t="shared" si="1"/>
        <v>0</v>
      </c>
      <c r="S29" s="23"/>
      <c r="T29" s="24"/>
      <c r="U29" s="49"/>
      <c r="V29" s="24"/>
      <c r="W29" s="24">
        <f t="shared" si="2"/>
        <v>0</v>
      </c>
      <c r="X29" s="24"/>
    </row>
    <row r="30" spans="1:24" ht="14.25" customHeight="1">
      <c r="A30" s="13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5">
        <f t="shared" si="0"/>
        <v>0</v>
      </c>
      <c r="N30" s="24"/>
      <c r="O30" s="14"/>
      <c r="P30" s="49"/>
      <c r="Q30" s="24"/>
      <c r="R30" s="24">
        <f t="shared" si="1"/>
        <v>0</v>
      </c>
      <c r="S30" s="23"/>
      <c r="T30" s="24"/>
      <c r="U30" s="49"/>
      <c r="V30" s="24"/>
      <c r="W30" s="24">
        <f t="shared" si="2"/>
        <v>0</v>
      </c>
      <c r="X30" s="24"/>
    </row>
    <row r="31" spans="1:24" ht="14.25" customHeight="1">
      <c r="A31" s="13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5">
        <f t="shared" si="0"/>
        <v>0</v>
      </c>
      <c r="N31" s="24"/>
      <c r="O31" s="14"/>
      <c r="P31" s="49"/>
      <c r="Q31" s="24"/>
      <c r="R31" s="24">
        <f t="shared" si="1"/>
        <v>0</v>
      </c>
      <c r="S31" s="23"/>
      <c r="T31" s="24"/>
      <c r="U31" s="49"/>
      <c r="V31" s="24"/>
      <c r="W31" s="24">
        <f t="shared" si="2"/>
        <v>0</v>
      </c>
      <c r="X31" s="24"/>
    </row>
    <row r="32" spans="1:24" ht="14.25" customHeight="1">
      <c r="A32" s="13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5">
        <f t="shared" si="0"/>
        <v>0</v>
      </c>
      <c r="N32" s="24"/>
      <c r="O32" s="14"/>
      <c r="P32" s="49"/>
      <c r="Q32" s="24"/>
      <c r="R32" s="24">
        <f t="shared" si="1"/>
        <v>0</v>
      </c>
      <c r="S32" s="23"/>
      <c r="T32" s="24"/>
      <c r="U32" s="49"/>
      <c r="V32" s="24"/>
      <c r="W32" s="24">
        <f t="shared" si="2"/>
        <v>0</v>
      </c>
      <c r="X32" s="24"/>
    </row>
    <row r="33" spans="1:24" ht="14.25" customHeight="1">
      <c r="A33" s="13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5">
        <f t="shared" si="0"/>
        <v>0</v>
      </c>
      <c r="N33" s="24"/>
      <c r="O33" s="14"/>
      <c r="P33" s="49"/>
      <c r="Q33" s="24"/>
      <c r="R33" s="24">
        <f t="shared" si="1"/>
        <v>0</v>
      </c>
      <c r="S33" s="23"/>
      <c r="T33" s="24"/>
      <c r="U33" s="49"/>
      <c r="V33" s="24"/>
      <c r="W33" s="24">
        <f t="shared" si="2"/>
        <v>0</v>
      </c>
      <c r="X33" s="24"/>
    </row>
    <row r="34" spans="1:24" ht="14.25" customHeight="1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5">
        <f t="shared" si="0"/>
        <v>0</v>
      </c>
      <c r="N34" s="24"/>
      <c r="O34" s="14"/>
      <c r="P34" s="49"/>
      <c r="Q34" s="24"/>
      <c r="R34" s="24">
        <f t="shared" si="1"/>
        <v>0</v>
      </c>
      <c r="S34" s="23"/>
      <c r="T34" s="24"/>
      <c r="U34" s="49"/>
      <c r="V34" s="24"/>
      <c r="W34" s="24">
        <f t="shared" si="2"/>
        <v>0</v>
      </c>
      <c r="X34" s="24"/>
    </row>
    <row r="35" spans="1:24" ht="14.25" customHeight="1">
      <c r="A35" s="13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5">
        <f t="shared" si="0"/>
        <v>0</v>
      </c>
      <c r="N35" s="24"/>
      <c r="O35" s="14"/>
      <c r="P35" s="49"/>
      <c r="Q35" s="24"/>
      <c r="R35" s="24">
        <f t="shared" si="1"/>
        <v>0</v>
      </c>
      <c r="S35" s="23"/>
      <c r="T35" s="24"/>
      <c r="U35" s="49"/>
      <c r="V35" s="24"/>
      <c r="W35" s="24">
        <f t="shared" si="2"/>
        <v>0</v>
      </c>
      <c r="X35" s="24"/>
    </row>
    <row r="36" spans="1:24" ht="14.25" customHeight="1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5">
        <f t="shared" si="0"/>
        <v>0</v>
      </c>
      <c r="N36" s="24"/>
      <c r="O36" s="14"/>
      <c r="P36" s="49"/>
      <c r="Q36" s="24"/>
      <c r="R36" s="24">
        <f t="shared" si="1"/>
        <v>0</v>
      </c>
      <c r="S36" s="23"/>
      <c r="T36" s="24"/>
      <c r="U36" s="49"/>
      <c r="V36" s="24"/>
      <c r="W36" s="24">
        <f t="shared" si="2"/>
        <v>0</v>
      </c>
      <c r="X36" s="24"/>
    </row>
    <row r="37" spans="1:24" ht="14.25" customHeight="1">
      <c r="A37" s="13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5">
        <f t="shared" si="0"/>
        <v>0</v>
      </c>
      <c r="N37" s="24"/>
      <c r="O37" s="14"/>
      <c r="P37" s="49"/>
      <c r="Q37" s="24"/>
      <c r="R37" s="24">
        <f t="shared" si="1"/>
        <v>0</v>
      </c>
      <c r="S37" s="23"/>
      <c r="T37" s="24"/>
      <c r="U37" s="49"/>
      <c r="V37" s="24"/>
      <c r="W37" s="24">
        <f t="shared" si="2"/>
        <v>0</v>
      </c>
      <c r="X37" s="24"/>
    </row>
    <row r="38" spans="1:24" ht="14.25" customHeight="1">
      <c r="A38" s="13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5">
        <f t="shared" si="0"/>
        <v>0</v>
      </c>
      <c r="N38" s="24"/>
      <c r="O38" s="14"/>
      <c r="P38" s="49"/>
      <c r="Q38" s="24"/>
      <c r="R38" s="24">
        <f t="shared" si="1"/>
        <v>0</v>
      </c>
      <c r="S38" s="23"/>
      <c r="T38" s="24"/>
      <c r="U38" s="49"/>
      <c r="V38" s="24"/>
      <c r="W38" s="24">
        <f t="shared" si="2"/>
        <v>0</v>
      </c>
      <c r="X38" s="24"/>
    </row>
    <row r="39" spans="1:24" ht="14.25" customHeight="1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5">
        <f t="shared" si="0"/>
        <v>0</v>
      </c>
      <c r="N39" s="24"/>
      <c r="O39" s="14"/>
      <c r="P39" s="49"/>
      <c r="Q39" s="24"/>
      <c r="R39" s="24">
        <f t="shared" si="1"/>
        <v>0</v>
      </c>
      <c r="S39" s="23"/>
      <c r="T39" s="24"/>
      <c r="U39" s="49"/>
      <c r="V39" s="24"/>
      <c r="W39" s="24">
        <f t="shared" si="2"/>
        <v>0</v>
      </c>
      <c r="X39" s="24"/>
    </row>
    <row r="40" spans="1:24" ht="14.25" customHeight="1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5">
        <f t="shared" si="0"/>
        <v>0</v>
      </c>
      <c r="N40" s="24"/>
      <c r="O40" s="14"/>
      <c r="P40" s="49"/>
      <c r="Q40" s="24"/>
      <c r="R40" s="24">
        <f t="shared" si="1"/>
        <v>0</v>
      </c>
      <c r="S40" s="23"/>
      <c r="T40" s="24"/>
      <c r="U40" s="49"/>
      <c r="V40" s="24"/>
      <c r="W40" s="24">
        <f t="shared" si="2"/>
        <v>0</v>
      </c>
      <c r="X40" s="24"/>
    </row>
    <row r="41" spans="1:24" ht="14.25" customHeight="1">
      <c r="A41" s="13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5">
        <f t="shared" si="0"/>
        <v>0</v>
      </c>
      <c r="N41" s="24"/>
      <c r="O41" s="14"/>
      <c r="P41" s="49"/>
      <c r="Q41" s="24"/>
      <c r="R41" s="24">
        <f t="shared" si="1"/>
        <v>0</v>
      </c>
      <c r="S41" s="23"/>
      <c r="T41" s="24"/>
      <c r="U41" s="49"/>
      <c r="V41" s="24"/>
      <c r="W41" s="24">
        <f t="shared" si="2"/>
        <v>0</v>
      </c>
      <c r="X41" s="24"/>
    </row>
    <row r="42" spans="1:24" ht="14.25" customHeight="1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5">
        <f t="shared" si="0"/>
        <v>0</v>
      </c>
      <c r="N42" s="24"/>
      <c r="O42" s="14"/>
      <c r="P42" s="49"/>
      <c r="Q42" s="24"/>
      <c r="R42" s="24">
        <f t="shared" si="1"/>
        <v>0</v>
      </c>
      <c r="S42" s="23"/>
      <c r="T42" s="24"/>
      <c r="U42" s="49"/>
      <c r="V42" s="24"/>
      <c r="W42" s="24">
        <f t="shared" si="2"/>
        <v>0</v>
      </c>
      <c r="X42" s="24"/>
    </row>
    <row r="43" spans="1:24" ht="14.25" customHeight="1">
      <c r="A43" s="13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5">
        <f t="shared" si="0"/>
        <v>0</v>
      </c>
      <c r="N43" s="24"/>
      <c r="O43" s="14"/>
      <c r="P43" s="49"/>
      <c r="Q43" s="24"/>
      <c r="R43" s="24">
        <f t="shared" si="1"/>
        <v>0</v>
      </c>
      <c r="S43" s="23"/>
      <c r="T43" s="24"/>
      <c r="U43" s="49"/>
      <c r="V43" s="24"/>
      <c r="W43" s="24">
        <f t="shared" si="2"/>
        <v>0</v>
      </c>
      <c r="X43" s="24"/>
    </row>
    <row r="44" spans="1:24" ht="14.25" customHeight="1">
      <c r="A44" s="13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5">
        <f t="shared" si="0"/>
        <v>0</v>
      </c>
      <c r="N44" s="24"/>
      <c r="O44" s="14"/>
      <c r="P44" s="49"/>
      <c r="Q44" s="24"/>
      <c r="R44" s="24">
        <f t="shared" si="1"/>
        <v>0</v>
      </c>
      <c r="S44" s="23"/>
      <c r="T44" s="24"/>
      <c r="U44" s="49"/>
      <c r="V44" s="24"/>
      <c r="W44" s="24">
        <f t="shared" si="2"/>
        <v>0</v>
      </c>
      <c r="X44" s="24"/>
    </row>
    <row r="45" spans="1:24" ht="14.25" customHeight="1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5">
        <f t="shared" si="0"/>
        <v>0</v>
      </c>
      <c r="N45" s="24"/>
      <c r="O45" s="14"/>
      <c r="P45" s="49"/>
      <c r="Q45" s="24"/>
      <c r="R45" s="24">
        <f t="shared" si="1"/>
        <v>0</v>
      </c>
      <c r="S45" s="23"/>
      <c r="T45" s="24"/>
      <c r="U45" s="49"/>
      <c r="V45" s="24"/>
      <c r="W45" s="24">
        <f t="shared" si="2"/>
        <v>0</v>
      </c>
      <c r="X45" s="24"/>
    </row>
    <row r="46" spans="1:24" ht="14.25" customHeight="1">
      <c r="A46" s="13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5">
        <f t="shared" si="0"/>
        <v>0</v>
      </c>
      <c r="N46" s="24"/>
      <c r="O46" s="14"/>
      <c r="P46" s="49"/>
      <c r="Q46" s="24"/>
      <c r="R46" s="24">
        <f t="shared" si="1"/>
        <v>0</v>
      </c>
      <c r="S46" s="23"/>
      <c r="T46" s="24"/>
      <c r="U46" s="49"/>
      <c r="V46" s="24"/>
      <c r="W46" s="24">
        <f t="shared" si="2"/>
        <v>0</v>
      </c>
      <c r="X46" s="24"/>
    </row>
    <row r="47" spans="1:24" ht="14.25" customHeight="1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5">
        <f t="shared" si="0"/>
        <v>0</v>
      </c>
      <c r="N47" s="24"/>
      <c r="O47" s="14"/>
      <c r="P47" s="49"/>
      <c r="Q47" s="24"/>
      <c r="R47" s="24">
        <f t="shared" si="1"/>
        <v>0</v>
      </c>
      <c r="S47" s="23"/>
      <c r="T47" s="24"/>
      <c r="U47" s="49"/>
      <c r="V47" s="24"/>
      <c r="W47" s="24">
        <f t="shared" si="2"/>
        <v>0</v>
      </c>
      <c r="X47" s="24"/>
    </row>
    <row r="48" spans="1:24" ht="14.25" customHeight="1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5">
        <f t="shared" si="0"/>
        <v>0</v>
      </c>
      <c r="N48" s="24"/>
      <c r="O48" s="14"/>
      <c r="P48" s="49"/>
      <c r="Q48" s="24"/>
      <c r="R48" s="24">
        <f t="shared" si="1"/>
        <v>0</v>
      </c>
      <c r="S48" s="23"/>
      <c r="T48" s="24"/>
      <c r="U48" s="49"/>
      <c r="V48" s="24"/>
      <c r="W48" s="24">
        <f t="shared" si="2"/>
        <v>0</v>
      </c>
      <c r="X48" s="24"/>
    </row>
    <row r="49" spans="1:24" ht="14.25" customHeight="1">
      <c r="A49" s="13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5">
        <f t="shared" si="0"/>
        <v>0</v>
      </c>
      <c r="N49" s="24"/>
      <c r="O49" s="14"/>
      <c r="P49" s="49"/>
      <c r="Q49" s="24"/>
      <c r="R49" s="24">
        <f t="shared" si="1"/>
        <v>0</v>
      </c>
      <c r="S49" s="23"/>
      <c r="T49" s="24"/>
      <c r="U49" s="49"/>
      <c r="V49" s="24"/>
      <c r="W49" s="24">
        <f t="shared" si="2"/>
        <v>0</v>
      </c>
      <c r="X49" s="24"/>
    </row>
    <row r="50" spans="1:24" ht="14.25" customHeight="1">
      <c r="A50" s="13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5">
        <f t="shared" si="0"/>
        <v>0</v>
      </c>
      <c r="N50" s="24"/>
      <c r="O50" s="14"/>
      <c r="P50" s="49"/>
      <c r="Q50" s="24"/>
      <c r="R50" s="24">
        <f t="shared" si="1"/>
        <v>0</v>
      </c>
      <c r="S50" s="23"/>
      <c r="T50" s="24"/>
      <c r="U50" s="49"/>
      <c r="V50" s="24"/>
      <c r="W50" s="24">
        <f t="shared" si="2"/>
        <v>0</v>
      </c>
      <c r="X50" s="24"/>
    </row>
    <row r="51" spans="1:24" ht="14.25" customHeight="1">
      <c r="A51" s="13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5">
        <f t="shared" si="0"/>
        <v>0</v>
      </c>
      <c r="N51" s="24"/>
      <c r="O51" s="14"/>
      <c r="P51" s="49"/>
      <c r="Q51" s="24"/>
      <c r="R51" s="24">
        <f t="shared" si="1"/>
        <v>0</v>
      </c>
      <c r="S51" s="23"/>
      <c r="T51" s="24"/>
      <c r="U51" s="49"/>
      <c r="V51" s="24"/>
      <c r="W51" s="24">
        <f t="shared" si="2"/>
        <v>0</v>
      </c>
      <c r="X51" s="24"/>
    </row>
    <row r="52" spans="1:24" ht="14.25" customHeight="1">
      <c r="A52" s="13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5">
        <f t="shared" si="0"/>
        <v>0</v>
      </c>
      <c r="N52" s="24"/>
      <c r="O52" s="14"/>
      <c r="P52" s="49"/>
      <c r="Q52" s="24"/>
      <c r="R52" s="24">
        <f t="shared" si="1"/>
        <v>0</v>
      </c>
      <c r="S52" s="23"/>
      <c r="T52" s="24"/>
      <c r="U52" s="49"/>
      <c r="V52" s="24"/>
      <c r="W52" s="24">
        <f t="shared" si="2"/>
        <v>0</v>
      </c>
      <c r="X52" s="24"/>
    </row>
    <row r="53" spans="1:24" ht="14.25" customHeight="1">
      <c r="A53" s="13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5">
        <f t="shared" si="0"/>
        <v>0</v>
      </c>
      <c r="N53" s="24"/>
      <c r="O53" s="14"/>
      <c r="P53" s="49"/>
      <c r="Q53" s="24"/>
      <c r="R53" s="24">
        <f t="shared" si="1"/>
        <v>0</v>
      </c>
      <c r="S53" s="23"/>
      <c r="T53" s="24"/>
      <c r="U53" s="49"/>
      <c r="V53" s="24"/>
      <c r="W53" s="24">
        <f t="shared" si="2"/>
        <v>0</v>
      </c>
      <c r="X53" s="24"/>
    </row>
    <row r="54" spans="1:24" ht="14.25" customHeight="1">
      <c r="A54" s="13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5">
        <f t="shared" si="0"/>
        <v>0</v>
      </c>
      <c r="N54" s="24"/>
      <c r="O54" s="14"/>
      <c r="P54" s="49"/>
      <c r="Q54" s="24"/>
      <c r="R54" s="24">
        <f t="shared" si="1"/>
        <v>0</v>
      </c>
      <c r="S54" s="23"/>
      <c r="T54" s="24"/>
      <c r="U54" s="49"/>
      <c r="V54" s="24"/>
      <c r="W54" s="24">
        <f t="shared" si="2"/>
        <v>0</v>
      </c>
      <c r="X54" s="24"/>
    </row>
    <row r="55" spans="1:24" ht="14.25" customHeight="1">
      <c r="A55" s="13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5">
        <f t="shared" si="0"/>
        <v>0</v>
      </c>
      <c r="N55" s="24"/>
      <c r="O55" s="14"/>
      <c r="P55" s="49"/>
      <c r="Q55" s="24"/>
      <c r="R55" s="24">
        <f t="shared" si="1"/>
        <v>0</v>
      </c>
      <c r="S55" s="23"/>
      <c r="T55" s="24"/>
      <c r="U55" s="49"/>
      <c r="V55" s="24"/>
      <c r="W55" s="24">
        <f t="shared" si="2"/>
        <v>0</v>
      </c>
      <c r="X55" s="24"/>
    </row>
    <row r="56" spans="1:24" ht="14.25" customHeight="1">
      <c r="A56" s="13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5">
        <f t="shared" si="0"/>
        <v>0</v>
      </c>
      <c r="N56" s="24"/>
      <c r="O56" s="14"/>
      <c r="P56" s="49"/>
      <c r="Q56" s="24"/>
      <c r="R56" s="24">
        <f t="shared" si="1"/>
        <v>0</v>
      </c>
      <c r="S56" s="23"/>
      <c r="T56" s="24"/>
      <c r="U56" s="49"/>
      <c r="V56" s="24"/>
      <c r="W56" s="24">
        <f t="shared" si="2"/>
        <v>0</v>
      </c>
      <c r="X56" s="24"/>
    </row>
    <row r="57" spans="1:24" ht="14.25" customHeight="1">
      <c r="A57" s="13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5">
        <f t="shared" si="0"/>
        <v>0</v>
      </c>
      <c r="N57" s="24"/>
      <c r="O57" s="14"/>
      <c r="P57" s="49"/>
      <c r="Q57" s="24"/>
      <c r="R57" s="24">
        <f t="shared" si="1"/>
        <v>0</v>
      </c>
      <c r="S57" s="23"/>
      <c r="T57" s="24"/>
      <c r="U57" s="49"/>
      <c r="V57" s="24"/>
      <c r="W57" s="24">
        <f t="shared" si="2"/>
        <v>0</v>
      </c>
      <c r="X57" s="24"/>
    </row>
    <row r="58" spans="1:24" ht="14.25" customHeight="1">
      <c r="A58" s="13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5">
        <f t="shared" si="0"/>
        <v>0</v>
      </c>
      <c r="N58" s="24"/>
      <c r="O58" s="14"/>
      <c r="P58" s="49"/>
      <c r="Q58" s="24"/>
      <c r="R58" s="24">
        <f t="shared" si="1"/>
        <v>0</v>
      </c>
      <c r="S58" s="23"/>
      <c r="T58" s="24"/>
      <c r="U58" s="49"/>
      <c r="V58" s="24"/>
      <c r="W58" s="24">
        <f t="shared" si="2"/>
        <v>0</v>
      </c>
      <c r="X58" s="24"/>
    </row>
    <row r="59" spans="1:24" ht="14.25" customHeight="1">
      <c r="A59" s="13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5">
        <f t="shared" si="0"/>
        <v>0</v>
      </c>
      <c r="N59" s="24"/>
      <c r="O59" s="14"/>
      <c r="P59" s="49"/>
      <c r="Q59" s="24"/>
      <c r="R59" s="24">
        <f t="shared" si="1"/>
        <v>0</v>
      </c>
      <c r="S59" s="23"/>
      <c r="T59" s="24"/>
      <c r="U59" s="49"/>
      <c r="V59" s="24"/>
      <c r="W59" s="24">
        <f t="shared" si="2"/>
        <v>0</v>
      </c>
      <c r="X59" s="24"/>
    </row>
    <row r="60" spans="1:24" ht="14.25" customHeight="1">
      <c r="A60" s="13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5">
        <f t="shared" si="0"/>
        <v>0</v>
      </c>
      <c r="N60" s="24"/>
      <c r="O60" s="14"/>
      <c r="P60" s="49"/>
      <c r="Q60" s="24"/>
      <c r="R60" s="24">
        <f t="shared" si="1"/>
        <v>0</v>
      </c>
      <c r="S60" s="23"/>
      <c r="T60" s="24"/>
      <c r="U60" s="49"/>
      <c r="V60" s="24"/>
      <c r="W60" s="24">
        <f t="shared" si="2"/>
        <v>0</v>
      </c>
      <c r="X60" s="24"/>
    </row>
    <row r="61" spans="1:24" ht="14.25" customHeight="1">
      <c r="A61" s="13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5">
        <f t="shared" si="0"/>
        <v>0</v>
      </c>
      <c r="N61" s="24"/>
      <c r="O61" s="14"/>
      <c r="P61" s="49"/>
      <c r="Q61" s="24"/>
      <c r="R61" s="24">
        <f t="shared" si="1"/>
        <v>0</v>
      </c>
      <c r="S61" s="23"/>
      <c r="T61" s="24"/>
      <c r="U61" s="49"/>
      <c r="V61" s="24"/>
      <c r="W61" s="24">
        <f t="shared" si="2"/>
        <v>0</v>
      </c>
      <c r="X61" s="24"/>
    </row>
    <row r="62" spans="1:24" ht="14.25" customHeight="1">
      <c r="A62" s="13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5">
        <f t="shared" si="0"/>
        <v>0</v>
      </c>
      <c r="N62" s="24"/>
      <c r="O62" s="14"/>
      <c r="P62" s="49"/>
      <c r="Q62" s="24"/>
      <c r="R62" s="24">
        <f t="shared" si="1"/>
        <v>0</v>
      </c>
      <c r="S62" s="23"/>
      <c r="T62" s="24"/>
      <c r="U62" s="49"/>
      <c r="V62" s="24"/>
      <c r="W62" s="24">
        <f t="shared" si="2"/>
        <v>0</v>
      </c>
      <c r="X62" s="24"/>
    </row>
    <row r="63" spans="1:24" ht="14.25" customHeight="1">
      <c r="A63" s="13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5">
        <f t="shared" si="0"/>
        <v>0</v>
      </c>
      <c r="N63" s="24"/>
      <c r="O63" s="14"/>
      <c r="P63" s="49"/>
      <c r="Q63" s="24"/>
      <c r="R63" s="24">
        <f t="shared" si="1"/>
        <v>0</v>
      </c>
      <c r="S63" s="23"/>
      <c r="T63" s="24"/>
      <c r="U63" s="49"/>
      <c r="V63" s="24"/>
      <c r="W63" s="24">
        <f t="shared" si="2"/>
        <v>0</v>
      </c>
      <c r="X63" s="24"/>
    </row>
    <row r="64" spans="1:24" ht="14.25" customHeight="1">
      <c r="A64" s="13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5">
        <f t="shared" si="0"/>
        <v>0</v>
      </c>
      <c r="N64" s="24"/>
      <c r="O64" s="14"/>
      <c r="P64" s="49"/>
      <c r="Q64" s="24"/>
      <c r="R64" s="24">
        <f t="shared" si="1"/>
        <v>0</v>
      </c>
      <c r="S64" s="23"/>
      <c r="T64" s="24"/>
      <c r="U64" s="49"/>
      <c r="V64" s="24"/>
      <c r="W64" s="24">
        <f t="shared" si="2"/>
        <v>0</v>
      </c>
      <c r="X64" s="24"/>
    </row>
    <row r="65" spans="1:24" ht="14.25" customHeight="1">
      <c r="A65" s="13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5">
        <f t="shared" si="0"/>
        <v>0</v>
      </c>
      <c r="N65" s="24"/>
      <c r="O65" s="14"/>
      <c r="P65" s="49"/>
      <c r="Q65" s="24"/>
      <c r="R65" s="24">
        <f t="shared" si="1"/>
        <v>0</v>
      </c>
      <c r="S65" s="23"/>
      <c r="T65" s="24"/>
      <c r="U65" s="49"/>
      <c r="V65" s="24"/>
      <c r="W65" s="24">
        <f t="shared" si="2"/>
        <v>0</v>
      </c>
      <c r="X65" s="24"/>
    </row>
    <row r="66" spans="1:24" ht="14.25" customHeight="1">
      <c r="A66" s="13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5">
        <f t="shared" si="0"/>
        <v>0</v>
      </c>
      <c r="N66" s="24"/>
      <c r="O66" s="14"/>
      <c r="P66" s="49"/>
      <c r="Q66" s="24"/>
      <c r="R66" s="24">
        <f t="shared" si="1"/>
        <v>0</v>
      </c>
      <c r="S66" s="23"/>
      <c r="T66" s="24"/>
      <c r="U66" s="49"/>
      <c r="V66" s="24"/>
      <c r="W66" s="24">
        <f t="shared" si="2"/>
        <v>0</v>
      </c>
      <c r="X66" s="24"/>
    </row>
    <row r="67" spans="1:24" ht="14.25" customHeight="1">
      <c r="A67" s="13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5">
        <f t="shared" si="0"/>
        <v>0</v>
      </c>
      <c r="N67" s="24"/>
      <c r="O67" s="14"/>
      <c r="P67" s="49"/>
      <c r="Q67" s="24"/>
      <c r="R67" s="24">
        <f t="shared" ref="R67:R130" si="3">Q67-M67</f>
        <v>0</v>
      </c>
      <c r="S67" s="23"/>
      <c r="T67" s="24"/>
      <c r="U67" s="49"/>
      <c r="V67" s="24"/>
      <c r="W67" s="24">
        <f t="shared" ref="W67:W130" si="4">V67-Q67</f>
        <v>0</v>
      </c>
      <c r="X67" s="24"/>
    </row>
    <row r="68" spans="1:24" ht="14.25" customHeight="1">
      <c r="A68" s="13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5">
        <f t="shared" si="0"/>
        <v>0</v>
      </c>
      <c r="N68" s="24"/>
      <c r="O68" s="14"/>
      <c r="P68" s="49"/>
      <c r="Q68" s="24"/>
      <c r="R68" s="24">
        <f t="shared" si="3"/>
        <v>0</v>
      </c>
      <c r="S68" s="23"/>
      <c r="T68" s="24"/>
      <c r="U68" s="49"/>
      <c r="V68" s="24"/>
      <c r="W68" s="24">
        <f t="shared" si="4"/>
        <v>0</v>
      </c>
      <c r="X68" s="24"/>
    </row>
    <row r="69" spans="1:24" ht="14.25" customHeight="1">
      <c r="A69" s="13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5">
        <f t="shared" si="0"/>
        <v>0</v>
      </c>
      <c r="N69" s="24"/>
      <c r="O69" s="14"/>
      <c r="P69" s="49"/>
      <c r="Q69" s="24"/>
      <c r="R69" s="24">
        <f t="shared" si="3"/>
        <v>0</v>
      </c>
      <c r="S69" s="23"/>
      <c r="T69" s="24"/>
      <c r="U69" s="49"/>
      <c r="V69" s="24"/>
      <c r="W69" s="24">
        <f t="shared" si="4"/>
        <v>0</v>
      </c>
      <c r="X69" s="24"/>
    </row>
    <row r="70" spans="1:24" ht="14.25" customHeight="1">
      <c r="A70" s="13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5">
        <f t="shared" si="0"/>
        <v>0</v>
      </c>
      <c r="N70" s="24"/>
      <c r="O70" s="14"/>
      <c r="P70" s="49"/>
      <c r="Q70" s="24"/>
      <c r="R70" s="24">
        <f t="shared" si="3"/>
        <v>0</v>
      </c>
      <c r="S70" s="23"/>
      <c r="T70" s="24"/>
      <c r="U70" s="49"/>
      <c r="V70" s="24"/>
      <c r="W70" s="24">
        <f t="shared" si="4"/>
        <v>0</v>
      </c>
      <c r="X70" s="24"/>
    </row>
    <row r="71" spans="1:24" ht="14.25" customHeight="1">
      <c r="A71" s="13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5">
        <f t="shared" si="0"/>
        <v>0</v>
      </c>
      <c r="N71" s="24"/>
      <c r="O71" s="14"/>
      <c r="P71" s="49"/>
      <c r="Q71" s="24"/>
      <c r="R71" s="24">
        <f t="shared" si="3"/>
        <v>0</v>
      </c>
      <c r="S71" s="23"/>
      <c r="T71" s="24"/>
      <c r="U71" s="49"/>
      <c r="V71" s="24"/>
      <c r="W71" s="24">
        <f t="shared" si="4"/>
        <v>0</v>
      </c>
      <c r="X71" s="24"/>
    </row>
    <row r="72" spans="1:24" ht="14.25" customHeight="1">
      <c r="A72" s="13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5">
        <f t="shared" si="0"/>
        <v>0</v>
      </c>
      <c r="N72" s="24"/>
      <c r="O72" s="14"/>
      <c r="P72" s="49"/>
      <c r="Q72" s="24"/>
      <c r="R72" s="24">
        <f t="shared" si="3"/>
        <v>0</v>
      </c>
      <c r="S72" s="23"/>
      <c r="T72" s="24"/>
      <c r="U72" s="49"/>
      <c r="V72" s="24"/>
      <c r="W72" s="24">
        <f t="shared" si="4"/>
        <v>0</v>
      </c>
      <c r="X72" s="24"/>
    </row>
    <row r="73" spans="1:24" ht="14.25" customHeight="1">
      <c r="A73" s="13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5">
        <f t="shared" si="0"/>
        <v>0</v>
      </c>
      <c r="N73" s="24"/>
      <c r="O73" s="14"/>
      <c r="P73" s="49"/>
      <c r="Q73" s="24"/>
      <c r="R73" s="24">
        <f t="shared" si="3"/>
        <v>0</v>
      </c>
      <c r="S73" s="23"/>
      <c r="T73" s="24"/>
      <c r="U73" s="49"/>
      <c r="V73" s="24"/>
      <c r="W73" s="24">
        <f t="shared" si="4"/>
        <v>0</v>
      </c>
      <c r="X73" s="24"/>
    </row>
    <row r="74" spans="1:24" ht="14.25" customHeight="1">
      <c r="A74" s="13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5">
        <f t="shared" si="0"/>
        <v>0</v>
      </c>
      <c r="N74" s="24"/>
      <c r="O74" s="14"/>
      <c r="P74" s="49"/>
      <c r="Q74" s="24"/>
      <c r="R74" s="24">
        <f t="shared" si="3"/>
        <v>0</v>
      </c>
      <c r="S74" s="23"/>
      <c r="T74" s="24"/>
      <c r="U74" s="49"/>
      <c r="V74" s="24"/>
      <c r="W74" s="24">
        <f t="shared" si="4"/>
        <v>0</v>
      </c>
      <c r="X74" s="24"/>
    </row>
    <row r="75" spans="1:24" ht="14.25" customHeight="1">
      <c r="A75" s="13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5">
        <f t="shared" si="0"/>
        <v>0</v>
      </c>
      <c r="N75" s="24"/>
      <c r="O75" s="14"/>
      <c r="P75" s="49"/>
      <c r="Q75" s="24"/>
      <c r="R75" s="24">
        <f t="shared" si="3"/>
        <v>0</v>
      </c>
      <c r="S75" s="23"/>
      <c r="T75" s="24"/>
      <c r="U75" s="49"/>
      <c r="V75" s="24"/>
      <c r="W75" s="24">
        <f t="shared" si="4"/>
        <v>0</v>
      </c>
      <c r="X75" s="24"/>
    </row>
    <row r="76" spans="1:24" ht="14.25" customHeight="1">
      <c r="A76" s="13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5">
        <f t="shared" si="0"/>
        <v>0</v>
      </c>
      <c r="N76" s="24"/>
      <c r="O76" s="14"/>
      <c r="P76" s="49"/>
      <c r="Q76" s="24"/>
      <c r="R76" s="24">
        <f t="shared" si="3"/>
        <v>0</v>
      </c>
      <c r="S76" s="23"/>
      <c r="T76" s="24"/>
      <c r="U76" s="49"/>
      <c r="V76" s="24"/>
      <c r="W76" s="24">
        <f t="shared" si="4"/>
        <v>0</v>
      </c>
      <c r="X76" s="24"/>
    </row>
    <row r="77" spans="1:24" ht="14.25" customHeight="1">
      <c r="A77" s="13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5">
        <f t="shared" si="0"/>
        <v>0</v>
      </c>
      <c r="N77" s="24"/>
      <c r="O77" s="14"/>
      <c r="P77" s="49"/>
      <c r="Q77" s="24"/>
      <c r="R77" s="24">
        <f t="shared" si="3"/>
        <v>0</v>
      </c>
      <c r="S77" s="23"/>
      <c r="T77" s="24"/>
      <c r="U77" s="49"/>
      <c r="V77" s="24"/>
      <c r="W77" s="24">
        <f t="shared" si="4"/>
        <v>0</v>
      </c>
      <c r="X77" s="24"/>
    </row>
    <row r="78" spans="1:24" ht="14.25" customHeight="1">
      <c r="A78" s="13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5">
        <f t="shared" si="0"/>
        <v>0</v>
      </c>
      <c r="N78" s="24"/>
      <c r="O78" s="14"/>
      <c r="P78" s="49"/>
      <c r="Q78" s="24"/>
      <c r="R78" s="24">
        <f t="shared" si="3"/>
        <v>0</v>
      </c>
      <c r="S78" s="23"/>
      <c r="T78" s="24"/>
      <c r="U78" s="49"/>
      <c r="V78" s="24"/>
      <c r="W78" s="24">
        <f t="shared" si="4"/>
        <v>0</v>
      </c>
      <c r="X78" s="24"/>
    </row>
    <row r="79" spans="1:24" ht="14.25" customHeight="1">
      <c r="A79" s="13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5">
        <f t="shared" si="0"/>
        <v>0</v>
      </c>
      <c r="N79" s="24"/>
      <c r="O79" s="14"/>
      <c r="P79" s="49"/>
      <c r="Q79" s="24"/>
      <c r="R79" s="24">
        <f t="shared" si="3"/>
        <v>0</v>
      </c>
      <c r="S79" s="23"/>
      <c r="T79" s="24"/>
      <c r="U79" s="49"/>
      <c r="V79" s="24"/>
      <c r="W79" s="24">
        <f t="shared" si="4"/>
        <v>0</v>
      </c>
      <c r="X79" s="24"/>
    </row>
    <row r="80" spans="1:24" ht="14.25" customHeight="1">
      <c r="A80" s="13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5">
        <f t="shared" si="0"/>
        <v>0</v>
      </c>
      <c r="N80" s="24"/>
      <c r="O80" s="14"/>
      <c r="P80" s="49"/>
      <c r="Q80" s="24"/>
      <c r="R80" s="24">
        <f t="shared" si="3"/>
        <v>0</v>
      </c>
      <c r="S80" s="23"/>
      <c r="T80" s="24"/>
      <c r="U80" s="49"/>
      <c r="V80" s="24"/>
      <c r="W80" s="24">
        <f t="shared" si="4"/>
        <v>0</v>
      </c>
      <c r="X80" s="24"/>
    </row>
    <row r="81" spans="1:24" ht="14.25" customHeight="1">
      <c r="A81" s="13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5">
        <f t="shared" si="0"/>
        <v>0</v>
      </c>
      <c r="N81" s="24"/>
      <c r="O81" s="14"/>
      <c r="P81" s="49"/>
      <c r="Q81" s="24"/>
      <c r="R81" s="24">
        <f t="shared" si="3"/>
        <v>0</v>
      </c>
      <c r="S81" s="23"/>
      <c r="T81" s="24"/>
      <c r="U81" s="49"/>
      <c r="V81" s="24"/>
      <c r="W81" s="24">
        <f t="shared" si="4"/>
        <v>0</v>
      </c>
      <c r="X81" s="24"/>
    </row>
    <row r="82" spans="1:24" ht="14.25" customHeight="1">
      <c r="A82" s="13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5">
        <f t="shared" si="0"/>
        <v>0</v>
      </c>
      <c r="N82" s="24"/>
      <c r="O82" s="14"/>
      <c r="P82" s="49"/>
      <c r="Q82" s="24"/>
      <c r="R82" s="24">
        <f t="shared" si="3"/>
        <v>0</v>
      </c>
      <c r="S82" s="23"/>
      <c r="T82" s="24"/>
      <c r="U82" s="49"/>
      <c r="V82" s="24"/>
      <c r="W82" s="24">
        <f t="shared" si="4"/>
        <v>0</v>
      </c>
      <c r="X82" s="24"/>
    </row>
    <row r="83" spans="1:24" ht="14.25" customHeight="1">
      <c r="A83" s="13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5">
        <f t="shared" si="0"/>
        <v>0</v>
      </c>
      <c r="N83" s="24"/>
      <c r="O83" s="14"/>
      <c r="P83" s="49"/>
      <c r="Q83" s="24"/>
      <c r="R83" s="24">
        <f t="shared" si="3"/>
        <v>0</v>
      </c>
      <c r="S83" s="23"/>
      <c r="T83" s="24"/>
      <c r="U83" s="49"/>
      <c r="V83" s="24"/>
      <c r="W83" s="24">
        <f t="shared" si="4"/>
        <v>0</v>
      </c>
      <c r="X83" s="24"/>
    </row>
    <row r="84" spans="1:24" ht="14.25" customHeight="1">
      <c r="A84" s="13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5">
        <f t="shared" si="0"/>
        <v>0</v>
      </c>
      <c r="N84" s="24"/>
      <c r="O84" s="14"/>
      <c r="P84" s="49"/>
      <c r="Q84" s="24"/>
      <c r="R84" s="24">
        <f t="shared" si="3"/>
        <v>0</v>
      </c>
      <c r="S84" s="23"/>
      <c r="T84" s="24"/>
      <c r="U84" s="49"/>
      <c r="V84" s="24"/>
      <c r="W84" s="24">
        <f t="shared" si="4"/>
        <v>0</v>
      </c>
      <c r="X84" s="24"/>
    </row>
    <row r="85" spans="1:24" ht="14.25" customHeight="1">
      <c r="A85" s="13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5">
        <f t="shared" si="0"/>
        <v>0</v>
      </c>
      <c r="N85" s="24"/>
      <c r="O85" s="14"/>
      <c r="P85" s="49"/>
      <c r="Q85" s="24"/>
      <c r="R85" s="24">
        <f t="shared" si="3"/>
        <v>0</v>
      </c>
      <c r="S85" s="23"/>
      <c r="T85" s="24"/>
      <c r="U85" s="49"/>
      <c r="V85" s="24"/>
      <c r="W85" s="24">
        <f t="shared" si="4"/>
        <v>0</v>
      </c>
      <c r="X85" s="24"/>
    </row>
    <row r="86" spans="1:24" ht="14.25" customHeight="1">
      <c r="A86" s="13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5">
        <f t="shared" si="0"/>
        <v>0</v>
      </c>
      <c r="N86" s="24"/>
      <c r="O86" s="14"/>
      <c r="P86" s="49"/>
      <c r="Q86" s="24"/>
      <c r="R86" s="24">
        <f t="shared" si="3"/>
        <v>0</v>
      </c>
      <c r="S86" s="23"/>
      <c r="T86" s="24"/>
      <c r="U86" s="49"/>
      <c r="V86" s="24"/>
      <c r="W86" s="24">
        <f t="shared" si="4"/>
        <v>0</v>
      </c>
      <c r="X86" s="24"/>
    </row>
    <row r="87" spans="1:24" ht="14.25" customHeight="1">
      <c r="A87" s="13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5">
        <f t="shared" si="0"/>
        <v>0</v>
      </c>
      <c r="N87" s="24"/>
      <c r="O87" s="14"/>
      <c r="P87" s="49"/>
      <c r="Q87" s="24"/>
      <c r="R87" s="24">
        <f t="shared" si="3"/>
        <v>0</v>
      </c>
      <c r="S87" s="23"/>
      <c r="T87" s="24"/>
      <c r="U87" s="49"/>
      <c r="V87" s="24"/>
      <c r="W87" s="24">
        <f t="shared" si="4"/>
        <v>0</v>
      </c>
      <c r="X87" s="24"/>
    </row>
    <row r="88" spans="1:24" ht="14.25" customHeight="1">
      <c r="A88" s="13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5">
        <f t="shared" si="0"/>
        <v>0</v>
      </c>
      <c r="N88" s="24"/>
      <c r="O88" s="14"/>
      <c r="P88" s="49"/>
      <c r="Q88" s="24"/>
      <c r="R88" s="24">
        <f t="shared" si="3"/>
        <v>0</v>
      </c>
      <c r="S88" s="23"/>
      <c r="T88" s="24"/>
      <c r="U88" s="49"/>
      <c r="V88" s="24"/>
      <c r="W88" s="24">
        <f t="shared" si="4"/>
        <v>0</v>
      </c>
      <c r="X88" s="24"/>
    </row>
    <row r="89" spans="1:24" ht="14.25" customHeight="1">
      <c r="A89" s="13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5">
        <f t="shared" si="0"/>
        <v>0</v>
      </c>
      <c r="N89" s="24"/>
      <c r="O89" s="14"/>
      <c r="P89" s="49"/>
      <c r="Q89" s="24"/>
      <c r="R89" s="24">
        <f t="shared" si="3"/>
        <v>0</v>
      </c>
      <c r="S89" s="23"/>
      <c r="T89" s="24"/>
      <c r="U89" s="49"/>
      <c r="V89" s="24"/>
      <c r="W89" s="24">
        <f t="shared" si="4"/>
        <v>0</v>
      </c>
      <c r="X89" s="24"/>
    </row>
    <row r="90" spans="1:24" ht="14.25" customHeight="1">
      <c r="A90" s="13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5">
        <f t="shared" si="0"/>
        <v>0</v>
      </c>
      <c r="N90" s="24"/>
      <c r="O90" s="14"/>
      <c r="P90" s="49"/>
      <c r="Q90" s="24"/>
      <c r="R90" s="24">
        <f t="shared" si="3"/>
        <v>0</v>
      </c>
      <c r="S90" s="23"/>
      <c r="T90" s="24"/>
      <c r="U90" s="49"/>
      <c r="V90" s="24"/>
      <c r="W90" s="24">
        <f t="shared" si="4"/>
        <v>0</v>
      </c>
      <c r="X90" s="24"/>
    </row>
    <row r="91" spans="1:24" ht="14.25" customHeight="1">
      <c r="A91" s="13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5">
        <f t="shared" si="0"/>
        <v>0</v>
      </c>
      <c r="N91" s="24"/>
      <c r="O91" s="14"/>
      <c r="P91" s="49"/>
      <c r="Q91" s="24"/>
      <c r="R91" s="24">
        <f t="shared" si="3"/>
        <v>0</v>
      </c>
      <c r="S91" s="23"/>
      <c r="T91" s="24"/>
      <c r="U91" s="49"/>
      <c r="V91" s="24"/>
      <c r="W91" s="24">
        <f t="shared" si="4"/>
        <v>0</v>
      </c>
      <c r="X91" s="24"/>
    </row>
    <row r="92" spans="1:24" ht="14.25" customHeight="1">
      <c r="A92" s="13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5">
        <f t="shared" si="0"/>
        <v>0</v>
      </c>
      <c r="N92" s="24"/>
      <c r="O92" s="14"/>
      <c r="P92" s="49"/>
      <c r="Q92" s="24"/>
      <c r="R92" s="24">
        <f t="shared" si="3"/>
        <v>0</v>
      </c>
      <c r="S92" s="23"/>
      <c r="T92" s="24"/>
      <c r="U92" s="49"/>
      <c r="V92" s="24"/>
      <c r="W92" s="24">
        <f t="shared" si="4"/>
        <v>0</v>
      </c>
      <c r="X92" s="24"/>
    </row>
    <row r="93" spans="1:24" ht="14.25" customHeight="1">
      <c r="A93" s="13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5">
        <f t="shared" si="0"/>
        <v>0</v>
      </c>
      <c r="N93" s="24"/>
      <c r="O93" s="14"/>
      <c r="P93" s="49"/>
      <c r="Q93" s="24"/>
      <c r="R93" s="24">
        <f t="shared" si="3"/>
        <v>0</v>
      </c>
      <c r="S93" s="23"/>
      <c r="T93" s="24"/>
      <c r="U93" s="49"/>
      <c r="V93" s="24"/>
      <c r="W93" s="24">
        <f t="shared" si="4"/>
        <v>0</v>
      </c>
      <c r="X93" s="24"/>
    </row>
    <row r="94" spans="1:24" ht="14.25" customHeight="1">
      <c r="A94" s="13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5">
        <f t="shared" si="0"/>
        <v>0</v>
      </c>
      <c r="N94" s="24"/>
      <c r="O94" s="14"/>
      <c r="P94" s="49"/>
      <c r="Q94" s="24"/>
      <c r="R94" s="24">
        <f t="shared" si="3"/>
        <v>0</v>
      </c>
      <c r="S94" s="23"/>
      <c r="T94" s="24"/>
      <c r="U94" s="49"/>
      <c r="V94" s="24"/>
      <c r="W94" s="24">
        <f t="shared" si="4"/>
        <v>0</v>
      </c>
      <c r="X94" s="24"/>
    </row>
    <row r="95" spans="1:24" ht="14.25" customHeight="1">
      <c r="A95" s="13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5">
        <f t="shared" si="0"/>
        <v>0</v>
      </c>
      <c r="N95" s="24"/>
      <c r="O95" s="14"/>
      <c r="P95" s="49"/>
      <c r="Q95" s="24"/>
      <c r="R95" s="24">
        <f t="shared" si="3"/>
        <v>0</v>
      </c>
      <c r="S95" s="23"/>
      <c r="T95" s="24"/>
      <c r="U95" s="49"/>
      <c r="V95" s="24"/>
      <c r="W95" s="24">
        <f t="shared" si="4"/>
        <v>0</v>
      </c>
      <c r="X95" s="24"/>
    </row>
    <row r="96" spans="1:24" ht="14.25" customHeight="1">
      <c r="A96" s="13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5">
        <f t="shared" si="0"/>
        <v>0</v>
      </c>
      <c r="N96" s="24"/>
      <c r="O96" s="14"/>
      <c r="P96" s="49"/>
      <c r="Q96" s="24"/>
      <c r="R96" s="24">
        <f t="shared" si="3"/>
        <v>0</v>
      </c>
      <c r="S96" s="23"/>
      <c r="T96" s="24"/>
      <c r="U96" s="49"/>
      <c r="V96" s="24"/>
      <c r="W96" s="24">
        <f t="shared" si="4"/>
        <v>0</v>
      </c>
      <c r="X96" s="24"/>
    </row>
    <row r="97" spans="1:24" ht="14.25" customHeight="1">
      <c r="A97" s="13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5">
        <f t="shared" si="0"/>
        <v>0</v>
      </c>
      <c r="N97" s="24"/>
      <c r="O97" s="14"/>
      <c r="P97" s="49"/>
      <c r="Q97" s="24"/>
      <c r="R97" s="24">
        <f t="shared" si="3"/>
        <v>0</v>
      </c>
      <c r="S97" s="23"/>
      <c r="T97" s="24"/>
      <c r="U97" s="49"/>
      <c r="V97" s="24"/>
      <c r="W97" s="24">
        <f t="shared" si="4"/>
        <v>0</v>
      </c>
      <c r="X97" s="24"/>
    </row>
    <row r="98" spans="1:24" ht="14.25" customHeight="1">
      <c r="A98" s="13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5">
        <f t="shared" si="0"/>
        <v>0</v>
      </c>
      <c r="N98" s="24"/>
      <c r="O98" s="14"/>
      <c r="P98" s="49"/>
      <c r="Q98" s="24"/>
      <c r="R98" s="24">
        <f t="shared" si="3"/>
        <v>0</v>
      </c>
      <c r="S98" s="23"/>
      <c r="T98" s="24"/>
      <c r="U98" s="49"/>
      <c r="V98" s="24"/>
      <c r="W98" s="24">
        <f t="shared" si="4"/>
        <v>0</v>
      </c>
      <c r="X98" s="24"/>
    </row>
    <row r="99" spans="1:24" ht="14.25" customHeight="1">
      <c r="A99" s="13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5">
        <f t="shared" si="0"/>
        <v>0</v>
      </c>
      <c r="N99" s="24"/>
      <c r="O99" s="14"/>
      <c r="P99" s="49"/>
      <c r="Q99" s="24"/>
      <c r="R99" s="24">
        <f t="shared" si="3"/>
        <v>0</v>
      </c>
      <c r="S99" s="23"/>
      <c r="T99" s="24"/>
      <c r="U99" s="49"/>
      <c r="V99" s="24"/>
      <c r="W99" s="24">
        <f t="shared" si="4"/>
        <v>0</v>
      </c>
      <c r="X99" s="24"/>
    </row>
    <row r="100" spans="1:24" ht="14.25" customHeight="1">
      <c r="A100" s="13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5">
        <f t="shared" si="0"/>
        <v>0</v>
      </c>
      <c r="N100" s="24"/>
      <c r="O100" s="14"/>
      <c r="P100" s="49"/>
      <c r="Q100" s="24"/>
      <c r="R100" s="24">
        <f t="shared" si="3"/>
        <v>0</v>
      </c>
      <c r="S100" s="23"/>
      <c r="T100" s="24"/>
      <c r="U100" s="49"/>
      <c r="V100" s="24"/>
      <c r="W100" s="24">
        <f t="shared" si="4"/>
        <v>0</v>
      </c>
      <c r="X100" s="24"/>
    </row>
    <row r="101" spans="1:24" ht="14.25" customHeight="1">
      <c r="A101" s="13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5">
        <f t="shared" si="0"/>
        <v>0</v>
      </c>
      <c r="N101" s="24"/>
      <c r="O101" s="14"/>
      <c r="P101" s="49"/>
      <c r="Q101" s="24"/>
      <c r="R101" s="24">
        <f t="shared" si="3"/>
        <v>0</v>
      </c>
      <c r="S101" s="23"/>
      <c r="T101" s="24"/>
      <c r="U101" s="49"/>
      <c r="V101" s="24"/>
      <c r="W101" s="24">
        <f t="shared" si="4"/>
        <v>0</v>
      </c>
      <c r="X101" s="24"/>
    </row>
    <row r="102" spans="1:24" ht="14.25" customHeight="1">
      <c r="A102" s="13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5">
        <f t="shared" si="0"/>
        <v>0</v>
      </c>
      <c r="N102" s="24"/>
      <c r="O102" s="14"/>
      <c r="P102" s="49"/>
      <c r="Q102" s="24"/>
      <c r="R102" s="24">
        <f t="shared" si="3"/>
        <v>0</v>
      </c>
      <c r="S102" s="23"/>
      <c r="T102" s="24"/>
      <c r="U102" s="49"/>
      <c r="V102" s="24"/>
      <c r="W102" s="24">
        <f t="shared" si="4"/>
        <v>0</v>
      </c>
      <c r="X102" s="24"/>
    </row>
    <row r="103" spans="1:24" ht="14.25" customHeight="1">
      <c r="A103" s="13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5">
        <f t="shared" si="0"/>
        <v>0</v>
      </c>
      <c r="N103" s="24"/>
      <c r="O103" s="14"/>
      <c r="P103" s="49"/>
      <c r="Q103" s="24"/>
      <c r="R103" s="24">
        <f t="shared" si="3"/>
        <v>0</v>
      </c>
      <c r="S103" s="23"/>
      <c r="T103" s="24"/>
      <c r="U103" s="49"/>
      <c r="V103" s="24"/>
      <c r="W103" s="24">
        <f t="shared" si="4"/>
        <v>0</v>
      </c>
      <c r="X103" s="24"/>
    </row>
    <row r="104" spans="1:24" ht="14.25" customHeight="1">
      <c r="A104" s="13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5">
        <f t="shared" si="0"/>
        <v>0</v>
      </c>
      <c r="N104" s="24"/>
      <c r="O104" s="14"/>
      <c r="P104" s="49"/>
      <c r="Q104" s="24"/>
      <c r="R104" s="24">
        <f t="shared" si="3"/>
        <v>0</v>
      </c>
      <c r="S104" s="23"/>
      <c r="T104" s="24"/>
      <c r="U104" s="49"/>
      <c r="V104" s="24"/>
      <c r="W104" s="24">
        <f t="shared" si="4"/>
        <v>0</v>
      </c>
      <c r="X104" s="24"/>
    </row>
    <row r="105" spans="1:24" ht="14.25" customHeight="1">
      <c r="A105" s="13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5">
        <f t="shared" si="0"/>
        <v>0</v>
      </c>
      <c r="N105" s="24"/>
      <c r="O105" s="14"/>
      <c r="P105" s="49"/>
      <c r="Q105" s="24"/>
      <c r="R105" s="24">
        <f t="shared" si="3"/>
        <v>0</v>
      </c>
      <c r="S105" s="23"/>
      <c r="T105" s="24"/>
      <c r="U105" s="49"/>
      <c r="V105" s="24"/>
      <c r="W105" s="24">
        <f t="shared" si="4"/>
        <v>0</v>
      </c>
      <c r="X105" s="24"/>
    </row>
    <row r="106" spans="1:24" ht="14.25" customHeight="1">
      <c r="A106" s="13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5">
        <f t="shared" si="0"/>
        <v>0</v>
      </c>
      <c r="N106" s="24"/>
      <c r="O106" s="14"/>
      <c r="P106" s="49"/>
      <c r="Q106" s="24"/>
      <c r="R106" s="24">
        <f t="shared" si="3"/>
        <v>0</v>
      </c>
      <c r="S106" s="23"/>
      <c r="T106" s="24"/>
      <c r="U106" s="49"/>
      <c r="V106" s="24"/>
      <c r="W106" s="24">
        <f t="shared" si="4"/>
        <v>0</v>
      </c>
      <c r="X106" s="24"/>
    </row>
    <row r="107" spans="1:24" ht="14.25" customHeight="1">
      <c r="A107" s="13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5">
        <f t="shared" si="0"/>
        <v>0</v>
      </c>
      <c r="N107" s="24"/>
      <c r="O107" s="14"/>
      <c r="P107" s="49"/>
      <c r="Q107" s="24"/>
      <c r="R107" s="24">
        <f t="shared" si="3"/>
        <v>0</v>
      </c>
      <c r="S107" s="23"/>
      <c r="T107" s="24"/>
      <c r="U107" s="49"/>
      <c r="V107" s="24"/>
      <c r="W107" s="24">
        <f t="shared" si="4"/>
        <v>0</v>
      </c>
      <c r="X107" s="24"/>
    </row>
    <row r="108" spans="1:24" ht="14.25" customHeight="1">
      <c r="A108" s="13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5">
        <f t="shared" si="0"/>
        <v>0</v>
      </c>
      <c r="N108" s="24"/>
      <c r="O108" s="14"/>
      <c r="P108" s="49"/>
      <c r="Q108" s="24"/>
      <c r="R108" s="24">
        <f t="shared" si="3"/>
        <v>0</v>
      </c>
      <c r="S108" s="23"/>
      <c r="T108" s="24"/>
      <c r="U108" s="49"/>
      <c r="V108" s="24"/>
      <c r="W108" s="24">
        <f t="shared" si="4"/>
        <v>0</v>
      </c>
      <c r="X108" s="24"/>
    </row>
    <row r="109" spans="1:24" ht="14.25" customHeight="1">
      <c r="A109" s="13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5">
        <f t="shared" si="0"/>
        <v>0</v>
      </c>
      <c r="N109" s="24"/>
      <c r="O109" s="14"/>
      <c r="P109" s="49"/>
      <c r="Q109" s="24"/>
      <c r="R109" s="24">
        <f t="shared" si="3"/>
        <v>0</v>
      </c>
      <c r="S109" s="23"/>
      <c r="T109" s="24"/>
      <c r="U109" s="49"/>
      <c r="V109" s="24"/>
      <c r="W109" s="24">
        <f t="shared" si="4"/>
        <v>0</v>
      </c>
      <c r="X109" s="24"/>
    </row>
    <row r="110" spans="1:24" ht="14.25" customHeight="1">
      <c r="A110" s="13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5">
        <f t="shared" si="0"/>
        <v>0</v>
      </c>
      <c r="N110" s="24"/>
      <c r="O110" s="14"/>
      <c r="P110" s="49"/>
      <c r="Q110" s="24"/>
      <c r="R110" s="24">
        <f t="shared" si="3"/>
        <v>0</v>
      </c>
      <c r="S110" s="23"/>
      <c r="T110" s="24"/>
      <c r="U110" s="49"/>
      <c r="V110" s="24"/>
      <c r="W110" s="24">
        <f t="shared" si="4"/>
        <v>0</v>
      </c>
      <c r="X110" s="24"/>
    </row>
    <row r="111" spans="1:24" ht="14.25" customHeight="1">
      <c r="A111" s="13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5">
        <f t="shared" si="0"/>
        <v>0</v>
      </c>
      <c r="N111" s="24"/>
      <c r="O111" s="14"/>
      <c r="P111" s="49"/>
      <c r="Q111" s="24"/>
      <c r="R111" s="24">
        <f t="shared" si="3"/>
        <v>0</v>
      </c>
      <c r="S111" s="23"/>
      <c r="T111" s="24"/>
      <c r="U111" s="49"/>
      <c r="V111" s="24"/>
      <c r="W111" s="24">
        <f t="shared" si="4"/>
        <v>0</v>
      </c>
      <c r="X111" s="24"/>
    </row>
    <row r="112" spans="1:24" ht="14.25" customHeight="1">
      <c r="A112" s="13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5">
        <f t="shared" si="0"/>
        <v>0</v>
      </c>
      <c r="N112" s="24"/>
      <c r="O112" s="14"/>
      <c r="P112" s="49"/>
      <c r="Q112" s="24"/>
      <c r="R112" s="24">
        <f t="shared" si="3"/>
        <v>0</v>
      </c>
      <c r="S112" s="23"/>
      <c r="T112" s="24"/>
      <c r="U112" s="49"/>
      <c r="V112" s="24"/>
      <c r="W112" s="24">
        <f t="shared" si="4"/>
        <v>0</v>
      </c>
      <c r="X112" s="24"/>
    </row>
    <row r="113" spans="1:24" ht="14.25" customHeight="1">
      <c r="A113" s="13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5">
        <f t="shared" si="0"/>
        <v>0</v>
      </c>
      <c r="N113" s="24"/>
      <c r="O113" s="14"/>
      <c r="P113" s="49"/>
      <c r="Q113" s="24"/>
      <c r="R113" s="24">
        <f t="shared" si="3"/>
        <v>0</v>
      </c>
      <c r="S113" s="23"/>
      <c r="T113" s="24"/>
      <c r="U113" s="49"/>
      <c r="V113" s="24"/>
      <c r="W113" s="24">
        <f t="shared" si="4"/>
        <v>0</v>
      </c>
      <c r="X113" s="24"/>
    </row>
    <row r="114" spans="1:24" ht="14.25" customHeight="1">
      <c r="A114" s="13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5">
        <f t="shared" si="0"/>
        <v>0</v>
      </c>
      <c r="N114" s="24"/>
      <c r="O114" s="14"/>
      <c r="P114" s="49"/>
      <c r="Q114" s="24"/>
      <c r="R114" s="24">
        <f t="shared" si="3"/>
        <v>0</v>
      </c>
      <c r="S114" s="23"/>
      <c r="T114" s="24"/>
      <c r="U114" s="49"/>
      <c r="V114" s="24"/>
      <c r="W114" s="24">
        <f t="shared" si="4"/>
        <v>0</v>
      </c>
      <c r="X114" s="24"/>
    </row>
    <row r="115" spans="1:24" ht="14.25" customHeight="1">
      <c r="A115" s="13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5">
        <f t="shared" si="0"/>
        <v>0</v>
      </c>
      <c r="N115" s="24"/>
      <c r="O115" s="14"/>
      <c r="P115" s="49"/>
      <c r="Q115" s="24"/>
      <c r="R115" s="24">
        <f t="shared" si="3"/>
        <v>0</v>
      </c>
      <c r="S115" s="23"/>
      <c r="T115" s="24"/>
      <c r="U115" s="49"/>
      <c r="V115" s="24"/>
      <c r="W115" s="24">
        <f t="shared" si="4"/>
        <v>0</v>
      </c>
      <c r="X115" s="24"/>
    </row>
    <row r="116" spans="1:24" ht="14.25" customHeight="1">
      <c r="A116" s="13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5">
        <f t="shared" si="0"/>
        <v>0</v>
      </c>
      <c r="N116" s="24"/>
      <c r="O116" s="14"/>
      <c r="P116" s="49"/>
      <c r="Q116" s="24"/>
      <c r="R116" s="24">
        <f t="shared" si="3"/>
        <v>0</v>
      </c>
      <c r="S116" s="23"/>
      <c r="T116" s="24"/>
      <c r="U116" s="49"/>
      <c r="V116" s="24"/>
      <c r="W116" s="24">
        <f t="shared" si="4"/>
        <v>0</v>
      </c>
      <c r="X116" s="24"/>
    </row>
    <row r="117" spans="1:24" ht="14.25" customHeight="1">
      <c r="A117" s="13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5">
        <f t="shared" si="0"/>
        <v>0</v>
      </c>
      <c r="N117" s="24"/>
      <c r="O117" s="14"/>
      <c r="P117" s="49"/>
      <c r="Q117" s="24"/>
      <c r="R117" s="24">
        <f t="shared" si="3"/>
        <v>0</v>
      </c>
      <c r="S117" s="23"/>
      <c r="T117" s="24"/>
      <c r="U117" s="49"/>
      <c r="V117" s="24"/>
      <c r="W117" s="24">
        <f t="shared" si="4"/>
        <v>0</v>
      </c>
      <c r="X117" s="24"/>
    </row>
    <row r="118" spans="1:24" ht="14.25" customHeight="1">
      <c r="A118" s="13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5">
        <f t="shared" si="0"/>
        <v>0</v>
      </c>
      <c r="N118" s="24"/>
      <c r="O118" s="14"/>
      <c r="P118" s="49"/>
      <c r="Q118" s="24"/>
      <c r="R118" s="24">
        <f t="shared" si="3"/>
        <v>0</v>
      </c>
      <c r="S118" s="23"/>
      <c r="T118" s="24"/>
      <c r="U118" s="49"/>
      <c r="V118" s="24"/>
      <c r="W118" s="24">
        <f t="shared" si="4"/>
        <v>0</v>
      </c>
      <c r="X118" s="24"/>
    </row>
    <row r="119" spans="1:24" ht="14.25" customHeight="1">
      <c r="A119" s="13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5">
        <f t="shared" si="0"/>
        <v>0</v>
      </c>
      <c r="N119" s="24"/>
      <c r="O119" s="14"/>
      <c r="P119" s="49"/>
      <c r="Q119" s="24"/>
      <c r="R119" s="24">
        <f t="shared" si="3"/>
        <v>0</v>
      </c>
      <c r="S119" s="23"/>
      <c r="T119" s="24"/>
      <c r="U119" s="49"/>
      <c r="V119" s="24"/>
      <c r="W119" s="24">
        <f t="shared" si="4"/>
        <v>0</v>
      </c>
      <c r="X119" s="24"/>
    </row>
    <row r="120" spans="1:24" ht="14.25" customHeight="1">
      <c r="A120" s="13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5">
        <f t="shared" si="0"/>
        <v>0</v>
      </c>
      <c r="N120" s="24"/>
      <c r="O120" s="14"/>
      <c r="P120" s="49"/>
      <c r="Q120" s="24"/>
      <c r="R120" s="24">
        <f t="shared" si="3"/>
        <v>0</v>
      </c>
      <c r="S120" s="23"/>
      <c r="T120" s="24"/>
      <c r="U120" s="49"/>
      <c r="V120" s="24"/>
      <c r="W120" s="24">
        <f t="shared" si="4"/>
        <v>0</v>
      </c>
      <c r="X120" s="24"/>
    </row>
    <row r="121" spans="1:24" ht="14.25" customHeight="1">
      <c r="A121" s="13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5">
        <f t="shared" si="0"/>
        <v>0</v>
      </c>
      <c r="N121" s="24"/>
      <c r="O121" s="14"/>
      <c r="P121" s="49"/>
      <c r="Q121" s="24"/>
      <c r="R121" s="24">
        <f t="shared" si="3"/>
        <v>0</v>
      </c>
      <c r="S121" s="23"/>
      <c r="T121" s="24"/>
      <c r="U121" s="49"/>
      <c r="V121" s="24"/>
      <c r="W121" s="24">
        <f t="shared" si="4"/>
        <v>0</v>
      </c>
      <c r="X121" s="24"/>
    </row>
    <row r="122" spans="1:24" ht="14.25" customHeight="1">
      <c r="A122" s="13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5">
        <f t="shared" si="0"/>
        <v>0</v>
      </c>
      <c r="N122" s="24"/>
      <c r="O122" s="14"/>
      <c r="P122" s="49"/>
      <c r="Q122" s="24"/>
      <c r="R122" s="24">
        <f t="shared" si="3"/>
        <v>0</v>
      </c>
      <c r="S122" s="23"/>
      <c r="T122" s="24"/>
      <c r="U122" s="49"/>
      <c r="V122" s="24"/>
      <c r="W122" s="24">
        <f t="shared" si="4"/>
        <v>0</v>
      </c>
      <c r="X122" s="24"/>
    </row>
    <row r="123" spans="1:24" ht="14.25" customHeight="1">
      <c r="A123" s="13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5">
        <f t="shared" si="0"/>
        <v>0</v>
      </c>
      <c r="N123" s="24"/>
      <c r="O123" s="14"/>
      <c r="P123" s="49"/>
      <c r="Q123" s="24"/>
      <c r="R123" s="24">
        <f t="shared" si="3"/>
        <v>0</v>
      </c>
      <c r="S123" s="23"/>
      <c r="T123" s="24"/>
      <c r="U123" s="49"/>
      <c r="V123" s="24"/>
      <c r="W123" s="24">
        <f t="shared" si="4"/>
        <v>0</v>
      </c>
      <c r="X123" s="24"/>
    </row>
    <row r="124" spans="1:24" ht="14.25" customHeight="1">
      <c r="A124" s="13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5">
        <f t="shared" si="0"/>
        <v>0</v>
      </c>
      <c r="N124" s="24"/>
      <c r="O124" s="14"/>
      <c r="P124" s="49"/>
      <c r="Q124" s="24"/>
      <c r="R124" s="24">
        <f t="shared" si="3"/>
        <v>0</v>
      </c>
      <c r="S124" s="23"/>
      <c r="T124" s="24"/>
      <c r="U124" s="49"/>
      <c r="V124" s="24"/>
      <c r="W124" s="24">
        <f t="shared" si="4"/>
        <v>0</v>
      </c>
      <c r="X124" s="24"/>
    </row>
    <row r="125" spans="1:24" ht="14.25" customHeight="1">
      <c r="A125" s="13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5">
        <f t="shared" si="0"/>
        <v>0</v>
      </c>
      <c r="N125" s="24"/>
      <c r="O125" s="14"/>
      <c r="P125" s="49"/>
      <c r="Q125" s="24"/>
      <c r="R125" s="24">
        <f t="shared" si="3"/>
        <v>0</v>
      </c>
      <c r="S125" s="23"/>
      <c r="T125" s="24"/>
      <c r="U125" s="49"/>
      <c r="V125" s="24"/>
      <c r="W125" s="24">
        <f t="shared" si="4"/>
        <v>0</v>
      </c>
      <c r="X125" s="24"/>
    </row>
    <row r="126" spans="1:24" ht="14.25" customHeight="1">
      <c r="A126" s="13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5">
        <f t="shared" si="0"/>
        <v>0</v>
      </c>
      <c r="N126" s="24"/>
      <c r="O126" s="14"/>
      <c r="P126" s="49"/>
      <c r="Q126" s="24"/>
      <c r="R126" s="24">
        <f t="shared" si="3"/>
        <v>0</v>
      </c>
      <c r="S126" s="23"/>
      <c r="T126" s="24"/>
      <c r="U126" s="49"/>
      <c r="V126" s="24"/>
      <c r="W126" s="24">
        <f t="shared" si="4"/>
        <v>0</v>
      </c>
      <c r="X126" s="24"/>
    </row>
    <row r="127" spans="1:24" ht="14.25" customHeight="1">
      <c r="A127" s="13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5">
        <f t="shared" si="0"/>
        <v>0</v>
      </c>
      <c r="N127" s="24"/>
      <c r="O127" s="14"/>
      <c r="P127" s="49"/>
      <c r="Q127" s="24"/>
      <c r="R127" s="24">
        <f t="shared" si="3"/>
        <v>0</v>
      </c>
      <c r="S127" s="23"/>
      <c r="T127" s="24"/>
      <c r="U127" s="49"/>
      <c r="V127" s="24"/>
      <c r="W127" s="24">
        <f t="shared" si="4"/>
        <v>0</v>
      </c>
      <c r="X127" s="24"/>
    </row>
    <row r="128" spans="1:24" ht="14.25" customHeight="1">
      <c r="A128" s="13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5">
        <f t="shared" si="0"/>
        <v>0</v>
      </c>
      <c r="N128" s="24"/>
      <c r="O128" s="14"/>
      <c r="P128" s="49"/>
      <c r="Q128" s="24"/>
      <c r="R128" s="24">
        <f t="shared" si="3"/>
        <v>0</v>
      </c>
      <c r="S128" s="23"/>
      <c r="T128" s="24"/>
      <c r="U128" s="49"/>
      <c r="V128" s="24"/>
      <c r="W128" s="24">
        <f t="shared" si="4"/>
        <v>0</v>
      </c>
      <c r="X128" s="24"/>
    </row>
    <row r="129" spans="1:24" ht="14.25" customHeight="1">
      <c r="A129" s="13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5">
        <f t="shared" si="0"/>
        <v>0</v>
      </c>
      <c r="N129" s="24"/>
      <c r="O129" s="14"/>
      <c r="P129" s="49"/>
      <c r="Q129" s="24"/>
      <c r="R129" s="24">
        <f t="shared" si="3"/>
        <v>0</v>
      </c>
      <c r="S129" s="23"/>
      <c r="T129" s="24"/>
      <c r="U129" s="49"/>
      <c r="V129" s="24"/>
      <c r="W129" s="24">
        <f t="shared" si="4"/>
        <v>0</v>
      </c>
      <c r="X129" s="24"/>
    </row>
    <row r="130" spans="1:24" ht="14.25" customHeight="1">
      <c r="A130" s="13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5">
        <f t="shared" si="0"/>
        <v>0</v>
      </c>
      <c r="N130" s="24"/>
      <c r="O130" s="14"/>
      <c r="P130" s="49"/>
      <c r="Q130" s="24"/>
      <c r="R130" s="24">
        <f t="shared" si="3"/>
        <v>0</v>
      </c>
      <c r="S130" s="23"/>
      <c r="T130" s="24"/>
      <c r="U130" s="49"/>
      <c r="V130" s="24"/>
      <c r="W130" s="24">
        <f t="shared" si="4"/>
        <v>0</v>
      </c>
      <c r="X130" s="24"/>
    </row>
    <row r="131" spans="1:24" ht="14.25" customHeight="1">
      <c r="A131" s="13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5">
        <f t="shared" si="0"/>
        <v>0</v>
      </c>
      <c r="N131" s="24"/>
      <c r="O131" s="14"/>
      <c r="P131" s="49"/>
      <c r="Q131" s="24"/>
      <c r="R131" s="24">
        <f t="shared" ref="R131:R194" si="5">Q131-M131</f>
        <v>0</v>
      </c>
      <c r="S131" s="23"/>
      <c r="T131" s="24"/>
      <c r="U131" s="49"/>
      <c r="V131" s="24"/>
      <c r="W131" s="24">
        <f t="shared" ref="W131:W194" si="6">V131-Q131</f>
        <v>0</v>
      </c>
      <c r="X131" s="24"/>
    </row>
    <row r="132" spans="1:24" ht="14.25" customHeight="1">
      <c r="A132" s="13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5">
        <f t="shared" si="0"/>
        <v>0</v>
      </c>
      <c r="N132" s="24"/>
      <c r="O132" s="14"/>
      <c r="P132" s="49"/>
      <c r="Q132" s="24"/>
      <c r="R132" s="24">
        <f t="shared" si="5"/>
        <v>0</v>
      </c>
      <c r="S132" s="23"/>
      <c r="T132" s="24"/>
      <c r="U132" s="49"/>
      <c r="V132" s="24"/>
      <c r="W132" s="24">
        <f t="shared" si="6"/>
        <v>0</v>
      </c>
      <c r="X132" s="24"/>
    </row>
    <row r="133" spans="1:24" ht="14.25" customHeight="1">
      <c r="A133" s="13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5">
        <f t="shared" si="0"/>
        <v>0</v>
      </c>
      <c r="N133" s="24"/>
      <c r="O133" s="14"/>
      <c r="P133" s="49"/>
      <c r="Q133" s="24"/>
      <c r="R133" s="24">
        <f t="shared" si="5"/>
        <v>0</v>
      </c>
      <c r="S133" s="23"/>
      <c r="T133" s="24"/>
      <c r="U133" s="49"/>
      <c r="V133" s="24"/>
      <c r="W133" s="24">
        <f t="shared" si="6"/>
        <v>0</v>
      </c>
      <c r="X133" s="24"/>
    </row>
    <row r="134" spans="1:24" ht="14.25" customHeight="1">
      <c r="A134" s="13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5">
        <f t="shared" si="0"/>
        <v>0</v>
      </c>
      <c r="N134" s="24"/>
      <c r="O134" s="14"/>
      <c r="P134" s="49"/>
      <c r="Q134" s="24"/>
      <c r="R134" s="24">
        <f t="shared" si="5"/>
        <v>0</v>
      </c>
      <c r="S134" s="23"/>
      <c r="T134" s="24"/>
      <c r="U134" s="49"/>
      <c r="V134" s="24"/>
      <c r="W134" s="24">
        <f t="shared" si="6"/>
        <v>0</v>
      </c>
      <c r="X134" s="24"/>
    </row>
    <row r="135" spans="1:24" ht="14.25" customHeight="1">
      <c r="A135" s="13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5">
        <f t="shared" si="0"/>
        <v>0</v>
      </c>
      <c r="N135" s="24"/>
      <c r="O135" s="14"/>
      <c r="P135" s="49"/>
      <c r="Q135" s="24"/>
      <c r="R135" s="24">
        <f t="shared" si="5"/>
        <v>0</v>
      </c>
      <c r="S135" s="23"/>
      <c r="T135" s="24"/>
      <c r="U135" s="49"/>
      <c r="V135" s="24"/>
      <c r="W135" s="24">
        <f t="shared" si="6"/>
        <v>0</v>
      </c>
      <c r="X135" s="24"/>
    </row>
    <row r="136" spans="1:24" ht="14.25" customHeight="1">
      <c r="A136" s="13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5">
        <f t="shared" si="0"/>
        <v>0</v>
      </c>
      <c r="N136" s="24"/>
      <c r="O136" s="14"/>
      <c r="P136" s="49"/>
      <c r="Q136" s="24"/>
      <c r="R136" s="24">
        <f t="shared" si="5"/>
        <v>0</v>
      </c>
      <c r="S136" s="23"/>
      <c r="T136" s="24"/>
      <c r="U136" s="49"/>
      <c r="V136" s="24"/>
      <c r="W136" s="24">
        <f t="shared" si="6"/>
        <v>0</v>
      </c>
      <c r="X136" s="24"/>
    </row>
    <row r="137" spans="1:24" ht="14.25" customHeight="1">
      <c r="A137" s="13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5">
        <f t="shared" si="0"/>
        <v>0</v>
      </c>
      <c r="N137" s="24"/>
      <c r="O137" s="14"/>
      <c r="P137" s="49"/>
      <c r="Q137" s="24"/>
      <c r="R137" s="24">
        <f t="shared" si="5"/>
        <v>0</v>
      </c>
      <c r="S137" s="23"/>
      <c r="T137" s="24"/>
      <c r="U137" s="49"/>
      <c r="V137" s="24"/>
      <c r="W137" s="24">
        <f t="shared" si="6"/>
        <v>0</v>
      </c>
      <c r="X137" s="24"/>
    </row>
    <row r="138" spans="1:24" ht="14.25" customHeight="1">
      <c r="A138" s="13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5">
        <f t="shared" si="0"/>
        <v>0</v>
      </c>
      <c r="N138" s="24"/>
      <c r="O138" s="14"/>
      <c r="P138" s="49"/>
      <c r="Q138" s="24"/>
      <c r="R138" s="24">
        <f t="shared" si="5"/>
        <v>0</v>
      </c>
      <c r="S138" s="23"/>
      <c r="T138" s="24"/>
      <c r="U138" s="49"/>
      <c r="V138" s="24"/>
      <c r="W138" s="24">
        <f t="shared" si="6"/>
        <v>0</v>
      </c>
      <c r="X138" s="24"/>
    </row>
    <row r="139" spans="1:24" ht="14.25" customHeight="1">
      <c r="A139" s="13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5">
        <f t="shared" si="0"/>
        <v>0</v>
      </c>
      <c r="N139" s="24"/>
      <c r="O139" s="14"/>
      <c r="P139" s="49"/>
      <c r="Q139" s="24"/>
      <c r="R139" s="24">
        <f t="shared" si="5"/>
        <v>0</v>
      </c>
      <c r="S139" s="23"/>
      <c r="T139" s="24"/>
      <c r="U139" s="49"/>
      <c r="V139" s="24"/>
      <c r="W139" s="24">
        <f t="shared" si="6"/>
        <v>0</v>
      </c>
      <c r="X139" s="24"/>
    </row>
    <row r="140" spans="1:24" ht="14.25" customHeight="1">
      <c r="A140" s="13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5">
        <f t="shared" si="0"/>
        <v>0</v>
      </c>
      <c r="N140" s="24"/>
      <c r="O140" s="14"/>
      <c r="P140" s="49"/>
      <c r="Q140" s="24"/>
      <c r="R140" s="24">
        <f t="shared" si="5"/>
        <v>0</v>
      </c>
      <c r="S140" s="23"/>
      <c r="T140" s="24"/>
      <c r="U140" s="49"/>
      <c r="V140" s="24"/>
      <c r="W140" s="24">
        <f t="shared" si="6"/>
        <v>0</v>
      </c>
      <c r="X140" s="24"/>
    </row>
    <row r="141" spans="1:24" ht="14.25" customHeight="1">
      <c r="A141" s="13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5">
        <f t="shared" si="0"/>
        <v>0</v>
      </c>
      <c r="N141" s="24"/>
      <c r="O141" s="14"/>
      <c r="P141" s="49"/>
      <c r="Q141" s="24"/>
      <c r="R141" s="24">
        <f t="shared" si="5"/>
        <v>0</v>
      </c>
      <c r="S141" s="23"/>
      <c r="T141" s="24"/>
      <c r="U141" s="49"/>
      <c r="V141" s="24"/>
      <c r="W141" s="24">
        <f t="shared" si="6"/>
        <v>0</v>
      </c>
      <c r="X141" s="24"/>
    </row>
    <row r="142" spans="1:24" ht="14.25" customHeight="1">
      <c r="A142" s="13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5">
        <f t="shared" si="0"/>
        <v>0</v>
      </c>
      <c r="N142" s="24"/>
      <c r="O142" s="14"/>
      <c r="P142" s="49"/>
      <c r="Q142" s="24"/>
      <c r="R142" s="24">
        <f t="shared" si="5"/>
        <v>0</v>
      </c>
      <c r="S142" s="23"/>
      <c r="T142" s="24"/>
      <c r="U142" s="49"/>
      <c r="V142" s="24"/>
      <c r="W142" s="24">
        <f t="shared" si="6"/>
        <v>0</v>
      </c>
      <c r="X142" s="24"/>
    </row>
    <row r="143" spans="1:24" ht="14.25" customHeight="1">
      <c r="A143" s="13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5">
        <f t="shared" si="0"/>
        <v>0</v>
      </c>
      <c r="N143" s="24"/>
      <c r="O143" s="14"/>
      <c r="P143" s="49"/>
      <c r="Q143" s="24"/>
      <c r="R143" s="24">
        <f t="shared" si="5"/>
        <v>0</v>
      </c>
      <c r="S143" s="23"/>
      <c r="T143" s="24"/>
      <c r="U143" s="49"/>
      <c r="V143" s="24"/>
      <c r="W143" s="24">
        <f t="shared" si="6"/>
        <v>0</v>
      </c>
      <c r="X143" s="24"/>
    </row>
    <row r="144" spans="1:24" ht="14.25" customHeight="1">
      <c r="A144" s="13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5">
        <f t="shared" si="0"/>
        <v>0</v>
      </c>
      <c r="N144" s="24"/>
      <c r="O144" s="14"/>
      <c r="P144" s="49"/>
      <c r="Q144" s="24"/>
      <c r="R144" s="24">
        <f t="shared" si="5"/>
        <v>0</v>
      </c>
      <c r="S144" s="23"/>
      <c r="T144" s="24"/>
      <c r="U144" s="49"/>
      <c r="V144" s="24"/>
      <c r="W144" s="24">
        <f t="shared" si="6"/>
        <v>0</v>
      </c>
      <c r="X144" s="24"/>
    </row>
    <row r="145" spans="1:24" ht="14.25" customHeight="1">
      <c r="A145" s="13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5">
        <f t="shared" si="0"/>
        <v>0</v>
      </c>
      <c r="N145" s="24"/>
      <c r="O145" s="14"/>
      <c r="P145" s="49"/>
      <c r="Q145" s="24"/>
      <c r="R145" s="24">
        <f t="shared" si="5"/>
        <v>0</v>
      </c>
      <c r="S145" s="23"/>
      <c r="T145" s="24"/>
      <c r="U145" s="49"/>
      <c r="V145" s="24"/>
      <c r="W145" s="24">
        <f t="shared" si="6"/>
        <v>0</v>
      </c>
      <c r="X145" s="24"/>
    </row>
    <row r="146" spans="1:24" ht="14.25" customHeight="1">
      <c r="A146" s="13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5">
        <f t="shared" si="0"/>
        <v>0</v>
      </c>
      <c r="N146" s="24"/>
      <c r="O146" s="14"/>
      <c r="P146" s="49"/>
      <c r="Q146" s="24"/>
      <c r="R146" s="24">
        <f t="shared" si="5"/>
        <v>0</v>
      </c>
      <c r="S146" s="23"/>
      <c r="T146" s="24"/>
      <c r="U146" s="49"/>
      <c r="V146" s="24"/>
      <c r="W146" s="24">
        <f t="shared" si="6"/>
        <v>0</v>
      </c>
      <c r="X146" s="24"/>
    </row>
    <row r="147" spans="1:24" ht="14.25" customHeight="1">
      <c r="A147" s="13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5">
        <f t="shared" si="0"/>
        <v>0</v>
      </c>
      <c r="N147" s="24"/>
      <c r="O147" s="14"/>
      <c r="P147" s="49"/>
      <c r="Q147" s="24"/>
      <c r="R147" s="24">
        <f t="shared" si="5"/>
        <v>0</v>
      </c>
      <c r="S147" s="23"/>
      <c r="T147" s="24"/>
      <c r="U147" s="49"/>
      <c r="V147" s="24"/>
      <c r="W147" s="24">
        <f t="shared" si="6"/>
        <v>0</v>
      </c>
      <c r="X147" s="24"/>
    </row>
    <row r="148" spans="1:24" ht="14.25" customHeight="1">
      <c r="A148" s="13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5">
        <f t="shared" si="0"/>
        <v>0</v>
      </c>
      <c r="N148" s="24"/>
      <c r="O148" s="14"/>
      <c r="P148" s="49"/>
      <c r="Q148" s="24"/>
      <c r="R148" s="24">
        <f t="shared" si="5"/>
        <v>0</v>
      </c>
      <c r="S148" s="23"/>
      <c r="T148" s="24"/>
      <c r="U148" s="49"/>
      <c r="V148" s="24"/>
      <c r="W148" s="24">
        <f t="shared" si="6"/>
        <v>0</v>
      </c>
      <c r="X148" s="24"/>
    </row>
    <row r="149" spans="1:24" ht="14.25" customHeight="1">
      <c r="A149" s="13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5">
        <f t="shared" si="0"/>
        <v>0</v>
      </c>
      <c r="N149" s="24"/>
      <c r="O149" s="14"/>
      <c r="P149" s="49"/>
      <c r="Q149" s="24"/>
      <c r="R149" s="24">
        <f t="shared" si="5"/>
        <v>0</v>
      </c>
      <c r="S149" s="23"/>
      <c r="T149" s="24"/>
      <c r="U149" s="49"/>
      <c r="V149" s="24"/>
      <c r="W149" s="24">
        <f t="shared" si="6"/>
        <v>0</v>
      </c>
      <c r="X149" s="24"/>
    </row>
    <row r="150" spans="1:24" ht="14.25" customHeight="1">
      <c r="A150" s="13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5">
        <f t="shared" si="0"/>
        <v>0</v>
      </c>
      <c r="N150" s="24"/>
      <c r="O150" s="14"/>
      <c r="P150" s="49"/>
      <c r="Q150" s="24"/>
      <c r="R150" s="24">
        <f t="shared" si="5"/>
        <v>0</v>
      </c>
      <c r="S150" s="23"/>
      <c r="T150" s="24"/>
      <c r="U150" s="49"/>
      <c r="V150" s="24"/>
      <c r="W150" s="24">
        <f t="shared" si="6"/>
        <v>0</v>
      </c>
      <c r="X150" s="24"/>
    </row>
    <row r="151" spans="1:24" ht="14.25" customHeight="1">
      <c r="A151" s="13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5">
        <f t="shared" si="0"/>
        <v>0</v>
      </c>
      <c r="N151" s="24"/>
      <c r="O151" s="14"/>
      <c r="P151" s="49"/>
      <c r="Q151" s="24"/>
      <c r="R151" s="24">
        <f t="shared" si="5"/>
        <v>0</v>
      </c>
      <c r="S151" s="23"/>
      <c r="T151" s="24"/>
      <c r="U151" s="49"/>
      <c r="V151" s="24"/>
      <c r="W151" s="24">
        <f t="shared" si="6"/>
        <v>0</v>
      </c>
      <c r="X151" s="24"/>
    </row>
    <row r="152" spans="1:24" ht="14.25" customHeight="1">
      <c r="A152" s="13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5">
        <f t="shared" si="0"/>
        <v>0</v>
      </c>
      <c r="N152" s="24"/>
      <c r="O152" s="14"/>
      <c r="P152" s="49"/>
      <c r="Q152" s="24"/>
      <c r="R152" s="24">
        <f t="shared" si="5"/>
        <v>0</v>
      </c>
      <c r="S152" s="23"/>
      <c r="T152" s="24"/>
      <c r="U152" s="49"/>
      <c r="V152" s="24"/>
      <c r="W152" s="24">
        <f t="shared" si="6"/>
        <v>0</v>
      </c>
      <c r="X152" s="24"/>
    </row>
    <row r="153" spans="1:24" ht="14.25" customHeight="1">
      <c r="A153" s="13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5">
        <f t="shared" si="0"/>
        <v>0</v>
      </c>
      <c r="N153" s="24"/>
      <c r="O153" s="14"/>
      <c r="P153" s="49"/>
      <c r="Q153" s="24"/>
      <c r="R153" s="24">
        <f t="shared" si="5"/>
        <v>0</v>
      </c>
      <c r="S153" s="23"/>
      <c r="T153" s="24"/>
      <c r="U153" s="49"/>
      <c r="V153" s="24"/>
      <c r="W153" s="24">
        <f t="shared" si="6"/>
        <v>0</v>
      </c>
      <c r="X153" s="24"/>
    </row>
    <row r="154" spans="1:24" ht="14.25" customHeight="1">
      <c r="A154" s="13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5">
        <f t="shared" si="0"/>
        <v>0</v>
      </c>
      <c r="N154" s="24"/>
      <c r="O154" s="14"/>
      <c r="P154" s="49"/>
      <c r="Q154" s="24"/>
      <c r="R154" s="24">
        <f t="shared" si="5"/>
        <v>0</v>
      </c>
      <c r="S154" s="23"/>
      <c r="T154" s="24"/>
      <c r="U154" s="49"/>
      <c r="V154" s="24"/>
      <c r="W154" s="24">
        <f t="shared" si="6"/>
        <v>0</v>
      </c>
      <c r="X154" s="24"/>
    </row>
    <row r="155" spans="1:24" ht="14.25" customHeight="1">
      <c r="A155" s="13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5">
        <f t="shared" si="0"/>
        <v>0</v>
      </c>
      <c r="N155" s="24"/>
      <c r="O155" s="14"/>
      <c r="P155" s="49"/>
      <c r="Q155" s="24"/>
      <c r="R155" s="24">
        <f t="shared" si="5"/>
        <v>0</v>
      </c>
      <c r="S155" s="23"/>
      <c r="T155" s="24"/>
      <c r="U155" s="49"/>
      <c r="V155" s="24"/>
      <c r="W155" s="24">
        <f t="shared" si="6"/>
        <v>0</v>
      </c>
      <c r="X155" s="24"/>
    </row>
    <row r="156" spans="1:24" ht="14.25" customHeight="1">
      <c r="A156" s="13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5">
        <f t="shared" si="0"/>
        <v>0</v>
      </c>
      <c r="N156" s="24"/>
      <c r="O156" s="14"/>
      <c r="P156" s="49"/>
      <c r="Q156" s="24"/>
      <c r="R156" s="24">
        <f t="shared" si="5"/>
        <v>0</v>
      </c>
      <c r="S156" s="23"/>
      <c r="T156" s="24"/>
      <c r="U156" s="49"/>
      <c r="V156" s="24"/>
      <c r="W156" s="24">
        <f t="shared" si="6"/>
        <v>0</v>
      </c>
      <c r="X156" s="24"/>
    </row>
    <row r="157" spans="1:24" ht="14.25" customHeight="1">
      <c r="A157" s="13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5">
        <f t="shared" si="0"/>
        <v>0</v>
      </c>
      <c r="N157" s="24"/>
      <c r="O157" s="14"/>
      <c r="P157" s="49"/>
      <c r="Q157" s="24"/>
      <c r="R157" s="24">
        <f t="shared" si="5"/>
        <v>0</v>
      </c>
      <c r="S157" s="23"/>
      <c r="T157" s="24"/>
      <c r="U157" s="49"/>
      <c r="V157" s="24"/>
      <c r="W157" s="24">
        <f t="shared" si="6"/>
        <v>0</v>
      </c>
      <c r="X157" s="24"/>
    </row>
    <row r="158" spans="1:24" ht="14.25" customHeight="1">
      <c r="A158" s="13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5">
        <f t="shared" si="0"/>
        <v>0</v>
      </c>
      <c r="N158" s="24"/>
      <c r="O158" s="14"/>
      <c r="P158" s="49"/>
      <c r="Q158" s="24"/>
      <c r="R158" s="24">
        <f t="shared" si="5"/>
        <v>0</v>
      </c>
      <c r="S158" s="23"/>
      <c r="T158" s="24"/>
      <c r="U158" s="49"/>
      <c r="V158" s="24"/>
      <c r="W158" s="24">
        <f t="shared" si="6"/>
        <v>0</v>
      </c>
      <c r="X158" s="24"/>
    </row>
    <row r="159" spans="1:24" ht="14.25" customHeight="1">
      <c r="A159" s="13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5">
        <f t="shared" si="0"/>
        <v>0</v>
      </c>
      <c r="N159" s="24"/>
      <c r="O159" s="14"/>
      <c r="P159" s="49"/>
      <c r="Q159" s="24"/>
      <c r="R159" s="24">
        <f t="shared" si="5"/>
        <v>0</v>
      </c>
      <c r="S159" s="23"/>
      <c r="T159" s="24"/>
      <c r="U159" s="49"/>
      <c r="V159" s="24"/>
      <c r="W159" s="24">
        <f t="shared" si="6"/>
        <v>0</v>
      </c>
      <c r="X159" s="24"/>
    </row>
    <row r="160" spans="1:24" ht="14.25" customHeight="1">
      <c r="A160" s="13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5">
        <f t="shared" si="0"/>
        <v>0</v>
      </c>
      <c r="N160" s="24"/>
      <c r="O160" s="14"/>
      <c r="P160" s="49"/>
      <c r="Q160" s="24"/>
      <c r="R160" s="24">
        <f t="shared" si="5"/>
        <v>0</v>
      </c>
      <c r="S160" s="23"/>
      <c r="T160" s="24"/>
      <c r="U160" s="49"/>
      <c r="V160" s="24"/>
      <c r="W160" s="24">
        <f t="shared" si="6"/>
        <v>0</v>
      </c>
      <c r="X160" s="24"/>
    </row>
    <row r="161" spans="1:24" ht="14.25" customHeight="1">
      <c r="A161" s="13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5">
        <f t="shared" si="0"/>
        <v>0</v>
      </c>
      <c r="N161" s="24"/>
      <c r="O161" s="14"/>
      <c r="P161" s="49"/>
      <c r="Q161" s="24"/>
      <c r="R161" s="24">
        <f t="shared" si="5"/>
        <v>0</v>
      </c>
      <c r="S161" s="23"/>
      <c r="T161" s="24"/>
      <c r="U161" s="49"/>
      <c r="V161" s="24"/>
      <c r="W161" s="24">
        <f t="shared" si="6"/>
        <v>0</v>
      </c>
      <c r="X161" s="24"/>
    </row>
    <row r="162" spans="1:24" ht="14.25" customHeight="1">
      <c r="A162" s="13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5">
        <f t="shared" si="0"/>
        <v>0</v>
      </c>
      <c r="N162" s="24"/>
      <c r="O162" s="14"/>
      <c r="P162" s="49"/>
      <c r="Q162" s="24"/>
      <c r="R162" s="24">
        <f t="shared" si="5"/>
        <v>0</v>
      </c>
      <c r="S162" s="23"/>
      <c r="T162" s="24"/>
      <c r="U162" s="49"/>
      <c r="V162" s="24"/>
      <c r="W162" s="24">
        <f t="shared" si="6"/>
        <v>0</v>
      </c>
      <c r="X162" s="24"/>
    </row>
    <row r="163" spans="1:24" ht="14.25" customHeight="1">
      <c r="A163" s="13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5">
        <f t="shared" si="0"/>
        <v>0</v>
      </c>
      <c r="N163" s="24"/>
      <c r="O163" s="14"/>
      <c r="P163" s="49"/>
      <c r="Q163" s="24"/>
      <c r="R163" s="24">
        <f t="shared" si="5"/>
        <v>0</v>
      </c>
      <c r="S163" s="23"/>
      <c r="T163" s="24"/>
      <c r="U163" s="49"/>
      <c r="V163" s="24"/>
      <c r="W163" s="24">
        <f t="shared" si="6"/>
        <v>0</v>
      </c>
      <c r="X163" s="24"/>
    </row>
    <row r="164" spans="1:24" ht="14.25" customHeight="1">
      <c r="A164" s="13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5">
        <f t="shared" si="0"/>
        <v>0</v>
      </c>
      <c r="N164" s="24"/>
      <c r="O164" s="14"/>
      <c r="P164" s="49"/>
      <c r="Q164" s="24"/>
      <c r="R164" s="24">
        <f t="shared" si="5"/>
        <v>0</v>
      </c>
      <c r="S164" s="23"/>
      <c r="T164" s="24"/>
      <c r="U164" s="49"/>
      <c r="V164" s="24"/>
      <c r="W164" s="24">
        <f t="shared" si="6"/>
        <v>0</v>
      </c>
      <c r="X164" s="24"/>
    </row>
    <row r="165" spans="1:24" ht="14.25" customHeight="1">
      <c r="A165" s="13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5">
        <f t="shared" si="0"/>
        <v>0</v>
      </c>
      <c r="N165" s="24"/>
      <c r="O165" s="14"/>
      <c r="P165" s="49"/>
      <c r="Q165" s="24"/>
      <c r="R165" s="24">
        <f t="shared" si="5"/>
        <v>0</v>
      </c>
      <c r="S165" s="23"/>
      <c r="T165" s="24"/>
      <c r="U165" s="49"/>
      <c r="V165" s="24"/>
      <c r="W165" s="24">
        <f t="shared" si="6"/>
        <v>0</v>
      </c>
      <c r="X165" s="24"/>
    </row>
    <row r="166" spans="1:24" ht="14.25" customHeight="1">
      <c r="A166" s="13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5">
        <f t="shared" si="0"/>
        <v>0</v>
      </c>
      <c r="N166" s="24"/>
      <c r="O166" s="14"/>
      <c r="P166" s="49"/>
      <c r="Q166" s="24"/>
      <c r="R166" s="24">
        <f t="shared" si="5"/>
        <v>0</v>
      </c>
      <c r="S166" s="23"/>
      <c r="T166" s="24"/>
      <c r="U166" s="49"/>
      <c r="V166" s="24"/>
      <c r="W166" s="24">
        <f t="shared" si="6"/>
        <v>0</v>
      </c>
      <c r="X166" s="24"/>
    </row>
    <row r="167" spans="1:24" ht="14.25" customHeight="1">
      <c r="A167" s="13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5">
        <f t="shared" si="0"/>
        <v>0</v>
      </c>
      <c r="N167" s="24"/>
      <c r="O167" s="14"/>
      <c r="P167" s="49"/>
      <c r="Q167" s="24"/>
      <c r="R167" s="24">
        <f t="shared" si="5"/>
        <v>0</v>
      </c>
      <c r="S167" s="23"/>
      <c r="T167" s="24"/>
      <c r="U167" s="49"/>
      <c r="V167" s="24"/>
      <c r="W167" s="24">
        <f t="shared" si="6"/>
        <v>0</v>
      </c>
      <c r="X167" s="24"/>
    </row>
    <row r="168" spans="1:24" ht="14.25" customHeight="1">
      <c r="A168" s="13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5">
        <f t="shared" si="0"/>
        <v>0</v>
      </c>
      <c r="N168" s="24"/>
      <c r="O168" s="14"/>
      <c r="P168" s="49"/>
      <c r="Q168" s="24"/>
      <c r="R168" s="24">
        <f t="shared" si="5"/>
        <v>0</v>
      </c>
      <c r="S168" s="23"/>
      <c r="T168" s="24"/>
      <c r="U168" s="49"/>
      <c r="V168" s="24"/>
      <c r="W168" s="24">
        <f t="shared" si="6"/>
        <v>0</v>
      </c>
      <c r="X168" s="24"/>
    </row>
    <row r="169" spans="1:24" ht="14.25" customHeight="1">
      <c r="A169" s="13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5">
        <f t="shared" si="0"/>
        <v>0</v>
      </c>
      <c r="N169" s="24"/>
      <c r="O169" s="14"/>
      <c r="P169" s="49"/>
      <c r="Q169" s="24"/>
      <c r="R169" s="24">
        <f t="shared" si="5"/>
        <v>0</v>
      </c>
      <c r="S169" s="23"/>
      <c r="T169" s="24"/>
      <c r="U169" s="49"/>
      <c r="V169" s="24"/>
      <c r="W169" s="24">
        <f t="shared" si="6"/>
        <v>0</v>
      </c>
      <c r="X169" s="24"/>
    </row>
    <row r="170" spans="1:24" ht="14.25" customHeight="1">
      <c r="A170" s="13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5">
        <f t="shared" si="0"/>
        <v>0</v>
      </c>
      <c r="N170" s="24"/>
      <c r="O170" s="14"/>
      <c r="P170" s="49"/>
      <c r="Q170" s="24"/>
      <c r="R170" s="24">
        <f t="shared" si="5"/>
        <v>0</v>
      </c>
      <c r="S170" s="23"/>
      <c r="T170" s="24"/>
      <c r="U170" s="49"/>
      <c r="V170" s="24"/>
      <c r="W170" s="24">
        <f t="shared" si="6"/>
        <v>0</v>
      </c>
      <c r="X170" s="24"/>
    </row>
    <row r="171" spans="1:24" ht="14.25" customHeight="1">
      <c r="A171" s="13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5">
        <f t="shared" si="0"/>
        <v>0</v>
      </c>
      <c r="N171" s="24"/>
      <c r="O171" s="14"/>
      <c r="P171" s="49"/>
      <c r="Q171" s="24"/>
      <c r="R171" s="24">
        <f t="shared" si="5"/>
        <v>0</v>
      </c>
      <c r="S171" s="23"/>
      <c r="T171" s="24"/>
      <c r="U171" s="49"/>
      <c r="V171" s="24"/>
      <c r="W171" s="24">
        <f t="shared" si="6"/>
        <v>0</v>
      </c>
      <c r="X171" s="24"/>
    </row>
    <row r="172" spans="1:24" ht="14.25" customHeight="1">
      <c r="A172" s="13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5">
        <f t="shared" si="0"/>
        <v>0</v>
      </c>
      <c r="N172" s="24"/>
      <c r="O172" s="14"/>
      <c r="P172" s="49"/>
      <c r="Q172" s="24"/>
      <c r="R172" s="24">
        <f t="shared" si="5"/>
        <v>0</v>
      </c>
      <c r="S172" s="23"/>
      <c r="T172" s="24"/>
      <c r="U172" s="49"/>
      <c r="V172" s="24"/>
      <c r="W172" s="24">
        <f t="shared" si="6"/>
        <v>0</v>
      </c>
      <c r="X172" s="24"/>
    </row>
    <row r="173" spans="1:24" ht="14.25" customHeight="1">
      <c r="A173" s="13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5">
        <f t="shared" si="0"/>
        <v>0</v>
      </c>
      <c r="N173" s="24"/>
      <c r="O173" s="14"/>
      <c r="P173" s="49"/>
      <c r="Q173" s="24"/>
      <c r="R173" s="24">
        <f t="shared" si="5"/>
        <v>0</v>
      </c>
      <c r="S173" s="23"/>
      <c r="T173" s="24"/>
      <c r="U173" s="49"/>
      <c r="V173" s="24"/>
      <c r="W173" s="24">
        <f t="shared" si="6"/>
        <v>0</v>
      </c>
      <c r="X173" s="24"/>
    </row>
    <row r="174" spans="1:24" ht="14.25" customHeight="1">
      <c r="A174" s="13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5">
        <f t="shared" si="0"/>
        <v>0</v>
      </c>
      <c r="N174" s="24"/>
      <c r="O174" s="14"/>
      <c r="P174" s="49"/>
      <c r="Q174" s="24"/>
      <c r="R174" s="24">
        <f t="shared" si="5"/>
        <v>0</v>
      </c>
      <c r="S174" s="23"/>
      <c r="T174" s="24"/>
      <c r="U174" s="49"/>
      <c r="V174" s="24"/>
      <c r="W174" s="24">
        <f t="shared" si="6"/>
        <v>0</v>
      </c>
      <c r="X174" s="24"/>
    </row>
    <row r="175" spans="1:24" ht="14.25" customHeight="1">
      <c r="A175" s="13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5">
        <f t="shared" si="0"/>
        <v>0</v>
      </c>
      <c r="N175" s="24"/>
      <c r="O175" s="14"/>
      <c r="P175" s="49"/>
      <c r="Q175" s="24"/>
      <c r="R175" s="24">
        <f t="shared" si="5"/>
        <v>0</v>
      </c>
      <c r="S175" s="23"/>
      <c r="T175" s="24"/>
      <c r="U175" s="49"/>
      <c r="V175" s="24"/>
      <c r="W175" s="24">
        <f t="shared" si="6"/>
        <v>0</v>
      </c>
      <c r="X175" s="24"/>
    </row>
    <row r="176" spans="1:24" ht="14.25" customHeight="1">
      <c r="A176" s="13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5">
        <f t="shared" si="0"/>
        <v>0</v>
      </c>
      <c r="N176" s="24"/>
      <c r="O176" s="14"/>
      <c r="P176" s="49"/>
      <c r="Q176" s="24"/>
      <c r="R176" s="24">
        <f t="shared" si="5"/>
        <v>0</v>
      </c>
      <c r="S176" s="23"/>
      <c r="T176" s="24"/>
      <c r="U176" s="49"/>
      <c r="V176" s="24"/>
      <c r="W176" s="24">
        <f t="shared" si="6"/>
        <v>0</v>
      </c>
      <c r="X176" s="24"/>
    </row>
    <row r="177" spans="1:24" ht="14.25" customHeight="1">
      <c r="A177" s="13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5">
        <f t="shared" si="0"/>
        <v>0</v>
      </c>
      <c r="N177" s="24"/>
      <c r="O177" s="14"/>
      <c r="P177" s="49"/>
      <c r="Q177" s="24"/>
      <c r="R177" s="24">
        <f t="shared" si="5"/>
        <v>0</v>
      </c>
      <c r="S177" s="23"/>
      <c r="T177" s="24"/>
      <c r="U177" s="49"/>
      <c r="V177" s="24"/>
      <c r="W177" s="24">
        <f t="shared" si="6"/>
        <v>0</v>
      </c>
      <c r="X177" s="24"/>
    </row>
    <row r="178" spans="1:24" ht="14.25" customHeight="1">
      <c r="A178" s="13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5">
        <f t="shared" si="0"/>
        <v>0</v>
      </c>
      <c r="N178" s="24"/>
      <c r="O178" s="14"/>
      <c r="P178" s="49"/>
      <c r="Q178" s="24"/>
      <c r="R178" s="24">
        <f t="shared" si="5"/>
        <v>0</v>
      </c>
      <c r="S178" s="23"/>
      <c r="T178" s="24"/>
      <c r="U178" s="49"/>
      <c r="V178" s="24"/>
      <c r="W178" s="24">
        <f t="shared" si="6"/>
        <v>0</v>
      </c>
      <c r="X178" s="24"/>
    </row>
    <row r="179" spans="1:24" ht="14.25" customHeight="1">
      <c r="A179" s="13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5">
        <f t="shared" si="0"/>
        <v>0</v>
      </c>
      <c r="N179" s="24"/>
      <c r="O179" s="14"/>
      <c r="P179" s="49"/>
      <c r="Q179" s="24"/>
      <c r="R179" s="24">
        <f t="shared" si="5"/>
        <v>0</v>
      </c>
      <c r="S179" s="23"/>
      <c r="T179" s="24"/>
      <c r="U179" s="49"/>
      <c r="V179" s="24"/>
      <c r="W179" s="24">
        <f t="shared" si="6"/>
        <v>0</v>
      </c>
      <c r="X179" s="24"/>
    </row>
    <row r="180" spans="1:24" ht="14.25" customHeight="1">
      <c r="A180" s="13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5">
        <f t="shared" si="0"/>
        <v>0</v>
      </c>
      <c r="N180" s="24"/>
      <c r="O180" s="14"/>
      <c r="P180" s="49"/>
      <c r="Q180" s="24"/>
      <c r="R180" s="24">
        <f t="shared" si="5"/>
        <v>0</v>
      </c>
      <c r="S180" s="23"/>
      <c r="T180" s="24"/>
      <c r="U180" s="49"/>
      <c r="V180" s="24"/>
      <c r="W180" s="24">
        <f t="shared" si="6"/>
        <v>0</v>
      </c>
      <c r="X180" s="24"/>
    </row>
    <row r="181" spans="1:24" ht="14.25" customHeight="1">
      <c r="A181" s="13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5">
        <f t="shared" si="0"/>
        <v>0</v>
      </c>
      <c r="N181" s="24"/>
      <c r="O181" s="14"/>
      <c r="P181" s="49"/>
      <c r="Q181" s="24"/>
      <c r="R181" s="24">
        <f t="shared" si="5"/>
        <v>0</v>
      </c>
      <c r="S181" s="23"/>
      <c r="T181" s="24"/>
      <c r="U181" s="49"/>
      <c r="V181" s="24"/>
      <c r="W181" s="24">
        <f t="shared" si="6"/>
        <v>0</v>
      </c>
      <c r="X181" s="24"/>
    </row>
    <row r="182" spans="1:24" ht="14.25" customHeight="1">
      <c r="A182" s="13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5">
        <f t="shared" si="0"/>
        <v>0</v>
      </c>
      <c r="N182" s="24"/>
      <c r="O182" s="14"/>
      <c r="P182" s="49"/>
      <c r="Q182" s="24"/>
      <c r="R182" s="24">
        <f t="shared" si="5"/>
        <v>0</v>
      </c>
      <c r="S182" s="23"/>
      <c r="T182" s="24"/>
      <c r="U182" s="49"/>
      <c r="V182" s="24"/>
      <c r="W182" s="24">
        <f t="shared" si="6"/>
        <v>0</v>
      </c>
      <c r="X182" s="24"/>
    </row>
    <row r="183" spans="1:24" ht="14.25" customHeight="1">
      <c r="A183" s="13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5">
        <f t="shared" si="0"/>
        <v>0</v>
      </c>
      <c r="N183" s="24"/>
      <c r="O183" s="14"/>
      <c r="P183" s="49"/>
      <c r="Q183" s="24"/>
      <c r="R183" s="24">
        <f t="shared" si="5"/>
        <v>0</v>
      </c>
      <c r="S183" s="23"/>
      <c r="T183" s="24"/>
      <c r="U183" s="49"/>
      <c r="V183" s="24"/>
      <c r="W183" s="24">
        <f t="shared" si="6"/>
        <v>0</v>
      </c>
      <c r="X183" s="24"/>
    </row>
    <row r="184" spans="1:24" ht="14.25" customHeight="1">
      <c r="A184" s="13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5">
        <f t="shared" si="0"/>
        <v>0</v>
      </c>
      <c r="N184" s="24"/>
      <c r="O184" s="14"/>
      <c r="P184" s="49"/>
      <c r="Q184" s="24"/>
      <c r="R184" s="24">
        <f t="shared" si="5"/>
        <v>0</v>
      </c>
      <c r="S184" s="23"/>
      <c r="T184" s="24"/>
      <c r="U184" s="49"/>
      <c r="V184" s="24"/>
      <c r="W184" s="24">
        <f t="shared" si="6"/>
        <v>0</v>
      </c>
      <c r="X184" s="24"/>
    </row>
    <row r="185" spans="1:24" ht="14.25" customHeight="1">
      <c r="A185" s="13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5">
        <f t="shared" si="0"/>
        <v>0</v>
      </c>
      <c r="N185" s="24"/>
      <c r="O185" s="14"/>
      <c r="P185" s="49"/>
      <c r="Q185" s="24"/>
      <c r="R185" s="24">
        <f t="shared" si="5"/>
        <v>0</v>
      </c>
      <c r="S185" s="23"/>
      <c r="T185" s="24"/>
      <c r="U185" s="49"/>
      <c r="V185" s="24"/>
      <c r="W185" s="24">
        <f t="shared" si="6"/>
        <v>0</v>
      </c>
      <c r="X185" s="24"/>
    </row>
    <row r="186" spans="1:24" ht="14.25" customHeight="1">
      <c r="A186" s="13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5">
        <f t="shared" si="0"/>
        <v>0</v>
      </c>
      <c r="N186" s="24"/>
      <c r="O186" s="14"/>
      <c r="P186" s="49"/>
      <c r="Q186" s="24"/>
      <c r="R186" s="24">
        <f t="shared" si="5"/>
        <v>0</v>
      </c>
      <c r="S186" s="23"/>
      <c r="T186" s="24"/>
      <c r="U186" s="49"/>
      <c r="V186" s="24"/>
      <c r="W186" s="24">
        <f t="shared" si="6"/>
        <v>0</v>
      </c>
      <c r="X186" s="24"/>
    </row>
    <row r="187" spans="1:24" ht="14.25" customHeight="1">
      <c r="A187" s="13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5">
        <f t="shared" si="0"/>
        <v>0</v>
      </c>
      <c r="N187" s="24"/>
      <c r="O187" s="14"/>
      <c r="P187" s="49"/>
      <c r="Q187" s="24"/>
      <c r="R187" s="24">
        <f t="shared" si="5"/>
        <v>0</v>
      </c>
      <c r="S187" s="23"/>
      <c r="T187" s="24"/>
      <c r="U187" s="49"/>
      <c r="V187" s="24"/>
      <c r="W187" s="24">
        <f t="shared" si="6"/>
        <v>0</v>
      </c>
      <c r="X187" s="24"/>
    </row>
    <row r="188" spans="1:24" ht="14.25" customHeight="1">
      <c r="A188" s="13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5">
        <f t="shared" si="0"/>
        <v>0</v>
      </c>
      <c r="N188" s="24"/>
      <c r="O188" s="14"/>
      <c r="P188" s="49"/>
      <c r="Q188" s="24"/>
      <c r="R188" s="24">
        <f t="shared" si="5"/>
        <v>0</v>
      </c>
      <c r="S188" s="23"/>
      <c r="T188" s="24"/>
      <c r="U188" s="49"/>
      <c r="V188" s="24"/>
      <c r="W188" s="24">
        <f t="shared" si="6"/>
        <v>0</v>
      </c>
      <c r="X188" s="24"/>
    </row>
    <row r="189" spans="1:24" ht="14.25" customHeight="1">
      <c r="A189" s="13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5">
        <f t="shared" si="0"/>
        <v>0</v>
      </c>
      <c r="N189" s="24"/>
      <c r="O189" s="14"/>
      <c r="P189" s="49"/>
      <c r="Q189" s="24"/>
      <c r="R189" s="24">
        <f t="shared" si="5"/>
        <v>0</v>
      </c>
      <c r="S189" s="23"/>
      <c r="T189" s="24"/>
      <c r="U189" s="49"/>
      <c r="V189" s="24"/>
      <c r="W189" s="24">
        <f t="shared" si="6"/>
        <v>0</v>
      </c>
      <c r="X189" s="24"/>
    </row>
    <row r="190" spans="1:24" ht="14.25" customHeight="1">
      <c r="A190" s="13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5">
        <f t="shared" si="0"/>
        <v>0</v>
      </c>
      <c r="N190" s="24"/>
      <c r="O190" s="14"/>
      <c r="P190" s="49"/>
      <c r="Q190" s="24"/>
      <c r="R190" s="24">
        <f t="shared" si="5"/>
        <v>0</v>
      </c>
      <c r="S190" s="23"/>
      <c r="T190" s="24"/>
      <c r="U190" s="49"/>
      <c r="V190" s="24"/>
      <c r="W190" s="24">
        <f t="shared" si="6"/>
        <v>0</v>
      </c>
      <c r="X190" s="24"/>
    </row>
    <row r="191" spans="1:24" ht="14.25" customHeight="1">
      <c r="A191" s="13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5">
        <f t="shared" si="0"/>
        <v>0</v>
      </c>
      <c r="N191" s="24"/>
      <c r="O191" s="14"/>
      <c r="P191" s="49"/>
      <c r="Q191" s="24"/>
      <c r="R191" s="24">
        <f t="shared" si="5"/>
        <v>0</v>
      </c>
      <c r="S191" s="23"/>
      <c r="T191" s="24"/>
      <c r="U191" s="49"/>
      <c r="V191" s="24"/>
      <c r="W191" s="24">
        <f t="shared" si="6"/>
        <v>0</v>
      </c>
      <c r="X191" s="24"/>
    </row>
    <row r="192" spans="1:24" ht="14.25" customHeight="1">
      <c r="A192" s="13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5">
        <f t="shared" si="0"/>
        <v>0</v>
      </c>
      <c r="N192" s="24"/>
      <c r="O192" s="14"/>
      <c r="P192" s="49"/>
      <c r="Q192" s="24"/>
      <c r="R192" s="24">
        <f t="shared" si="5"/>
        <v>0</v>
      </c>
      <c r="S192" s="23"/>
      <c r="T192" s="24"/>
      <c r="U192" s="49"/>
      <c r="V192" s="24"/>
      <c r="W192" s="24">
        <f t="shared" si="6"/>
        <v>0</v>
      </c>
      <c r="X192" s="24"/>
    </row>
    <row r="193" spans="1:24" ht="14.25" customHeight="1">
      <c r="A193" s="13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5">
        <f t="shared" si="0"/>
        <v>0</v>
      </c>
      <c r="N193" s="24"/>
      <c r="O193" s="14"/>
      <c r="P193" s="49"/>
      <c r="Q193" s="24"/>
      <c r="R193" s="24">
        <f t="shared" si="5"/>
        <v>0</v>
      </c>
      <c r="S193" s="23"/>
      <c r="T193" s="24"/>
      <c r="U193" s="49"/>
      <c r="V193" s="24"/>
      <c r="W193" s="24">
        <f t="shared" si="6"/>
        <v>0</v>
      </c>
      <c r="X193" s="24"/>
    </row>
    <row r="194" spans="1:24" ht="14.25" customHeight="1">
      <c r="A194" s="13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5">
        <f t="shared" si="0"/>
        <v>0</v>
      </c>
      <c r="N194" s="24"/>
      <c r="O194" s="14"/>
      <c r="P194" s="49"/>
      <c r="Q194" s="24"/>
      <c r="R194" s="24">
        <f t="shared" si="5"/>
        <v>0</v>
      </c>
      <c r="S194" s="23"/>
      <c r="T194" s="24"/>
      <c r="U194" s="49"/>
      <c r="V194" s="24"/>
      <c r="W194" s="24">
        <f t="shared" si="6"/>
        <v>0</v>
      </c>
      <c r="X194" s="24"/>
    </row>
    <row r="195" spans="1:24" ht="14.25" customHeight="1">
      <c r="A195" s="13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5">
        <f t="shared" si="0"/>
        <v>0</v>
      </c>
      <c r="N195" s="24"/>
      <c r="O195" s="14"/>
      <c r="P195" s="49"/>
      <c r="Q195" s="24"/>
      <c r="R195" s="24">
        <f t="shared" ref="R195:R258" si="7">Q195-M195</f>
        <v>0</v>
      </c>
      <c r="S195" s="23"/>
      <c r="T195" s="24"/>
      <c r="U195" s="49"/>
      <c r="V195" s="24"/>
      <c r="W195" s="24">
        <f t="shared" ref="W195:W258" si="8">V195-Q195</f>
        <v>0</v>
      </c>
      <c r="X195" s="24"/>
    </row>
    <row r="196" spans="1:24" ht="14.25" customHeight="1">
      <c r="A196" s="13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5">
        <f t="shared" si="0"/>
        <v>0</v>
      </c>
      <c r="N196" s="24"/>
      <c r="O196" s="14"/>
      <c r="P196" s="49"/>
      <c r="Q196" s="24"/>
      <c r="R196" s="24">
        <f t="shared" si="7"/>
        <v>0</v>
      </c>
      <c r="S196" s="23"/>
      <c r="T196" s="24"/>
      <c r="U196" s="49"/>
      <c r="V196" s="24"/>
      <c r="W196" s="24">
        <f t="shared" si="8"/>
        <v>0</v>
      </c>
      <c r="X196" s="24"/>
    </row>
    <row r="197" spans="1:24" ht="14.25" customHeight="1">
      <c r="A197" s="13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5">
        <f t="shared" si="0"/>
        <v>0</v>
      </c>
      <c r="N197" s="24"/>
      <c r="O197" s="14"/>
      <c r="P197" s="49"/>
      <c r="Q197" s="24"/>
      <c r="R197" s="24">
        <f t="shared" si="7"/>
        <v>0</v>
      </c>
      <c r="S197" s="23"/>
      <c r="T197" s="24"/>
      <c r="U197" s="49"/>
      <c r="V197" s="24"/>
      <c r="W197" s="24">
        <f t="shared" si="8"/>
        <v>0</v>
      </c>
      <c r="X197" s="24"/>
    </row>
    <row r="198" spans="1:24" ht="14.25" customHeight="1">
      <c r="A198" s="13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5">
        <f t="shared" si="0"/>
        <v>0</v>
      </c>
      <c r="N198" s="24"/>
      <c r="O198" s="14"/>
      <c r="P198" s="49"/>
      <c r="Q198" s="24"/>
      <c r="R198" s="24">
        <f t="shared" si="7"/>
        <v>0</v>
      </c>
      <c r="S198" s="23"/>
      <c r="T198" s="24"/>
      <c r="U198" s="49"/>
      <c r="V198" s="24"/>
      <c r="W198" s="24">
        <f t="shared" si="8"/>
        <v>0</v>
      </c>
      <c r="X198" s="24"/>
    </row>
    <row r="199" spans="1:24" ht="14.25" customHeight="1">
      <c r="A199" s="13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5">
        <f t="shared" si="0"/>
        <v>0</v>
      </c>
      <c r="N199" s="24"/>
      <c r="O199" s="14"/>
      <c r="P199" s="49"/>
      <c r="Q199" s="24"/>
      <c r="R199" s="24">
        <f t="shared" si="7"/>
        <v>0</v>
      </c>
      <c r="S199" s="23"/>
      <c r="T199" s="24"/>
      <c r="U199" s="49"/>
      <c r="V199" s="24"/>
      <c r="W199" s="24">
        <f t="shared" si="8"/>
        <v>0</v>
      </c>
      <c r="X199" s="24"/>
    </row>
    <row r="200" spans="1:24" ht="14.25" customHeight="1">
      <c r="A200" s="13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5">
        <f t="shared" si="0"/>
        <v>0</v>
      </c>
      <c r="N200" s="24"/>
      <c r="O200" s="14"/>
      <c r="P200" s="49"/>
      <c r="Q200" s="24"/>
      <c r="R200" s="24">
        <f t="shared" si="7"/>
        <v>0</v>
      </c>
      <c r="S200" s="23"/>
      <c r="T200" s="24"/>
      <c r="U200" s="49"/>
      <c r="V200" s="24"/>
      <c r="W200" s="24">
        <f t="shared" si="8"/>
        <v>0</v>
      </c>
      <c r="X200" s="24"/>
    </row>
    <row r="201" spans="1:24" ht="14.25" customHeight="1">
      <c r="A201" s="13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5">
        <f t="shared" si="0"/>
        <v>0</v>
      </c>
      <c r="N201" s="24"/>
      <c r="O201" s="14"/>
      <c r="P201" s="49"/>
      <c r="Q201" s="24"/>
      <c r="R201" s="24">
        <f t="shared" si="7"/>
        <v>0</v>
      </c>
      <c r="S201" s="23"/>
      <c r="T201" s="24"/>
      <c r="U201" s="49"/>
      <c r="V201" s="24"/>
      <c r="W201" s="24">
        <f t="shared" si="8"/>
        <v>0</v>
      </c>
      <c r="X201" s="24"/>
    </row>
    <row r="202" spans="1:24" ht="14.25" customHeight="1">
      <c r="A202" s="13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5">
        <f t="shared" si="0"/>
        <v>0</v>
      </c>
      <c r="N202" s="24"/>
      <c r="O202" s="14"/>
      <c r="P202" s="49"/>
      <c r="Q202" s="24"/>
      <c r="R202" s="24">
        <f t="shared" si="7"/>
        <v>0</v>
      </c>
      <c r="S202" s="23"/>
      <c r="T202" s="24"/>
      <c r="U202" s="49"/>
      <c r="V202" s="24"/>
      <c r="W202" s="24">
        <f t="shared" si="8"/>
        <v>0</v>
      </c>
      <c r="X202" s="24"/>
    </row>
    <row r="203" spans="1:24" ht="14.25" customHeight="1">
      <c r="A203" s="13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5">
        <f t="shared" si="0"/>
        <v>0</v>
      </c>
      <c r="N203" s="24"/>
      <c r="O203" s="14"/>
      <c r="P203" s="49"/>
      <c r="Q203" s="24"/>
      <c r="R203" s="24">
        <f t="shared" si="7"/>
        <v>0</v>
      </c>
      <c r="S203" s="23"/>
      <c r="T203" s="24"/>
      <c r="U203" s="49"/>
      <c r="V203" s="24"/>
      <c r="W203" s="24">
        <f t="shared" si="8"/>
        <v>0</v>
      </c>
      <c r="X203" s="24"/>
    </row>
    <row r="204" spans="1:24" ht="14.25" customHeight="1">
      <c r="A204" s="13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5">
        <f t="shared" si="0"/>
        <v>0</v>
      </c>
      <c r="N204" s="24"/>
      <c r="O204" s="14"/>
      <c r="P204" s="49"/>
      <c r="Q204" s="24"/>
      <c r="R204" s="24">
        <f t="shared" si="7"/>
        <v>0</v>
      </c>
      <c r="S204" s="23"/>
      <c r="T204" s="24"/>
      <c r="U204" s="49"/>
      <c r="V204" s="24"/>
      <c r="W204" s="24">
        <f t="shared" si="8"/>
        <v>0</v>
      </c>
      <c r="X204" s="24"/>
    </row>
    <row r="205" spans="1:24" ht="14.25" customHeight="1">
      <c r="A205" s="13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5">
        <f t="shared" si="0"/>
        <v>0</v>
      </c>
      <c r="N205" s="24"/>
      <c r="O205" s="14"/>
      <c r="P205" s="49"/>
      <c r="Q205" s="24"/>
      <c r="R205" s="24">
        <f t="shared" si="7"/>
        <v>0</v>
      </c>
      <c r="S205" s="23"/>
      <c r="T205" s="24"/>
      <c r="U205" s="49"/>
      <c r="V205" s="24"/>
      <c r="W205" s="24">
        <f t="shared" si="8"/>
        <v>0</v>
      </c>
      <c r="X205" s="24"/>
    </row>
    <row r="206" spans="1:24" ht="14.25" customHeight="1">
      <c r="A206" s="13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5">
        <f t="shared" si="0"/>
        <v>0</v>
      </c>
      <c r="N206" s="24"/>
      <c r="O206" s="14"/>
      <c r="P206" s="49"/>
      <c r="Q206" s="24"/>
      <c r="R206" s="24">
        <f t="shared" si="7"/>
        <v>0</v>
      </c>
      <c r="S206" s="23"/>
      <c r="T206" s="24"/>
      <c r="U206" s="49"/>
      <c r="V206" s="24"/>
      <c r="W206" s="24">
        <f t="shared" si="8"/>
        <v>0</v>
      </c>
      <c r="X206" s="24"/>
    </row>
    <row r="207" spans="1:24" ht="14.25" customHeight="1">
      <c r="A207" s="13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5">
        <f t="shared" si="0"/>
        <v>0</v>
      </c>
      <c r="N207" s="24"/>
      <c r="O207" s="14"/>
      <c r="P207" s="49"/>
      <c r="Q207" s="24"/>
      <c r="R207" s="24">
        <f t="shared" si="7"/>
        <v>0</v>
      </c>
      <c r="S207" s="23"/>
      <c r="T207" s="24"/>
      <c r="U207" s="49"/>
      <c r="V207" s="24"/>
      <c r="W207" s="24">
        <f t="shared" si="8"/>
        <v>0</v>
      </c>
      <c r="X207" s="24"/>
    </row>
    <row r="208" spans="1:24" ht="14.25" customHeight="1">
      <c r="A208" s="13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5">
        <f t="shared" si="0"/>
        <v>0</v>
      </c>
      <c r="N208" s="24"/>
      <c r="O208" s="14"/>
      <c r="P208" s="49"/>
      <c r="Q208" s="24"/>
      <c r="R208" s="24">
        <f t="shared" si="7"/>
        <v>0</v>
      </c>
      <c r="S208" s="23"/>
      <c r="T208" s="24"/>
      <c r="U208" s="49"/>
      <c r="V208" s="24"/>
      <c r="W208" s="24">
        <f t="shared" si="8"/>
        <v>0</v>
      </c>
      <c r="X208" s="24"/>
    </row>
    <row r="209" spans="1:24" ht="14.25" customHeight="1">
      <c r="A209" s="13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5">
        <f t="shared" si="0"/>
        <v>0</v>
      </c>
      <c r="N209" s="24"/>
      <c r="O209" s="14"/>
      <c r="P209" s="49"/>
      <c r="Q209" s="24"/>
      <c r="R209" s="24">
        <f t="shared" si="7"/>
        <v>0</v>
      </c>
      <c r="S209" s="23"/>
      <c r="T209" s="24"/>
      <c r="U209" s="49"/>
      <c r="V209" s="24"/>
      <c r="W209" s="24">
        <f t="shared" si="8"/>
        <v>0</v>
      </c>
      <c r="X209" s="24"/>
    </row>
    <row r="210" spans="1:24" ht="14.25" customHeight="1">
      <c r="A210" s="13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5">
        <f t="shared" si="0"/>
        <v>0</v>
      </c>
      <c r="N210" s="24"/>
      <c r="O210" s="14"/>
      <c r="P210" s="49"/>
      <c r="Q210" s="24"/>
      <c r="R210" s="24">
        <f t="shared" si="7"/>
        <v>0</v>
      </c>
      <c r="S210" s="23"/>
      <c r="T210" s="24"/>
      <c r="U210" s="49"/>
      <c r="V210" s="24"/>
      <c r="W210" s="24">
        <f t="shared" si="8"/>
        <v>0</v>
      </c>
      <c r="X210" s="24"/>
    </row>
    <row r="211" spans="1:24" ht="14.25" customHeight="1">
      <c r="A211" s="13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5">
        <f t="shared" si="0"/>
        <v>0</v>
      </c>
      <c r="N211" s="24"/>
      <c r="O211" s="14"/>
      <c r="P211" s="49"/>
      <c r="Q211" s="24"/>
      <c r="R211" s="24">
        <f t="shared" si="7"/>
        <v>0</v>
      </c>
      <c r="S211" s="23"/>
      <c r="T211" s="24"/>
      <c r="U211" s="49"/>
      <c r="V211" s="24"/>
      <c r="W211" s="24">
        <f t="shared" si="8"/>
        <v>0</v>
      </c>
      <c r="X211" s="24"/>
    </row>
    <row r="212" spans="1:24" ht="14.25" customHeight="1">
      <c r="A212" s="13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5">
        <f t="shared" si="0"/>
        <v>0</v>
      </c>
      <c r="N212" s="24"/>
      <c r="O212" s="14"/>
      <c r="P212" s="49"/>
      <c r="Q212" s="24"/>
      <c r="R212" s="24">
        <f t="shared" si="7"/>
        <v>0</v>
      </c>
      <c r="S212" s="23"/>
      <c r="T212" s="24"/>
      <c r="U212" s="49"/>
      <c r="V212" s="24"/>
      <c r="W212" s="24">
        <f t="shared" si="8"/>
        <v>0</v>
      </c>
      <c r="X212" s="24"/>
    </row>
    <row r="213" spans="1:24" ht="14.25" customHeight="1">
      <c r="A213" s="13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5">
        <f t="shared" si="0"/>
        <v>0</v>
      </c>
      <c r="N213" s="24"/>
      <c r="O213" s="14"/>
      <c r="P213" s="49"/>
      <c r="Q213" s="24"/>
      <c r="R213" s="24">
        <f t="shared" si="7"/>
        <v>0</v>
      </c>
      <c r="S213" s="23"/>
      <c r="T213" s="24"/>
      <c r="U213" s="49"/>
      <c r="V213" s="24"/>
      <c r="W213" s="24">
        <f t="shared" si="8"/>
        <v>0</v>
      </c>
      <c r="X213" s="24"/>
    </row>
    <row r="214" spans="1:24" ht="14.25" customHeight="1">
      <c r="A214" s="13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5">
        <f t="shared" si="0"/>
        <v>0</v>
      </c>
      <c r="N214" s="24"/>
      <c r="O214" s="14"/>
      <c r="P214" s="49"/>
      <c r="Q214" s="24"/>
      <c r="R214" s="24">
        <f t="shared" si="7"/>
        <v>0</v>
      </c>
      <c r="S214" s="23"/>
      <c r="T214" s="24"/>
      <c r="U214" s="49"/>
      <c r="V214" s="24"/>
      <c r="W214" s="24">
        <f t="shared" si="8"/>
        <v>0</v>
      </c>
      <c r="X214" s="24"/>
    </row>
    <row r="215" spans="1:24" ht="14.25" customHeight="1">
      <c r="A215" s="13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5">
        <f t="shared" si="0"/>
        <v>0</v>
      </c>
      <c r="N215" s="24"/>
      <c r="O215" s="14"/>
      <c r="P215" s="49"/>
      <c r="Q215" s="24"/>
      <c r="R215" s="24">
        <f t="shared" si="7"/>
        <v>0</v>
      </c>
      <c r="S215" s="23"/>
      <c r="T215" s="24"/>
      <c r="U215" s="49"/>
      <c r="V215" s="24"/>
      <c r="W215" s="24">
        <f t="shared" si="8"/>
        <v>0</v>
      </c>
      <c r="X215" s="24"/>
    </row>
    <row r="216" spans="1:24" ht="14.25" customHeight="1">
      <c r="A216" s="13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5">
        <f t="shared" si="0"/>
        <v>0</v>
      </c>
      <c r="N216" s="24"/>
      <c r="O216" s="14"/>
      <c r="P216" s="49"/>
      <c r="Q216" s="24"/>
      <c r="R216" s="24">
        <f t="shared" si="7"/>
        <v>0</v>
      </c>
      <c r="S216" s="23"/>
      <c r="T216" s="24"/>
      <c r="U216" s="49"/>
      <c r="V216" s="24"/>
      <c r="W216" s="24">
        <f t="shared" si="8"/>
        <v>0</v>
      </c>
      <c r="X216" s="24"/>
    </row>
    <row r="217" spans="1:24" ht="14.25" customHeight="1">
      <c r="A217" s="13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5">
        <f t="shared" si="0"/>
        <v>0</v>
      </c>
      <c r="N217" s="24"/>
      <c r="O217" s="14"/>
      <c r="P217" s="49"/>
      <c r="Q217" s="24"/>
      <c r="R217" s="24">
        <f t="shared" si="7"/>
        <v>0</v>
      </c>
      <c r="S217" s="23"/>
      <c r="T217" s="24"/>
      <c r="U217" s="49"/>
      <c r="V217" s="24"/>
      <c r="W217" s="24">
        <f t="shared" si="8"/>
        <v>0</v>
      </c>
      <c r="X217" s="24"/>
    </row>
    <row r="218" spans="1:24" ht="14.25" customHeight="1">
      <c r="A218" s="13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5">
        <f t="shared" si="0"/>
        <v>0</v>
      </c>
      <c r="N218" s="24"/>
      <c r="O218" s="14"/>
      <c r="P218" s="49"/>
      <c r="Q218" s="24"/>
      <c r="R218" s="24">
        <f t="shared" si="7"/>
        <v>0</v>
      </c>
      <c r="S218" s="23"/>
      <c r="T218" s="24"/>
      <c r="U218" s="49"/>
      <c r="V218" s="24"/>
      <c r="W218" s="24">
        <f t="shared" si="8"/>
        <v>0</v>
      </c>
      <c r="X218" s="24"/>
    </row>
    <row r="219" spans="1:24" ht="14.25" customHeight="1">
      <c r="A219" s="13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5">
        <f t="shared" si="0"/>
        <v>0</v>
      </c>
      <c r="N219" s="24"/>
      <c r="O219" s="14"/>
      <c r="P219" s="49"/>
      <c r="Q219" s="24"/>
      <c r="R219" s="24">
        <f t="shared" si="7"/>
        <v>0</v>
      </c>
      <c r="S219" s="23"/>
      <c r="T219" s="24"/>
      <c r="U219" s="49"/>
      <c r="V219" s="24"/>
      <c r="W219" s="24">
        <f t="shared" si="8"/>
        <v>0</v>
      </c>
      <c r="X219" s="24"/>
    </row>
    <row r="220" spans="1:24" ht="14.25" customHeight="1">
      <c r="A220" s="13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5">
        <f t="shared" si="0"/>
        <v>0</v>
      </c>
      <c r="N220" s="24"/>
      <c r="O220" s="14"/>
      <c r="P220" s="49"/>
      <c r="Q220" s="24"/>
      <c r="R220" s="24">
        <f t="shared" si="7"/>
        <v>0</v>
      </c>
      <c r="S220" s="23"/>
      <c r="T220" s="24"/>
      <c r="U220" s="49"/>
      <c r="V220" s="24"/>
      <c r="W220" s="24">
        <f t="shared" si="8"/>
        <v>0</v>
      </c>
      <c r="X220" s="24"/>
    </row>
    <row r="221" spans="1:24" ht="14.25" customHeight="1">
      <c r="A221" s="13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5">
        <f t="shared" si="0"/>
        <v>0</v>
      </c>
      <c r="N221" s="24"/>
      <c r="O221" s="14"/>
      <c r="P221" s="49"/>
      <c r="Q221" s="24"/>
      <c r="R221" s="24">
        <f t="shared" si="7"/>
        <v>0</v>
      </c>
      <c r="S221" s="23"/>
      <c r="T221" s="24"/>
      <c r="U221" s="49"/>
      <c r="V221" s="24"/>
      <c r="W221" s="24">
        <f t="shared" si="8"/>
        <v>0</v>
      </c>
      <c r="X221" s="24"/>
    </row>
    <row r="222" spans="1:24" ht="14.25" customHeight="1">
      <c r="A222" s="13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5">
        <f t="shared" si="0"/>
        <v>0</v>
      </c>
      <c r="N222" s="24"/>
      <c r="O222" s="14"/>
      <c r="P222" s="49"/>
      <c r="Q222" s="24"/>
      <c r="R222" s="24">
        <f t="shared" si="7"/>
        <v>0</v>
      </c>
      <c r="S222" s="23"/>
      <c r="T222" s="24"/>
      <c r="U222" s="49"/>
      <c r="V222" s="24"/>
      <c r="W222" s="24">
        <f t="shared" si="8"/>
        <v>0</v>
      </c>
      <c r="X222" s="24"/>
    </row>
    <row r="223" spans="1:24" ht="14.25" customHeight="1">
      <c r="A223" s="13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5">
        <f t="shared" si="0"/>
        <v>0</v>
      </c>
      <c r="N223" s="24"/>
      <c r="O223" s="14"/>
      <c r="P223" s="49"/>
      <c r="Q223" s="24"/>
      <c r="R223" s="24">
        <f t="shared" si="7"/>
        <v>0</v>
      </c>
      <c r="S223" s="23"/>
      <c r="T223" s="24"/>
      <c r="U223" s="49"/>
      <c r="V223" s="24"/>
      <c r="W223" s="24">
        <f t="shared" si="8"/>
        <v>0</v>
      </c>
      <c r="X223" s="24"/>
    </row>
    <row r="224" spans="1:24" ht="14.25" customHeight="1">
      <c r="A224" s="13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5">
        <f t="shared" si="0"/>
        <v>0</v>
      </c>
      <c r="N224" s="24"/>
      <c r="O224" s="14"/>
      <c r="P224" s="49"/>
      <c r="Q224" s="24"/>
      <c r="R224" s="24">
        <f t="shared" si="7"/>
        <v>0</v>
      </c>
      <c r="S224" s="23"/>
      <c r="T224" s="24"/>
      <c r="U224" s="49"/>
      <c r="V224" s="24"/>
      <c r="W224" s="24">
        <f t="shared" si="8"/>
        <v>0</v>
      </c>
      <c r="X224" s="24"/>
    </row>
    <row r="225" spans="1:24" ht="14.25" customHeight="1">
      <c r="A225" s="13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5">
        <f t="shared" si="0"/>
        <v>0</v>
      </c>
      <c r="N225" s="24"/>
      <c r="O225" s="14"/>
      <c r="P225" s="49"/>
      <c r="Q225" s="24"/>
      <c r="R225" s="24">
        <f t="shared" si="7"/>
        <v>0</v>
      </c>
      <c r="S225" s="23"/>
      <c r="T225" s="24"/>
      <c r="U225" s="49"/>
      <c r="V225" s="24"/>
      <c r="W225" s="24">
        <f t="shared" si="8"/>
        <v>0</v>
      </c>
      <c r="X225" s="24"/>
    </row>
    <row r="226" spans="1:24" ht="14.25" customHeight="1">
      <c r="A226" s="13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5">
        <f t="shared" ref="M226:M369" si="9">SUM(F226:L226)</f>
        <v>0</v>
      </c>
      <c r="N226" s="24"/>
      <c r="O226" s="14"/>
      <c r="P226" s="49"/>
      <c r="Q226" s="24"/>
      <c r="R226" s="24">
        <f t="shared" si="7"/>
        <v>0</v>
      </c>
      <c r="S226" s="23"/>
      <c r="T226" s="24"/>
      <c r="U226" s="49"/>
      <c r="V226" s="24"/>
      <c r="W226" s="24">
        <f t="shared" si="8"/>
        <v>0</v>
      </c>
      <c r="X226" s="24"/>
    </row>
    <row r="227" spans="1:24" ht="14.25" customHeight="1">
      <c r="A227" s="13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5">
        <f t="shared" si="9"/>
        <v>0</v>
      </c>
      <c r="N227" s="24"/>
      <c r="O227" s="14"/>
      <c r="P227" s="49"/>
      <c r="Q227" s="24"/>
      <c r="R227" s="24">
        <f t="shared" si="7"/>
        <v>0</v>
      </c>
      <c r="S227" s="23"/>
      <c r="T227" s="24"/>
      <c r="U227" s="49"/>
      <c r="V227" s="24"/>
      <c r="W227" s="24">
        <f t="shared" si="8"/>
        <v>0</v>
      </c>
      <c r="X227" s="24"/>
    </row>
    <row r="228" spans="1:24" ht="14.25" customHeight="1">
      <c r="A228" s="13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5">
        <f t="shared" si="9"/>
        <v>0</v>
      </c>
      <c r="N228" s="24"/>
      <c r="O228" s="14"/>
      <c r="P228" s="49"/>
      <c r="Q228" s="24"/>
      <c r="R228" s="24">
        <f t="shared" si="7"/>
        <v>0</v>
      </c>
      <c r="S228" s="23"/>
      <c r="T228" s="24"/>
      <c r="U228" s="49"/>
      <c r="V228" s="24"/>
      <c r="W228" s="24">
        <f t="shared" si="8"/>
        <v>0</v>
      </c>
      <c r="X228" s="24"/>
    </row>
    <row r="229" spans="1:24" ht="14.25" customHeight="1">
      <c r="A229" s="13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5">
        <f t="shared" si="9"/>
        <v>0</v>
      </c>
      <c r="N229" s="24"/>
      <c r="O229" s="14"/>
      <c r="P229" s="49"/>
      <c r="Q229" s="24"/>
      <c r="R229" s="24">
        <f t="shared" si="7"/>
        <v>0</v>
      </c>
      <c r="S229" s="23"/>
      <c r="T229" s="24"/>
      <c r="U229" s="49"/>
      <c r="V229" s="24"/>
      <c r="W229" s="24">
        <f t="shared" si="8"/>
        <v>0</v>
      </c>
      <c r="X229" s="24"/>
    </row>
    <row r="230" spans="1:24" ht="14.25" customHeight="1">
      <c r="A230" s="13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5">
        <f t="shared" si="9"/>
        <v>0</v>
      </c>
      <c r="N230" s="24"/>
      <c r="O230" s="14"/>
      <c r="P230" s="49"/>
      <c r="Q230" s="24"/>
      <c r="R230" s="24">
        <f t="shared" si="7"/>
        <v>0</v>
      </c>
      <c r="S230" s="23"/>
      <c r="T230" s="24"/>
      <c r="U230" s="49"/>
      <c r="V230" s="24"/>
      <c r="W230" s="24">
        <f t="shared" si="8"/>
        <v>0</v>
      </c>
      <c r="X230" s="24"/>
    </row>
    <row r="231" spans="1:24" ht="14.25" customHeight="1">
      <c r="A231" s="13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5">
        <f t="shared" si="9"/>
        <v>0</v>
      </c>
      <c r="N231" s="24"/>
      <c r="O231" s="14"/>
      <c r="P231" s="49"/>
      <c r="Q231" s="24"/>
      <c r="R231" s="24">
        <f t="shared" si="7"/>
        <v>0</v>
      </c>
      <c r="S231" s="23"/>
      <c r="T231" s="24"/>
      <c r="U231" s="49"/>
      <c r="V231" s="24"/>
      <c r="W231" s="24">
        <f t="shared" si="8"/>
        <v>0</v>
      </c>
      <c r="X231" s="24"/>
    </row>
    <row r="232" spans="1:24" ht="14.25" customHeight="1">
      <c r="A232" s="13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5">
        <f t="shared" si="9"/>
        <v>0</v>
      </c>
      <c r="N232" s="24"/>
      <c r="O232" s="14"/>
      <c r="P232" s="49"/>
      <c r="Q232" s="24"/>
      <c r="R232" s="24">
        <f t="shared" si="7"/>
        <v>0</v>
      </c>
      <c r="S232" s="23"/>
      <c r="T232" s="24"/>
      <c r="U232" s="49"/>
      <c r="V232" s="24"/>
      <c r="W232" s="24">
        <f t="shared" si="8"/>
        <v>0</v>
      </c>
      <c r="X232" s="24"/>
    </row>
    <row r="233" spans="1:24" ht="14.25" customHeight="1">
      <c r="A233" s="13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5">
        <f t="shared" si="9"/>
        <v>0</v>
      </c>
      <c r="N233" s="24"/>
      <c r="O233" s="14"/>
      <c r="P233" s="49"/>
      <c r="Q233" s="24"/>
      <c r="R233" s="24">
        <f t="shared" si="7"/>
        <v>0</v>
      </c>
      <c r="S233" s="23"/>
      <c r="T233" s="24"/>
      <c r="U233" s="49"/>
      <c r="V233" s="24"/>
      <c r="W233" s="24">
        <f t="shared" si="8"/>
        <v>0</v>
      </c>
      <c r="X233" s="24"/>
    </row>
    <row r="234" spans="1:24" ht="14.25" customHeight="1">
      <c r="A234" s="13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5">
        <f t="shared" si="9"/>
        <v>0</v>
      </c>
      <c r="N234" s="24"/>
      <c r="O234" s="14"/>
      <c r="P234" s="49"/>
      <c r="Q234" s="24"/>
      <c r="R234" s="24">
        <f t="shared" si="7"/>
        <v>0</v>
      </c>
      <c r="S234" s="23"/>
      <c r="T234" s="24"/>
      <c r="U234" s="49"/>
      <c r="V234" s="24"/>
      <c r="W234" s="24">
        <f t="shared" si="8"/>
        <v>0</v>
      </c>
      <c r="X234" s="24"/>
    </row>
    <row r="235" spans="1:24" ht="14.25" customHeight="1">
      <c r="A235" s="13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5">
        <f t="shared" si="9"/>
        <v>0</v>
      </c>
      <c r="N235" s="24"/>
      <c r="O235" s="14"/>
      <c r="P235" s="49"/>
      <c r="Q235" s="24"/>
      <c r="R235" s="24">
        <f t="shared" si="7"/>
        <v>0</v>
      </c>
      <c r="S235" s="23"/>
      <c r="T235" s="24"/>
      <c r="U235" s="49"/>
      <c r="V235" s="24"/>
      <c r="W235" s="24">
        <f t="shared" si="8"/>
        <v>0</v>
      </c>
      <c r="X235" s="24"/>
    </row>
    <row r="236" spans="1:24" ht="14.25" customHeight="1">
      <c r="A236" s="13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5">
        <f t="shared" si="9"/>
        <v>0</v>
      </c>
      <c r="N236" s="24"/>
      <c r="O236" s="14"/>
      <c r="P236" s="49"/>
      <c r="Q236" s="24"/>
      <c r="R236" s="24">
        <f t="shared" si="7"/>
        <v>0</v>
      </c>
      <c r="S236" s="23"/>
      <c r="T236" s="24"/>
      <c r="U236" s="49"/>
      <c r="V236" s="24"/>
      <c r="W236" s="24">
        <f t="shared" si="8"/>
        <v>0</v>
      </c>
      <c r="X236" s="24"/>
    </row>
    <row r="237" spans="1:24" ht="14.25" customHeight="1">
      <c r="A237" s="13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5">
        <f t="shared" si="9"/>
        <v>0</v>
      </c>
      <c r="N237" s="24"/>
      <c r="O237" s="14"/>
      <c r="P237" s="49"/>
      <c r="Q237" s="24"/>
      <c r="R237" s="24">
        <f t="shared" si="7"/>
        <v>0</v>
      </c>
      <c r="S237" s="23"/>
      <c r="T237" s="24"/>
      <c r="U237" s="49"/>
      <c r="V237" s="24"/>
      <c r="W237" s="24">
        <f t="shared" si="8"/>
        <v>0</v>
      </c>
      <c r="X237" s="24"/>
    </row>
    <row r="238" spans="1:24" ht="14.25" customHeight="1">
      <c r="A238" s="13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5">
        <f t="shared" si="9"/>
        <v>0</v>
      </c>
      <c r="N238" s="24"/>
      <c r="O238" s="14"/>
      <c r="P238" s="49"/>
      <c r="Q238" s="24"/>
      <c r="R238" s="24">
        <f t="shared" si="7"/>
        <v>0</v>
      </c>
      <c r="S238" s="23"/>
      <c r="T238" s="24"/>
      <c r="U238" s="49"/>
      <c r="V238" s="24"/>
      <c r="W238" s="24">
        <f t="shared" si="8"/>
        <v>0</v>
      </c>
      <c r="X238" s="24"/>
    </row>
    <row r="239" spans="1:24" ht="14.25" customHeight="1">
      <c r="A239" s="13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5">
        <f t="shared" si="9"/>
        <v>0</v>
      </c>
      <c r="N239" s="24"/>
      <c r="O239" s="14"/>
      <c r="P239" s="49"/>
      <c r="Q239" s="24"/>
      <c r="R239" s="24">
        <f t="shared" si="7"/>
        <v>0</v>
      </c>
      <c r="S239" s="23"/>
      <c r="T239" s="24"/>
      <c r="U239" s="49"/>
      <c r="V239" s="24"/>
      <c r="W239" s="24">
        <f t="shared" si="8"/>
        <v>0</v>
      </c>
      <c r="X239" s="24"/>
    </row>
    <row r="240" spans="1:24" ht="14.25" customHeight="1">
      <c r="A240" s="13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5">
        <f t="shared" si="9"/>
        <v>0</v>
      </c>
      <c r="N240" s="24"/>
      <c r="O240" s="14"/>
      <c r="P240" s="49"/>
      <c r="Q240" s="24"/>
      <c r="R240" s="24">
        <f t="shared" si="7"/>
        <v>0</v>
      </c>
      <c r="S240" s="23"/>
      <c r="T240" s="24"/>
      <c r="U240" s="49"/>
      <c r="V240" s="24"/>
      <c r="W240" s="24">
        <f t="shared" si="8"/>
        <v>0</v>
      </c>
      <c r="X240" s="24"/>
    </row>
    <row r="241" spans="1:24" ht="14.25" customHeight="1">
      <c r="A241" s="13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5">
        <f t="shared" si="9"/>
        <v>0</v>
      </c>
      <c r="N241" s="24"/>
      <c r="O241" s="14"/>
      <c r="P241" s="49"/>
      <c r="Q241" s="24"/>
      <c r="R241" s="24">
        <f t="shared" si="7"/>
        <v>0</v>
      </c>
      <c r="S241" s="23"/>
      <c r="T241" s="24"/>
      <c r="U241" s="49"/>
      <c r="V241" s="24"/>
      <c r="W241" s="24">
        <f t="shared" si="8"/>
        <v>0</v>
      </c>
      <c r="X241" s="24"/>
    </row>
    <row r="242" spans="1:24" ht="14.25" customHeight="1">
      <c r="A242" s="13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5">
        <f t="shared" si="9"/>
        <v>0</v>
      </c>
      <c r="N242" s="24"/>
      <c r="O242" s="14"/>
      <c r="P242" s="49"/>
      <c r="Q242" s="24"/>
      <c r="R242" s="24">
        <f t="shared" si="7"/>
        <v>0</v>
      </c>
      <c r="S242" s="23"/>
      <c r="T242" s="24"/>
      <c r="U242" s="49"/>
      <c r="V242" s="24"/>
      <c r="W242" s="24">
        <f t="shared" si="8"/>
        <v>0</v>
      </c>
      <c r="X242" s="24"/>
    </row>
    <row r="243" spans="1:24" ht="14.25" customHeight="1">
      <c r="A243" s="13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5">
        <f t="shared" si="9"/>
        <v>0</v>
      </c>
      <c r="N243" s="24"/>
      <c r="O243" s="14"/>
      <c r="P243" s="49"/>
      <c r="Q243" s="24"/>
      <c r="R243" s="24">
        <f t="shared" si="7"/>
        <v>0</v>
      </c>
      <c r="S243" s="23"/>
      <c r="T243" s="24"/>
      <c r="U243" s="49"/>
      <c r="V243" s="24"/>
      <c r="W243" s="24">
        <f t="shared" si="8"/>
        <v>0</v>
      </c>
      <c r="X243" s="24"/>
    </row>
    <row r="244" spans="1:24" ht="14.25" customHeight="1">
      <c r="A244" s="13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5">
        <f t="shared" si="9"/>
        <v>0</v>
      </c>
      <c r="N244" s="24"/>
      <c r="O244" s="14"/>
      <c r="P244" s="49"/>
      <c r="Q244" s="24"/>
      <c r="R244" s="24">
        <f t="shared" si="7"/>
        <v>0</v>
      </c>
      <c r="S244" s="23"/>
      <c r="T244" s="24"/>
      <c r="U244" s="49"/>
      <c r="V244" s="24"/>
      <c r="W244" s="24">
        <f t="shared" si="8"/>
        <v>0</v>
      </c>
      <c r="X244" s="24"/>
    </row>
    <row r="245" spans="1:24" ht="14.25" customHeight="1">
      <c r="A245" s="13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5">
        <f t="shared" si="9"/>
        <v>0</v>
      </c>
      <c r="N245" s="24"/>
      <c r="O245" s="14"/>
      <c r="P245" s="49"/>
      <c r="Q245" s="24"/>
      <c r="R245" s="24">
        <f t="shared" si="7"/>
        <v>0</v>
      </c>
      <c r="S245" s="23"/>
      <c r="T245" s="24"/>
      <c r="U245" s="49"/>
      <c r="V245" s="24"/>
      <c r="W245" s="24">
        <f t="shared" si="8"/>
        <v>0</v>
      </c>
      <c r="X245" s="24"/>
    </row>
    <row r="246" spans="1:24" ht="14.25" customHeight="1">
      <c r="A246" s="13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5">
        <f t="shared" si="9"/>
        <v>0</v>
      </c>
      <c r="N246" s="24"/>
      <c r="O246" s="14"/>
      <c r="P246" s="49"/>
      <c r="Q246" s="24"/>
      <c r="R246" s="24">
        <f t="shared" si="7"/>
        <v>0</v>
      </c>
      <c r="S246" s="23"/>
      <c r="T246" s="24"/>
      <c r="U246" s="49"/>
      <c r="V246" s="24"/>
      <c r="W246" s="24">
        <f t="shared" si="8"/>
        <v>0</v>
      </c>
      <c r="X246" s="24"/>
    </row>
    <row r="247" spans="1:24" ht="14.25" customHeight="1">
      <c r="A247" s="13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5">
        <f t="shared" si="9"/>
        <v>0</v>
      </c>
      <c r="N247" s="24"/>
      <c r="O247" s="14"/>
      <c r="P247" s="49"/>
      <c r="Q247" s="24"/>
      <c r="R247" s="24">
        <f t="shared" si="7"/>
        <v>0</v>
      </c>
      <c r="S247" s="23"/>
      <c r="T247" s="24"/>
      <c r="U247" s="49"/>
      <c r="V247" s="24"/>
      <c r="W247" s="24">
        <f t="shared" si="8"/>
        <v>0</v>
      </c>
      <c r="X247" s="24"/>
    </row>
    <row r="248" spans="1:24" ht="14.25" customHeight="1">
      <c r="A248" s="13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5">
        <f t="shared" si="9"/>
        <v>0</v>
      </c>
      <c r="N248" s="24"/>
      <c r="O248" s="14"/>
      <c r="P248" s="49"/>
      <c r="Q248" s="24"/>
      <c r="R248" s="24">
        <f t="shared" si="7"/>
        <v>0</v>
      </c>
      <c r="S248" s="23"/>
      <c r="T248" s="24"/>
      <c r="U248" s="49"/>
      <c r="V248" s="24"/>
      <c r="W248" s="24">
        <f t="shared" si="8"/>
        <v>0</v>
      </c>
      <c r="X248" s="24"/>
    </row>
    <row r="249" spans="1:24" ht="14.25" customHeight="1">
      <c r="A249" s="13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5">
        <f t="shared" si="9"/>
        <v>0</v>
      </c>
      <c r="N249" s="24"/>
      <c r="O249" s="14"/>
      <c r="P249" s="49"/>
      <c r="Q249" s="24"/>
      <c r="R249" s="24">
        <f t="shared" si="7"/>
        <v>0</v>
      </c>
      <c r="S249" s="23"/>
      <c r="T249" s="24"/>
      <c r="U249" s="49"/>
      <c r="V249" s="24"/>
      <c r="W249" s="24">
        <f t="shared" si="8"/>
        <v>0</v>
      </c>
      <c r="X249" s="24"/>
    </row>
    <row r="250" spans="1:24" ht="14.25" customHeight="1">
      <c r="A250" s="13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5">
        <f t="shared" si="9"/>
        <v>0</v>
      </c>
      <c r="N250" s="24"/>
      <c r="O250" s="14"/>
      <c r="P250" s="49"/>
      <c r="Q250" s="24"/>
      <c r="R250" s="24">
        <f t="shared" si="7"/>
        <v>0</v>
      </c>
      <c r="S250" s="23"/>
      <c r="T250" s="24"/>
      <c r="U250" s="49"/>
      <c r="V250" s="24"/>
      <c r="W250" s="24">
        <f t="shared" si="8"/>
        <v>0</v>
      </c>
      <c r="X250" s="24"/>
    </row>
    <row r="251" spans="1:24" ht="14.25" customHeight="1">
      <c r="A251" s="13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5">
        <f t="shared" si="9"/>
        <v>0</v>
      </c>
      <c r="N251" s="24"/>
      <c r="O251" s="14"/>
      <c r="P251" s="49"/>
      <c r="Q251" s="24"/>
      <c r="R251" s="24">
        <f t="shared" si="7"/>
        <v>0</v>
      </c>
      <c r="S251" s="23"/>
      <c r="T251" s="24"/>
      <c r="U251" s="49"/>
      <c r="V251" s="24"/>
      <c r="W251" s="24">
        <f t="shared" si="8"/>
        <v>0</v>
      </c>
      <c r="X251" s="24"/>
    </row>
    <row r="252" spans="1:24" ht="14.25" customHeight="1">
      <c r="A252" s="13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5">
        <f t="shared" si="9"/>
        <v>0</v>
      </c>
      <c r="N252" s="24"/>
      <c r="O252" s="14"/>
      <c r="P252" s="49"/>
      <c r="Q252" s="24"/>
      <c r="R252" s="24">
        <f t="shared" si="7"/>
        <v>0</v>
      </c>
      <c r="S252" s="23"/>
      <c r="T252" s="24"/>
      <c r="U252" s="49"/>
      <c r="V252" s="24"/>
      <c r="W252" s="24">
        <f t="shared" si="8"/>
        <v>0</v>
      </c>
      <c r="X252" s="24"/>
    </row>
    <row r="253" spans="1:24" ht="14.25" customHeight="1">
      <c r="A253" s="13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5">
        <f t="shared" si="9"/>
        <v>0</v>
      </c>
      <c r="N253" s="24"/>
      <c r="O253" s="14"/>
      <c r="P253" s="49"/>
      <c r="Q253" s="24"/>
      <c r="R253" s="24">
        <f t="shared" si="7"/>
        <v>0</v>
      </c>
      <c r="S253" s="23"/>
      <c r="T253" s="24"/>
      <c r="U253" s="49"/>
      <c r="V253" s="24"/>
      <c r="W253" s="24">
        <f t="shared" si="8"/>
        <v>0</v>
      </c>
      <c r="X253" s="24"/>
    </row>
    <row r="254" spans="1:24" ht="14.25" customHeight="1">
      <c r="A254" s="13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5">
        <f t="shared" si="9"/>
        <v>0</v>
      </c>
      <c r="N254" s="24"/>
      <c r="O254" s="14"/>
      <c r="P254" s="49"/>
      <c r="Q254" s="24"/>
      <c r="R254" s="24">
        <f t="shared" si="7"/>
        <v>0</v>
      </c>
      <c r="S254" s="23"/>
      <c r="T254" s="24"/>
      <c r="U254" s="49"/>
      <c r="V254" s="24"/>
      <c r="W254" s="24">
        <f t="shared" si="8"/>
        <v>0</v>
      </c>
      <c r="X254" s="24"/>
    </row>
    <row r="255" spans="1:24" ht="14.25" customHeight="1">
      <c r="A255" s="13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5">
        <f t="shared" si="9"/>
        <v>0</v>
      </c>
      <c r="N255" s="24"/>
      <c r="O255" s="14"/>
      <c r="P255" s="49"/>
      <c r="Q255" s="24"/>
      <c r="R255" s="24">
        <f t="shared" si="7"/>
        <v>0</v>
      </c>
      <c r="S255" s="23"/>
      <c r="T255" s="24"/>
      <c r="U255" s="49"/>
      <c r="V255" s="24"/>
      <c r="W255" s="24">
        <f t="shared" si="8"/>
        <v>0</v>
      </c>
      <c r="X255" s="24"/>
    </row>
    <row r="256" spans="1:24" ht="14.25" customHeight="1">
      <c r="A256" s="13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5">
        <f t="shared" si="9"/>
        <v>0</v>
      </c>
      <c r="N256" s="24"/>
      <c r="O256" s="14"/>
      <c r="P256" s="49"/>
      <c r="Q256" s="24"/>
      <c r="R256" s="24">
        <f t="shared" si="7"/>
        <v>0</v>
      </c>
      <c r="S256" s="23"/>
      <c r="T256" s="24"/>
      <c r="U256" s="49"/>
      <c r="V256" s="24"/>
      <c r="W256" s="24">
        <f t="shared" si="8"/>
        <v>0</v>
      </c>
      <c r="X256" s="24"/>
    </row>
    <row r="257" spans="1:24" ht="14.25" customHeight="1">
      <c r="A257" s="13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5">
        <f t="shared" si="9"/>
        <v>0</v>
      </c>
      <c r="N257" s="24"/>
      <c r="O257" s="14"/>
      <c r="P257" s="49"/>
      <c r="Q257" s="24"/>
      <c r="R257" s="24">
        <f t="shared" si="7"/>
        <v>0</v>
      </c>
      <c r="S257" s="23"/>
      <c r="T257" s="24"/>
      <c r="U257" s="49"/>
      <c r="V257" s="24"/>
      <c r="W257" s="24">
        <f t="shared" si="8"/>
        <v>0</v>
      </c>
      <c r="X257" s="24"/>
    </row>
    <row r="258" spans="1:24" ht="14.25" customHeight="1">
      <c r="A258" s="13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5">
        <f t="shared" si="9"/>
        <v>0</v>
      </c>
      <c r="N258" s="24"/>
      <c r="O258" s="14"/>
      <c r="P258" s="49"/>
      <c r="Q258" s="24"/>
      <c r="R258" s="24">
        <f t="shared" si="7"/>
        <v>0</v>
      </c>
      <c r="S258" s="23"/>
      <c r="T258" s="24"/>
      <c r="U258" s="49"/>
      <c r="V258" s="24"/>
      <c r="W258" s="24">
        <f t="shared" si="8"/>
        <v>0</v>
      </c>
      <c r="X258" s="24"/>
    </row>
    <row r="259" spans="1:24" ht="14.25" customHeight="1">
      <c r="A259" s="13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5">
        <f t="shared" si="9"/>
        <v>0</v>
      </c>
      <c r="N259" s="24"/>
      <c r="O259" s="14"/>
      <c r="P259" s="49"/>
      <c r="Q259" s="24"/>
      <c r="R259" s="24">
        <f t="shared" ref="R259:R322" si="10">Q259-M259</f>
        <v>0</v>
      </c>
      <c r="S259" s="23"/>
      <c r="T259" s="24"/>
      <c r="U259" s="49"/>
      <c r="V259" s="24"/>
      <c r="W259" s="24">
        <f t="shared" ref="W259:W322" si="11">V259-Q259</f>
        <v>0</v>
      </c>
      <c r="X259" s="24"/>
    </row>
    <row r="260" spans="1:24" ht="14.25" customHeight="1">
      <c r="A260" s="13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5">
        <f t="shared" si="9"/>
        <v>0</v>
      </c>
      <c r="N260" s="24"/>
      <c r="O260" s="14"/>
      <c r="P260" s="49"/>
      <c r="Q260" s="24"/>
      <c r="R260" s="24">
        <f t="shared" si="10"/>
        <v>0</v>
      </c>
      <c r="S260" s="23"/>
      <c r="T260" s="24"/>
      <c r="U260" s="49"/>
      <c r="V260" s="24"/>
      <c r="W260" s="24">
        <f t="shared" si="11"/>
        <v>0</v>
      </c>
      <c r="X260" s="24"/>
    </row>
    <row r="261" spans="1:24" ht="14.25" customHeight="1">
      <c r="A261" s="13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5">
        <f t="shared" si="9"/>
        <v>0</v>
      </c>
      <c r="N261" s="24"/>
      <c r="O261" s="14"/>
      <c r="P261" s="49"/>
      <c r="Q261" s="24"/>
      <c r="R261" s="24">
        <f t="shared" si="10"/>
        <v>0</v>
      </c>
      <c r="S261" s="23"/>
      <c r="T261" s="24"/>
      <c r="U261" s="49"/>
      <c r="V261" s="24"/>
      <c r="W261" s="24">
        <f t="shared" si="11"/>
        <v>0</v>
      </c>
      <c r="X261" s="24"/>
    </row>
    <row r="262" spans="1:24" ht="14.25" customHeight="1">
      <c r="A262" s="13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5">
        <f t="shared" si="9"/>
        <v>0</v>
      </c>
      <c r="N262" s="24"/>
      <c r="O262" s="14"/>
      <c r="P262" s="49"/>
      <c r="Q262" s="24"/>
      <c r="R262" s="24">
        <f t="shared" si="10"/>
        <v>0</v>
      </c>
      <c r="S262" s="23"/>
      <c r="T262" s="24"/>
      <c r="U262" s="49"/>
      <c r="V262" s="24"/>
      <c r="W262" s="24">
        <f t="shared" si="11"/>
        <v>0</v>
      </c>
      <c r="X262" s="24"/>
    </row>
    <row r="263" spans="1:24" ht="14.25" customHeight="1">
      <c r="A263" s="13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5">
        <f t="shared" si="9"/>
        <v>0</v>
      </c>
      <c r="N263" s="24"/>
      <c r="O263" s="14"/>
      <c r="P263" s="49"/>
      <c r="Q263" s="24"/>
      <c r="R263" s="24">
        <f t="shared" si="10"/>
        <v>0</v>
      </c>
      <c r="S263" s="23"/>
      <c r="T263" s="24"/>
      <c r="U263" s="49"/>
      <c r="V263" s="24"/>
      <c r="W263" s="24">
        <f t="shared" si="11"/>
        <v>0</v>
      </c>
      <c r="X263" s="24"/>
    </row>
    <row r="264" spans="1:24" ht="14.25" customHeight="1">
      <c r="A264" s="13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5">
        <f t="shared" si="9"/>
        <v>0</v>
      </c>
      <c r="N264" s="24"/>
      <c r="O264" s="14"/>
      <c r="P264" s="49"/>
      <c r="Q264" s="24"/>
      <c r="R264" s="24">
        <f t="shared" si="10"/>
        <v>0</v>
      </c>
      <c r="S264" s="23"/>
      <c r="T264" s="24"/>
      <c r="U264" s="49"/>
      <c r="V264" s="24"/>
      <c r="W264" s="24">
        <f t="shared" si="11"/>
        <v>0</v>
      </c>
      <c r="X264" s="24"/>
    </row>
    <row r="265" spans="1:24" ht="14.25" customHeight="1">
      <c r="A265" s="13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5">
        <f t="shared" si="9"/>
        <v>0</v>
      </c>
      <c r="N265" s="24"/>
      <c r="O265" s="14"/>
      <c r="P265" s="49"/>
      <c r="Q265" s="24"/>
      <c r="R265" s="24">
        <f t="shared" si="10"/>
        <v>0</v>
      </c>
      <c r="S265" s="23"/>
      <c r="T265" s="24"/>
      <c r="U265" s="49"/>
      <c r="V265" s="24"/>
      <c r="W265" s="24">
        <f t="shared" si="11"/>
        <v>0</v>
      </c>
      <c r="X265" s="24"/>
    </row>
    <row r="266" spans="1:24" ht="14.25" customHeight="1">
      <c r="A266" s="13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5">
        <f t="shared" si="9"/>
        <v>0</v>
      </c>
      <c r="N266" s="24"/>
      <c r="O266" s="14"/>
      <c r="P266" s="49"/>
      <c r="Q266" s="24"/>
      <c r="R266" s="24">
        <f t="shared" si="10"/>
        <v>0</v>
      </c>
      <c r="S266" s="23"/>
      <c r="T266" s="24"/>
      <c r="U266" s="49"/>
      <c r="V266" s="24"/>
      <c r="W266" s="24">
        <f t="shared" si="11"/>
        <v>0</v>
      </c>
      <c r="X266" s="24"/>
    </row>
    <row r="267" spans="1:24" ht="14.25" customHeight="1">
      <c r="A267" s="13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5">
        <f t="shared" si="9"/>
        <v>0</v>
      </c>
      <c r="N267" s="24"/>
      <c r="O267" s="14"/>
      <c r="P267" s="49"/>
      <c r="Q267" s="24"/>
      <c r="R267" s="24">
        <f t="shared" si="10"/>
        <v>0</v>
      </c>
      <c r="S267" s="23"/>
      <c r="T267" s="24"/>
      <c r="U267" s="49"/>
      <c r="V267" s="24"/>
      <c r="W267" s="24">
        <f t="shared" si="11"/>
        <v>0</v>
      </c>
      <c r="X267" s="24"/>
    </row>
    <row r="268" spans="1:24" ht="14.25" customHeight="1">
      <c r="A268" s="13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5">
        <f t="shared" si="9"/>
        <v>0</v>
      </c>
      <c r="N268" s="24"/>
      <c r="O268" s="14"/>
      <c r="P268" s="49"/>
      <c r="Q268" s="24"/>
      <c r="R268" s="24">
        <f t="shared" si="10"/>
        <v>0</v>
      </c>
      <c r="S268" s="23"/>
      <c r="T268" s="24"/>
      <c r="U268" s="49"/>
      <c r="V268" s="24"/>
      <c r="W268" s="24">
        <f t="shared" si="11"/>
        <v>0</v>
      </c>
      <c r="X268" s="24"/>
    </row>
    <row r="269" spans="1:24" ht="14.25" customHeight="1">
      <c r="A269" s="13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5">
        <f t="shared" si="9"/>
        <v>0</v>
      </c>
      <c r="N269" s="24"/>
      <c r="O269" s="14"/>
      <c r="P269" s="49"/>
      <c r="Q269" s="24"/>
      <c r="R269" s="24">
        <f t="shared" si="10"/>
        <v>0</v>
      </c>
      <c r="S269" s="23"/>
      <c r="T269" s="24"/>
      <c r="U269" s="49"/>
      <c r="V269" s="24"/>
      <c r="W269" s="24">
        <f t="shared" si="11"/>
        <v>0</v>
      </c>
      <c r="X269" s="24"/>
    </row>
    <row r="270" spans="1:24" ht="14.25" customHeight="1">
      <c r="A270" s="13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5">
        <f t="shared" si="9"/>
        <v>0</v>
      </c>
      <c r="N270" s="24"/>
      <c r="O270" s="14"/>
      <c r="P270" s="49"/>
      <c r="Q270" s="24"/>
      <c r="R270" s="24">
        <f t="shared" si="10"/>
        <v>0</v>
      </c>
      <c r="S270" s="23"/>
      <c r="T270" s="24"/>
      <c r="U270" s="49"/>
      <c r="V270" s="24"/>
      <c r="W270" s="24">
        <f t="shared" si="11"/>
        <v>0</v>
      </c>
      <c r="X270" s="24"/>
    </row>
    <row r="271" spans="1:24" ht="14.25" customHeight="1">
      <c r="A271" s="13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5">
        <f t="shared" si="9"/>
        <v>0</v>
      </c>
      <c r="N271" s="24"/>
      <c r="O271" s="14"/>
      <c r="P271" s="49"/>
      <c r="Q271" s="24"/>
      <c r="R271" s="24">
        <f t="shared" si="10"/>
        <v>0</v>
      </c>
      <c r="S271" s="23"/>
      <c r="T271" s="24"/>
      <c r="U271" s="49"/>
      <c r="V271" s="24"/>
      <c r="W271" s="24">
        <f t="shared" si="11"/>
        <v>0</v>
      </c>
      <c r="X271" s="24"/>
    </row>
    <row r="272" spans="1:24" ht="14.25" customHeight="1">
      <c r="A272" s="13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5">
        <f t="shared" si="9"/>
        <v>0</v>
      </c>
      <c r="N272" s="24"/>
      <c r="O272" s="14"/>
      <c r="P272" s="49"/>
      <c r="Q272" s="24"/>
      <c r="R272" s="24">
        <f t="shared" si="10"/>
        <v>0</v>
      </c>
      <c r="S272" s="23"/>
      <c r="T272" s="24"/>
      <c r="U272" s="49"/>
      <c r="V272" s="24"/>
      <c r="W272" s="24">
        <f t="shared" si="11"/>
        <v>0</v>
      </c>
      <c r="X272" s="24"/>
    </row>
    <row r="273" spans="1:24" ht="14.25" customHeight="1">
      <c r="A273" s="13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5">
        <f t="shared" si="9"/>
        <v>0</v>
      </c>
      <c r="N273" s="24"/>
      <c r="O273" s="14"/>
      <c r="P273" s="49"/>
      <c r="Q273" s="24"/>
      <c r="R273" s="24">
        <f t="shared" si="10"/>
        <v>0</v>
      </c>
      <c r="S273" s="23"/>
      <c r="T273" s="24"/>
      <c r="U273" s="49"/>
      <c r="V273" s="24"/>
      <c r="W273" s="24">
        <f t="shared" si="11"/>
        <v>0</v>
      </c>
      <c r="X273" s="24"/>
    </row>
    <row r="274" spans="1:24" ht="14.25" customHeight="1">
      <c r="A274" s="13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5">
        <f t="shared" si="9"/>
        <v>0</v>
      </c>
      <c r="N274" s="24"/>
      <c r="O274" s="14"/>
      <c r="P274" s="49"/>
      <c r="Q274" s="24"/>
      <c r="R274" s="24">
        <f t="shared" si="10"/>
        <v>0</v>
      </c>
      <c r="S274" s="23"/>
      <c r="T274" s="24"/>
      <c r="U274" s="49"/>
      <c r="V274" s="24"/>
      <c r="W274" s="24">
        <f t="shared" si="11"/>
        <v>0</v>
      </c>
      <c r="X274" s="24"/>
    </row>
    <row r="275" spans="1:24" ht="14.25" customHeight="1">
      <c r="A275" s="13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5">
        <f t="shared" si="9"/>
        <v>0</v>
      </c>
      <c r="N275" s="24"/>
      <c r="O275" s="14"/>
      <c r="P275" s="49"/>
      <c r="Q275" s="24"/>
      <c r="R275" s="24">
        <f t="shared" si="10"/>
        <v>0</v>
      </c>
      <c r="S275" s="23"/>
      <c r="T275" s="24"/>
      <c r="U275" s="49"/>
      <c r="V275" s="24"/>
      <c r="W275" s="24">
        <f t="shared" si="11"/>
        <v>0</v>
      </c>
      <c r="X275" s="24"/>
    </row>
    <row r="276" spans="1:24" ht="14.25" customHeight="1">
      <c r="A276" s="13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5">
        <f t="shared" si="9"/>
        <v>0</v>
      </c>
      <c r="N276" s="24"/>
      <c r="O276" s="14"/>
      <c r="P276" s="49"/>
      <c r="Q276" s="24"/>
      <c r="R276" s="24">
        <f t="shared" si="10"/>
        <v>0</v>
      </c>
      <c r="S276" s="23"/>
      <c r="T276" s="24"/>
      <c r="U276" s="49"/>
      <c r="V276" s="24"/>
      <c r="W276" s="24">
        <f t="shared" si="11"/>
        <v>0</v>
      </c>
      <c r="X276" s="24"/>
    </row>
    <row r="277" spans="1:24" ht="14.25" customHeight="1">
      <c r="A277" s="13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5">
        <f t="shared" si="9"/>
        <v>0</v>
      </c>
      <c r="N277" s="24"/>
      <c r="O277" s="14"/>
      <c r="P277" s="49"/>
      <c r="Q277" s="24"/>
      <c r="R277" s="24">
        <f t="shared" si="10"/>
        <v>0</v>
      </c>
      <c r="S277" s="23"/>
      <c r="T277" s="24"/>
      <c r="U277" s="49"/>
      <c r="V277" s="24"/>
      <c r="W277" s="24">
        <f t="shared" si="11"/>
        <v>0</v>
      </c>
      <c r="X277" s="24"/>
    </row>
    <row r="278" spans="1:24" ht="14.25" customHeight="1">
      <c r="A278" s="13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5">
        <f t="shared" si="9"/>
        <v>0</v>
      </c>
      <c r="N278" s="24"/>
      <c r="O278" s="14"/>
      <c r="P278" s="49"/>
      <c r="Q278" s="24"/>
      <c r="R278" s="24">
        <f t="shared" si="10"/>
        <v>0</v>
      </c>
      <c r="S278" s="23"/>
      <c r="T278" s="24"/>
      <c r="U278" s="49"/>
      <c r="V278" s="24"/>
      <c r="W278" s="24">
        <f t="shared" si="11"/>
        <v>0</v>
      </c>
      <c r="X278" s="24"/>
    </row>
    <row r="279" spans="1:24" ht="14.25" customHeight="1">
      <c r="A279" s="13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5">
        <f t="shared" si="9"/>
        <v>0</v>
      </c>
      <c r="N279" s="24"/>
      <c r="O279" s="14"/>
      <c r="P279" s="49"/>
      <c r="Q279" s="24"/>
      <c r="R279" s="24">
        <f t="shared" si="10"/>
        <v>0</v>
      </c>
      <c r="S279" s="23"/>
      <c r="T279" s="24"/>
      <c r="U279" s="49"/>
      <c r="V279" s="24"/>
      <c r="W279" s="24">
        <f t="shared" si="11"/>
        <v>0</v>
      </c>
      <c r="X279" s="24"/>
    </row>
    <row r="280" spans="1:24" ht="14.25" customHeight="1">
      <c r="A280" s="13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5">
        <f t="shared" si="9"/>
        <v>0</v>
      </c>
      <c r="N280" s="24"/>
      <c r="O280" s="14"/>
      <c r="P280" s="49"/>
      <c r="Q280" s="24"/>
      <c r="R280" s="24">
        <f t="shared" si="10"/>
        <v>0</v>
      </c>
      <c r="S280" s="23"/>
      <c r="T280" s="24"/>
      <c r="U280" s="49"/>
      <c r="V280" s="24"/>
      <c r="W280" s="24">
        <f t="shared" si="11"/>
        <v>0</v>
      </c>
      <c r="X280" s="24"/>
    </row>
    <row r="281" spans="1:24" ht="14.25" customHeight="1">
      <c r="A281" s="13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5">
        <f t="shared" si="9"/>
        <v>0</v>
      </c>
      <c r="N281" s="24"/>
      <c r="O281" s="14"/>
      <c r="P281" s="49"/>
      <c r="Q281" s="24"/>
      <c r="R281" s="24">
        <f t="shared" si="10"/>
        <v>0</v>
      </c>
      <c r="S281" s="23"/>
      <c r="T281" s="24"/>
      <c r="U281" s="49"/>
      <c r="V281" s="24"/>
      <c r="W281" s="24">
        <f t="shared" si="11"/>
        <v>0</v>
      </c>
      <c r="X281" s="24"/>
    </row>
    <row r="282" spans="1:24" ht="14.25" customHeight="1">
      <c r="A282" s="13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5">
        <f t="shared" si="9"/>
        <v>0</v>
      </c>
      <c r="N282" s="24"/>
      <c r="O282" s="14"/>
      <c r="P282" s="49"/>
      <c r="Q282" s="24"/>
      <c r="R282" s="24">
        <f t="shared" si="10"/>
        <v>0</v>
      </c>
      <c r="S282" s="23"/>
      <c r="T282" s="24"/>
      <c r="U282" s="49"/>
      <c r="V282" s="24"/>
      <c r="W282" s="24">
        <f t="shared" si="11"/>
        <v>0</v>
      </c>
      <c r="X282" s="24"/>
    </row>
    <row r="283" spans="1:24" ht="14.25" customHeight="1">
      <c r="A283" s="13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5">
        <f t="shared" si="9"/>
        <v>0</v>
      </c>
      <c r="N283" s="24"/>
      <c r="O283" s="14"/>
      <c r="P283" s="49"/>
      <c r="Q283" s="24"/>
      <c r="R283" s="24">
        <f t="shared" si="10"/>
        <v>0</v>
      </c>
      <c r="S283" s="23"/>
      <c r="T283" s="24"/>
      <c r="U283" s="49"/>
      <c r="V283" s="24"/>
      <c r="W283" s="24">
        <f t="shared" si="11"/>
        <v>0</v>
      </c>
      <c r="X283" s="24"/>
    </row>
    <row r="284" spans="1:24" ht="14.25" customHeight="1">
      <c r="A284" s="13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5">
        <f t="shared" si="9"/>
        <v>0</v>
      </c>
      <c r="N284" s="24"/>
      <c r="O284" s="14"/>
      <c r="P284" s="49"/>
      <c r="Q284" s="24"/>
      <c r="R284" s="24">
        <f t="shared" si="10"/>
        <v>0</v>
      </c>
      <c r="S284" s="23"/>
      <c r="T284" s="24"/>
      <c r="U284" s="49"/>
      <c r="V284" s="24"/>
      <c r="W284" s="24">
        <f t="shared" si="11"/>
        <v>0</v>
      </c>
      <c r="X284" s="24"/>
    </row>
    <row r="285" spans="1:24" ht="14.25" customHeight="1">
      <c r="A285" s="13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5">
        <f t="shared" si="9"/>
        <v>0</v>
      </c>
      <c r="N285" s="24"/>
      <c r="O285" s="14"/>
      <c r="P285" s="49"/>
      <c r="Q285" s="24"/>
      <c r="R285" s="24">
        <f t="shared" si="10"/>
        <v>0</v>
      </c>
      <c r="S285" s="23"/>
      <c r="T285" s="24"/>
      <c r="U285" s="49"/>
      <c r="V285" s="24"/>
      <c r="W285" s="24">
        <f t="shared" si="11"/>
        <v>0</v>
      </c>
      <c r="X285" s="24"/>
    </row>
    <row r="286" spans="1:24" ht="14.25" customHeight="1">
      <c r="A286" s="13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5">
        <f t="shared" si="9"/>
        <v>0</v>
      </c>
      <c r="N286" s="24"/>
      <c r="O286" s="14"/>
      <c r="P286" s="49"/>
      <c r="Q286" s="24"/>
      <c r="R286" s="24">
        <f t="shared" si="10"/>
        <v>0</v>
      </c>
      <c r="S286" s="23"/>
      <c r="T286" s="24"/>
      <c r="U286" s="49"/>
      <c r="V286" s="24"/>
      <c r="W286" s="24">
        <f t="shared" si="11"/>
        <v>0</v>
      </c>
      <c r="X286" s="24"/>
    </row>
    <row r="287" spans="1:24" ht="14.25" customHeight="1">
      <c r="A287" s="13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5">
        <f t="shared" si="9"/>
        <v>0</v>
      </c>
      <c r="N287" s="24"/>
      <c r="O287" s="14"/>
      <c r="P287" s="49"/>
      <c r="Q287" s="24"/>
      <c r="R287" s="24">
        <f t="shared" si="10"/>
        <v>0</v>
      </c>
      <c r="S287" s="23"/>
      <c r="T287" s="24"/>
      <c r="U287" s="49"/>
      <c r="V287" s="24"/>
      <c r="W287" s="24">
        <f t="shared" si="11"/>
        <v>0</v>
      </c>
      <c r="X287" s="24"/>
    </row>
    <row r="288" spans="1:24" ht="14.25" customHeight="1">
      <c r="A288" s="13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5">
        <f t="shared" si="9"/>
        <v>0</v>
      </c>
      <c r="N288" s="24"/>
      <c r="O288" s="14"/>
      <c r="P288" s="49"/>
      <c r="Q288" s="24"/>
      <c r="R288" s="24">
        <f t="shared" si="10"/>
        <v>0</v>
      </c>
      <c r="S288" s="23"/>
      <c r="T288" s="24"/>
      <c r="U288" s="49"/>
      <c r="V288" s="24"/>
      <c r="W288" s="24">
        <f t="shared" si="11"/>
        <v>0</v>
      </c>
      <c r="X288" s="24"/>
    </row>
    <row r="289" spans="1:24" ht="14.25" customHeight="1">
      <c r="A289" s="13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5">
        <f t="shared" si="9"/>
        <v>0</v>
      </c>
      <c r="N289" s="24"/>
      <c r="O289" s="14"/>
      <c r="P289" s="49"/>
      <c r="Q289" s="24"/>
      <c r="R289" s="24">
        <f t="shared" si="10"/>
        <v>0</v>
      </c>
      <c r="S289" s="23"/>
      <c r="T289" s="24"/>
      <c r="U289" s="49"/>
      <c r="V289" s="24"/>
      <c r="W289" s="24">
        <f t="shared" si="11"/>
        <v>0</v>
      </c>
      <c r="X289" s="24"/>
    </row>
    <row r="290" spans="1:24" ht="14.25" customHeight="1">
      <c r="A290" s="13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5">
        <f t="shared" si="9"/>
        <v>0</v>
      </c>
      <c r="N290" s="24"/>
      <c r="O290" s="14"/>
      <c r="P290" s="49"/>
      <c r="Q290" s="24"/>
      <c r="R290" s="24">
        <f t="shared" si="10"/>
        <v>0</v>
      </c>
      <c r="S290" s="23"/>
      <c r="T290" s="24"/>
      <c r="U290" s="49"/>
      <c r="V290" s="24"/>
      <c r="W290" s="24">
        <f t="shared" si="11"/>
        <v>0</v>
      </c>
      <c r="X290" s="24"/>
    </row>
    <row r="291" spans="1:24" ht="14.25" customHeight="1">
      <c r="A291" s="13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5">
        <f t="shared" si="9"/>
        <v>0</v>
      </c>
      <c r="N291" s="24"/>
      <c r="O291" s="14"/>
      <c r="P291" s="49"/>
      <c r="Q291" s="24"/>
      <c r="R291" s="24">
        <f t="shared" si="10"/>
        <v>0</v>
      </c>
      <c r="S291" s="23"/>
      <c r="T291" s="24"/>
      <c r="U291" s="49"/>
      <c r="V291" s="24"/>
      <c r="W291" s="24">
        <f t="shared" si="11"/>
        <v>0</v>
      </c>
      <c r="X291" s="24"/>
    </row>
    <row r="292" spans="1:24" ht="14.25" customHeight="1">
      <c r="A292" s="13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5">
        <f t="shared" si="9"/>
        <v>0</v>
      </c>
      <c r="N292" s="24"/>
      <c r="O292" s="14"/>
      <c r="P292" s="49"/>
      <c r="Q292" s="24"/>
      <c r="R292" s="24">
        <f t="shared" si="10"/>
        <v>0</v>
      </c>
      <c r="S292" s="23"/>
      <c r="T292" s="24"/>
      <c r="U292" s="49"/>
      <c r="V292" s="24"/>
      <c r="W292" s="24">
        <f t="shared" si="11"/>
        <v>0</v>
      </c>
      <c r="X292" s="24"/>
    </row>
    <row r="293" spans="1:24" ht="14.25" customHeight="1">
      <c r="A293" s="13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5">
        <f t="shared" si="9"/>
        <v>0</v>
      </c>
      <c r="N293" s="24"/>
      <c r="O293" s="14"/>
      <c r="P293" s="49"/>
      <c r="Q293" s="24"/>
      <c r="R293" s="24">
        <f t="shared" si="10"/>
        <v>0</v>
      </c>
      <c r="S293" s="23"/>
      <c r="T293" s="24"/>
      <c r="U293" s="49"/>
      <c r="V293" s="24"/>
      <c r="W293" s="24">
        <f t="shared" si="11"/>
        <v>0</v>
      </c>
      <c r="X293" s="24"/>
    </row>
    <row r="294" spans="1:24" ht="14.25" customHeight="1">
      <c r="A294" s="13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5">
        <f t="shared" si="9"/>
        <v>0</v>
      </c>
      <c r="N294" s="24"/>
      <c r="O294" s="14"/>
      <c r="P294" s="49"/>
      <c r="Q294" s="24"/>
      <c r="R294" s="24">
        <f t="shared" si="10"/>
        <v>0</v>
      </c>
      <c r="S294" s="23"/>
      <c r="T294" s="24"/>
      <c r="U294" s="49"/>
      <c r="V294" s="24"/>
      <c r="W294" s="24">
        <f t="shared" si="11"/>
        <v>0</v>
      </c>
      <c r="X294" s="24"/>
    </row>
    <row r="295" spans="1:24" ht="14.25" customHeight="1">
      <c r="A295" s="13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5">
        <f t="shared" si="9"/>
        <v>0</v>
      </c>
      <c r="N295" s="24"/>
      <c r="O295" s="14"/>
      <c r="P295" s="49"/>
      <c r="Q295" s="24"/>
      <c r="R295" s="24">
        <f t="shared" si="10"/>
        <v>0</v>
      </c>
      <c r="S295" s="23"/>
      <c r="T295" s="24"/>
      <c r="U295" s="49"/>
      <c r="V295" s="24"/>
      <c r="W295" s="24">
        <f t="shared" si="11"/>
        <v>0</v>
      </c>
      <c r="X295" s="24"/>
    </row>
    <row r="296" spans="1:24" ht="14.25" customHeight="1">
      <c r="A296" s="13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5">
        <f t="shared" si="9"/>
        <v>0</v>
      </c>
      <c r="N296" s="24"/>
      <c r="O296" s="14"/>
      <c r="P296" s="49"/>
      <c r="Q296" s="24"/>
      <c r="R296" s="24">
        <f t="shared" si="10"/>
        <v>0</v>
      </c>
      <c r="S296" s="23"/>
      <c r="T296" s="24"/>
      <c r="U296" s="49"/>
      <c r="V296" s="24"/>
      <c r="W296" s="24">
        <f t="shared" si="11"/>
        <v>0</v>
      </c>
      <c r="X296" s="24"/>
    </row>
    <row r="297" spans="1:24" ht="14.25" customHeight="1">
      <c r="A297" s="13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5">
        <f t="shared" si="9"/>
        <v>0</v>
      </c>
      <c r="N297" s="24"/>
      <c r="O297" s="14"/>
      <c r="P297" s="49"/>
      <c r="Q297" s="24"/>
      <c r="R297" s="24">
        <f t="shared" si="10"/>
        <v>0</v>
      </c>
      <c r="S297" s="23"/>
      <c r="T297" s="24"/>
      <c r="U297" s="49"/>
      <c r="V297" s="24"/>
      <c r="W297" s="24">
        <f t="shared" si="11"/>
        <v>0</v>
      </c>
      <c r="X297" s="24"/>
    </row>
    <row r="298" spans="1:24" ht="14.25" customHeight="1">
      <c r="A298" s="13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5">
        <f t="shared" si="9"/>
        <v>0</v>
      </c>
      <c r="N298" s="24"/>
      <c r="O298" s="14"/>
      <c r="P298" s="49"/>
      <c r="Q298" s="24"/>
      <c r="R298" s="24">
        <f t="shared" si="10"/>
        <v>0</v>
      </c>
      <c r="S298" s="23"/>
      <c r="T298" s="24"/>
      <c r="U298" s="49"/>
      <c r="V298" s="24"/>
      <c r="W298" s="24">
        <f t="shared" si="11"/>
        <v>0</v>
      </c>
      <c r="X298" s="24"/>
    </row>
    <row r="299" spans="1:24" ht="14.25" customHeight="1">
      <c r="A299" s="13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5">
        <f t="shared" si="9"/>
        <v>0</v>
      </c>
      <c r="N299" s="24"/>
      <c r="O299" s="14"/>
      <c r="P299" s="49"/>
      <c r="Q299" s="24"/>
      <c r="R299" s="24">
        <f t="shared" si="10"/>
        <v>0</v>
      </c>
      <c r="S299" s="23"/>
      <c r="T299" s="24"/>
      <c r="U299" s="49"/>
      <c r="V299" s="24"/>
      <c r="W299" s="24">
        <f t="shared" si="11"/>
        <v>0</v>
      </c>
      <c r="X299" s="24"/>
    </row>
    <row r="300" spans="1:24" ht="14.25" customHeight="1">
      <c r="A300" s="13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5">
        <f t="shared" si="9"/>
        <v>0</v>
      </c>
      <c r="N300" s="24"/>
      <c r="O300" s="14"/>
      <c r="P300" s="49"/>
      <c r="Q300" s="24"/>
      <c r="R300" s="24">
        <f t="shared" si="10"/>
        <v>0</v>
      </c>
      <c r="S300" s="23"/>
      <c r="T300" s="24"/>
      <c r="U300" s="49"/>
      <c r="V300" s="24"/>
      <c r="W300" s="24">
        <f t="shared" si="11"/>
        <v>0</v>
      </c>
      <c r="X300" s="24"/>
    </row>
    <row r="301" spans="1:24" ht="14.25" customHeight="1">
      <c r="A301" s="13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5">
        <f t="shared" si="9"/>
        <v>0</v>
      </c>
      <c r="N301" s="24"/>
      <c r="O301" s="14"/>
      <c r="P301" s="49"/>
      <c r="Q301" s="24"/>
      <c r="R301" s="24">
        <f t="shared" si="10"/>
        <v>0</v>
      </c>
      <c r="S301" s="23"/>
      <c r="T301" s="24"/>
      <c r="U301" s="49"/>
      <c r="V301" s="24"/>
      <c r="W301" s="24">
        <f t="shared" si="11"/>
        <v>0</v>
      </c>
      <c r="X301" s="24"/>
    </row>
    <row r="302" spans="1:24" ht="14.25" customHeight="1">
      <c r="A302" s="13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5">
        <f t="shared" si="9"/>
        <v>0</v>
      </c>
      <c r="N302" s="24"/>
      <c r="O302" s="14"/>
      <c r="P302" s="49"/>
      <c r="Q302" s="24"/>
      <c r="R302" s="24">
        <f t="shared" si="10"/>
        <v>0</v>
      </c>
      <c r="S302" s="23"/>
      <c r="T302" s="24"/>
      <c r="U302" s="49"/>
      <c r="V302" s="24"/>
      <c r="W302" s="24">
        <f t="shared" si="11"/>
        <v>0</v>
      </c>
      <c r="X302" s="24"/>
    </row>
    <row r="303" spans="1:24" ht="14.25" customHeight="1">
      <c r="A303" s="13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5">
        <f t="shared" si="9"/>
        <v>0</v>
      </c>
      <c r="N303" s="24"/>
      <c r="O303" s="14"/>
      <c r="P303" s="49"/>
      <c r="Q303" s="24"/>
      <c r="R303" s="24">
        <f t="shared" si="10"/>
        <v>0</v>
      </c>
      <c r="S303" s="23"/>
      <c r="T303" s="24"/>
      <c r="U303" s="49"/>
      <c r="V303" s="24"/>
      <c r="W303" s="24">
        <f t="shared" si="11"/>
        <v>0</v>
      </c>
      <c r="X303" s="24"/>
    </row>
    <row r="304" spans="1:24" ht="14.25" customHeight="1">
      <c r="A304" s="13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5">
        <f t="shared" si="9"/>
        <v>0</v>
      </c>
      <c r="N304" s="24"/>
      <c r="O304" s="14"/>
      <c r="P304" s="49"/>
      <c r="Q304" s="24"/>
      <c r="R304" s="24">
        <f t="shared" si="10"/>
        <v>0</v>
      </c>
      <c r="S304" s="23"/>
      <c r="T304" s="24"/>
      <c r="U304" s="49"/>
      <c r="V304" s="24"/>
      <c r="W304" s="24">
        <f t="shared" si="11"/>
        <v>0</v>
      </c>
      <c r="X304" s="24"/>
    </row>
    <row r="305" spans="1:24" ht="14.25" customHeight="1">
      <c r="A305" s="13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5">
        <f t="shared" si="9"/>
        <v>0</v>
      </c>
      <c r="N305" s="24"/>
      <c r="O305" s="14"/>
      <c r="P305" s="49"/>
      <c r="Q305" s="24"/>
      <c r="R305" s="24">
        <f t="shared" si="10"/>
        <v>0</v>
      </c>
      <c r="S305" s="23"/>
      <c r="T305" s="24"/>
      <c r="U305" s="49"/>
      <c r="V305" s="24"/>
      <c r="W305" s="24">
        <f t="shared" si="11"/>
        <v>0</v>
      </c>
      <c r="X305" s="24"/>
    </row>
    <row r="306" spans="1:24" ht="14.25" customHeight="1">
      <c r="A306" s="13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5">
        <f t="shared" si="9"/>
        <v>0</v>
      </c>
      <c r="N306" s="24"/>
      <c r="O306" s="14"/>
      <c r="P306" s="49"/>
      <c r="Q306" s="24"/>
      <c r="R306" s="24">
        <f t="shared" si="10"/>
        <v>0</v>
      </c>
      <c r="S306" s="23"/>
      <c r="T306" s="24"/>
      <c r="U306" s="49"/>
      <c r="V306" s="24"/>
      <c r="W306" s="24">
        <f t="shared" si="11"/>
        <v>0</v>
      </c>
      <c r="X306" s="24"/>
    </row>
    <row r="307" spans="1:24" ht="14.25" customHeight="1">
      <c r="A307" s="13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5">
        <f t="shared" si="9"/>
        <v>0</v>
      </c>
      <c r="N307" s="24"/>
      <c r="O307" s="14"/>
      <c r="P307" s="49"/>
      <c r="Q307" s="24"/>
      <c r="R307" s="24">
        <f t="shared" si="10"/>
        <v>0</v>
      </c>
      <c r="S307" s="23"/>
      <c r="T307" s="24"/>
      <c r="U307" s="49"/>
      <c r="V307" s="24"/>
      <c r="W307" s="24">
        <f t="shared" si="11"/>
        <v>0</v>
      </c>
      <c r="X307" s="24"/>
    </row>
    <row r="308" spans="1:24" ht="14.25" customHeight="1">
      <c r="A308" s="13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5">
        <f t="shared" si="9"/>
        <v>0</v>
      </c>
      <c r="N308" s="24"/>
      <c r="O308" s="14"/>
      <c r="P308" s="49"/>
      <c r="Q308" s="24"/>
      <c r="R308" s="24">
        <f t="shared" si="10"/>
        <v>0</v>
      </c>
      <c r="S308" s="23"/>
      <c r="T308" s="24"/>
      <c r="U308" s="49"/>
      <c r="V308" s="24"/>
      <c r="W308" s="24">
        <f t="shared" si="11"/>
        <v>0</v>
      </c>
      <c r="X308" s="24"/>
    </row>
    <row r="309" spans="1:24" ht="14.25" customHeight="1">
      <c r="A309" s="13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5">
        <f t="shared" si="9"/>
        <v>0</v>
      </c>
      <c r="N309" s="24"/>
      <c r="O309" s="14"/>
      <c r="P309" s="49"/>
      <c r="Q309" s="24"/>
      <c r="R309" s="24">
        <f t="shared" si="10"/>
        <v>0</v>
      </c>
      <c r="S309" s="23"/>
      <c r="T309" s="24"/>
      <c r="U309" s="49"/>
      <c r="V309" s="24"/>
      <c r="W309" s="24">
        <f t="shared" si="11"/>
        <v>0</v>
      </c>
      <c r="X309" s="24"/>
    </row>
    <row r="310" spans="1:24" ht="14.25" customHeight="1">
      <c r="A310" s="13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5">
        <f t="shared" si="9"/>
        <v>0</v>
      </c>
      <c r="N310" s="24"/>
      <c r="O310" s="14"/>
      <c r="P310" s="49"/>
      <c r="Q310" s="24"/>
      <c r="R310" s="24">
        <f t="shared" si="10"/>
        <v>0</v>
      </c>
      <c r="S310" s="23"/>
      <c r="T310" s="24"/>
      <c r="U310" s="49"/>
      <c r="V310" s="24"/>
      <c r="W310" s="24">
        <f t="shared" si="11"/>
        <v>0</v>
      </c>
      <c r="X310" s="24"/>
    </row>
    <row r="311" spans="1:24" ht="14.25" customHeight="1">
      <c r="A311" s="13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5">
        <f t="shared" si="9"/>
        <v>0</v>
      </c>
      <c r="N311" s="24"/>
      <c r="O311" s="14"/>
      <c r="P311" s="49"/>
      <c r="Q311" s="24"/>
      <c r="R311" s="24">
        <f t="shared" si="10"/>
        <v>0</v>
      </c>
      <c r="S311" s="23"/>
      <c r="T311" s="24"/>
      <c r="U311" s="49"/>
      <c r="V311" s="24"/>
      <c r="W311" s="24">
        <f t="shared" si="11"/>
        <v>0</v>
      </c>
      <c r="X311" s="24"/>
    </row>
    <row r="312" spans="1:24" ht="14.25" customHeight="1">
      <c r="A312" s="13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5">
        <f t="shared" si="9"/>
        <v>0</v>
      </c>
      <c r="N312" s="24"/>
      <c r="O312" s="14"/>
      <c r="P312" s="49"/>
      <c r="Q312" s="24"/>
      <c r="R312" s="24">
        <f t="shared" si="10"/>
        <v>0</v>
      </c>
      <c r="S312" s="23"/>
      <c r="T312" s="24"/>
      <c r="U312" s="49"/>
      <c r="V312" s="24"/>
      <c r="W312" s="24">
        <f t="shared" si="11"/>
        <v>0</v>
      </c>
      <c r="X312" s="24"/>
    </row>
    <row r="313" spans="1:24" ht="14.25" customHeight="1">
      <c r="A313" s="13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5">
        <f t="shared" si="9"/>
        <v>0</v>
      </c>
      <c r="N313" s="24"/>
      <c r="O313" s="14"/>
      <c r="P313" s="49"/>
      <c r="Q313" s="24"/>
      <c r="R313" s="24">
        <f t="shared" si="10"/>
        <v>0</v>
      </c>
      <c r="S313" s="23"/>
      <c r="T313" s="24"/>
      <c r="U313" s="49"/>
      <c r="V313" s="24"/>
      <c r="W313" s="24">
        <f t="shared" si="11"/>
        <v>0</v>
      </c>
      <c r="X313" s="24"/>
    </row>
    <row r="314" spans="1:24" ht="14.25" customHeight="1">
      <c r="A314" s="13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5">
        <f t="shared" si="9"/>
        <v>0</v>
      </c>
      <c r="N314" s="24"/>
      <c r="O314" s="14"/>
      <c r="P314" s="49"/>
      <c r="Q314" s="24"/>
      <c r="R314" s="24">
        <f t="shared" si="10"/>
        <v>0</v>
      </c>
      <c r="S314" s="23"/>
      <c r="T314" s="24"/>
      <c r="U314" s="49"/>
      <c r="V314" s="24"/>
      <c r="W314" s="24">
        <f t="shared" si="11"/>
        <v>0</v>
      </c>
      <c r="X314" s="24"/>
    </row>
    <row r="315" spans="1:24" ht="14.25" customHeight="1">
      <c r="A315" s="13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5">
        <f t="shared" si="9"/>
        <v>0</v>
      </c>
      <c r="N315" s="24"/>
      <c r="O315" s="14"/>
      <c r="P315" s="49"/>
      <c r="Q315" s="24"/>
      <c r="R315" s="24">
        <f t="shared" si="10"/>
        <v>0</v>
      </c>
      <c r="S315" s="23"/>
      <c r="T315" s="24"/>
      <c r="U315" s="49"/>
      <c r="V315" s="24"/>
      <c r="W315" s="24">
        <f t="shared" si="11"/>
        <v>0</v>
      </c>
      <c r="X315" s="24"/>
    </row>
    <row r="316" spans="1:24" ht="14.25" customHeight="1">
      <c r="A316" s="13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5">
        <f t="shared" si="9"/>
        <v>0</v>
      </c>
      <c r="N316" s="24"/>
      <c r="O316" s="14"/>
      <c r="P316" s="49"/>
      <c r="Q316" s="24"/>
      <c r="R316" s="24">
        <f t="shared" si="10"/>
        <v>0</v>
      </c>
      <c r="S316" s="23"/>
      <c r="T316" s="24"/>
      <c r="U316" s="49"/>
      <c r="V316" s="24"/>
      <c r="W316" s="24">
        <f t="shared" si="11"/>
        <v>0</v>
      </c>
      <c r="X316" s="24"/>
    </row>
    <row r="317" spans="1:24" ht="14.25" customHeight="1">
      <c r="A317" s="13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5">
        <f t="shared" si="9"/>
        <v>0</v>
      </c>
      <c r="N317" s="24"/>
      <c r="O317" s="14"/>
      <c r="P317" s="49"/>
      <c r="Q317" s="24"/>
      <c r="R317" s="24">
        <f t="shared" si="10"/>
        <v>0</v>
      </c>
      <c r="S317" s="23"/>
      <c r="T317" s="24"/>
      <c r="U317" s="49"/>
      <c r="V317" s="24"/>
      <c r="W317" s="24">
        <f t="shared" si="11"/>
        <v>0</v>
      </c>
      <c r="X317" s="24"/>
    </row>
    <row r="318" spans="1:24" ht="14.25" customHeight="1">
      <c r="A318" s="13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5">
        <f t="shared" si="9"/>
        <v>0</v>
      </c>
      <c r="N318" s="24"/>
      <c r="O318" s="14"/>
      <c r="P318" s="49"/>
      <c r="Q318" s="24"/>
      <c r="R318" s="24">
        <f t="shared" si="10"/>
        <v>0</v>
      </c>
      <c r="S318" s="23"/>
      <c r="T318" s="24"/>
      <c r="U318" s="49"/>
      <c r="V318" s="24"/>
      <c r="W318" s="24">
        <f t="shared" si="11"/>
        <v>0</v>
      </c>
      <c r="X318" s="24"/>
    </row>
    <row r="319" spans="1:24" ht="14.25" customHeight="1">
      <c r="A319" s="13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5">
        <f t="shared" si="9"/>
        <v>0</v>
      </c>
      <c r="N319" s="24"/>
      <c r="O319" s="14"/>
      <c r="P319" s="49"/>
      <c r="Q319" s="24"/>
      <c r="R319" s="24">
        <f t="shared" si="10"/>
        <v>0</v>
      </c>
      <c r="S319" s="23"/>
      <c r="T319" s="24"/>
      <c r="U319" s="49"/>
      <c r="V319" s="24"/>
      <c r="W319" s="24">
        <f t="shared" si="11"/>
        <v>0</v>
      </c>
      <c r="X319" s="24"/>
    </row>
    <row r="320" spans="1:24" ht="14.25" customHeight="1">
      <c r="A320" s="13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5">
        <f t="shared" si="9"/>
        <v>0</v>
      </c>
      <c r="N320" s="24"/>
      <c r="O320" s="14"/>
      <c r="P320" s="49"/>
      <c r="Q320" s="24"/>
      <c r="R320" s="24">
        <f t="shared" si="10"/>
        <v>0</v>
      </c>
      <c r="S320" s="23"/>
      <c r="T320" s="24"/>
      <c r="U320" s="49"/>
      <c r="V320" s="24"/>
      <c r="W320" s="24">
        <f t="shared" si="11"/>
        <v>0</v>
      </c>
      <c r="X320" s="24"/>
    </row>
    <row r="321" spans="1:24" ht="14.25" customHeight="1">
      <c r="A321" s="13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5">
        <f t="shared" si="9"/>
        <v>0</v>
      </c>
      <c r="N321" s="24"/>
      <c r="O321" s="14"/>
      <c r="P321" s="49"/>
      <c r="Q321" s="24"/>
      <c r="R321" s="24">
        <f t="shared" si="10"/>
        <v>0</v>
      </c>
      <c r="S321" s="23"/>
      <c r="T321" s="24"/>
      <c r="U321" s="49"/>
      <c r="V321" s="24"/>
      <c r="W321" s="24">
        <f t="shared" si="11"/>
        <v>0</v>
      </c>
      <c r="X321" s="24"/>
    </row>
    <row r="322" spans="1:24" ht="14.25" customHeight="1">
      <c r="A322" s="13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5">
        <f t="shared" si="9"/>
        <v>0</v>
      </c>
      <c r="N322" s="24"/>
      <c r="O322" s="14"/>
      <c r="P322" s="49"/>
      <c r="Q322" s="24"/>
      <c r="R322" s="24">
        <f t="shared" si="10"/>
        <v>0</v>
      </c>
      <c r="S322" s="23"/>
      <c r="T322" s="24"/>
      <c r="U322" s="49"/>
      <c r="V322" s="24"/>
      <c r="W322" s="24">
        <f t="shared" si="11"/>
        <v>0</v>
      </c>
      <c r="X322" s="24"/>
    </row>
    <row r="323" spans="1:24" ht="14.25" customHeight="1">
      <c r="A323" s="13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5">
        <f t="shared" si="9"/>
        <v>0</v>
      </c>
      <c r="N323" s="24"/>
      <c r="O323" s="14"/>
      <c r="P323" s="49"/>
      <c r="Q323" s="24"/>
      <c r="R323" s="24">
        <f t="shared" ref="R323:R369" si="12">Q323-M323</f>
        <v>0</v>
      </c>
      <c r="S323" s="23"/>
      <c r="T323" s="24"/>
      <c r="U323" s="49"/>
      <c r="V323" s="24"/>
      <c r="W323" s="24">
        <f t="shared" ref="W323:W369" si="13">V323-Q323</f>
        <v>0</v>
      </c>
      <c r="X323" s="24"/>
    </row>
    <row r="324" spans="1:24" ht="14.25" customHeight="1">
      <c r="A324" s="13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5">
        <f t="shared" si="9"/>
        <v>0</v>
      </c>
      <c r="N324" s="24"/>
      <c r="O324" s="14"/>
      <c r="P324" s="49"/>
      <c r="Q324" s="24"/>
      <c r="R324" s="24">
        <f t="shared" si="12"/>
        <v>0</v>
      </c>
      <c r="S324" s="23"/>
      <c r="T324" s="24"/>
      <c r="U324" s="49"/>
      <c r="V324" s="24"/>
      <c r="W324" s="24">
        <f t="shared" si="13"/>
        <v>0</v>
      </c>
      <c r="X324" s="24"/>
    </row>
    <row r="325" spans="1:24" ht="14.25" customHeight="1">
      <c r="A325" s="13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5">
        <f t="shared" si="9"/>
        <v>0</v>
      </c>
      <c r="N325" s="24"/>
      <c r="O325" s="14"/>
      <c r="P325" s="49"/>
      <c r="Q325" s="24"/>
      <c r="R325" s="24">
        <f t="shared" si="12"/>
        <v>0</v>
      </c>
      <c r="S325" s="23"/>
      <c r="T325" s="24"/>
      <c r="U325" s="49"/>
      <c r="V325" s="24"/>
      <c r="W325" s="24">
        <f t="shared" si="13"/>
        <v>0</v>
      </c>
      <c r="X325" s="24"/>
    </row>
    <row r="326" spans="1:24" ht="14.25" customHeight="1">
      <c r="A326" s="13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5">
        <f t="shared" si="9"/>
        <v>0</v>
      </c>
      <c r="N326" s="24"/>
      <c r="O326" s="14"/>
      <c r="P326" s="49"/>
      <c r="Q326" s="24"/>
      <c r="R326" s="24">
        <f t="shared" si="12"/>
        <v>0</v>
      </c>
      <c r="S326" s="23"/>
      <c r="T326" s="24"/>
      <c r="U326" s="49"/>
      <c r="V326" s="24"/>
      <c r="W326" s="24">
        <f t="shared" si="13"/>
        <v>0</v>
      </c>
      <c r="X326" s="24"/>
    </row>
    <row r="327" spans="1:24" ht="14.25" customHeight="1">
      <c r="A327" s="13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5">
        <f t="shared" si="9"/>
        <v>0</v>
      </c>
      <c r="N327" s="24"/>
      <c r="O327" s="14"/>
      <c r="P327" s="49"/>
      <c r="Q327" s="24"/>
      <c r="R327" s="24">
        <f t="shared" si="12"/>
        <v>0</v>
      </c>
      <c r="S327" s="23"/>
      <c r="T327" s="24"/>
      <c r="U327" s="49"/>
      <c r="V327" s="24"/>
      <c r="W327" s="24">
        <f t="shared" si="13"/>
        <v>0</v>
      </c>
      <c r="X327" s="24"/>
    </row>
    <row r="328" spans="1:24" ht="14.25" customHeight="1">
      <c r="A328" s="13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5">
        <f t="shared" si="9"/>
        <v>0</v>
      </c>
      <c r="N328" s="24"/>
      <c r="O328" s="14"/>
      <c r="P328" s="49"/>
      <c r="Q328" s="24"/>
      <c r="R328" s="24">
        <f t="shared" si="12"/>
        <v>0</v>
      </c>
      <c r="S328" s="23"/>
      <c r="T328" s="24"/>
      <c r="U328" s="49"/>
      <c r="V328" s="24"/>
      <c r="W328" s="24">
        <f t="shared" si="13"/>
        <v>0</v>
      </c>
      <c r="X328" s="24"/>
    </row>
    <row r="329" spans="1:24" ht="14.25" customHeight="1">
      <c r="A329" s="13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5">
        <f t="shared" si="9"/>
        <v>0</v>
      </c>
      <c r="N329" s="24"/>
      <c r="O329" s="14"/>
      <c r="P329" s="49"/>
      <c r="Q329" s="24"/>
      <c r="R329" s="24">
        <f t="shared" si="12"/>
        <v>0</v>
      </c>
      <c r="S329" s="23"/>
      <c r="T329" s="24"/>
      <c r="U329" s="49"/>
      <c r="V329" s="24"/>
      <c r="W329" s="24">
        <f t="shared" si="13"/>
        <v>0</v>
      </c>
      <c r="X329" s="24"/>
    </row>
    <row r="330" spans="1:24" ht="14.25" customHeight="1">
      <c r="A330" s="13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5">
        <f t="shared" si="9"/>
        <v>0</v>
      </c>
      <c r="N330" s="24"/>
      <c r="O330" s="14"/>
      <c r="P330" s="49"/>
      <c r="Q330" s="24"/>
      <c r="R330" s="24">
        <f t="shared" si="12"/>
        <v>0</v>
      </c>
      <c r="S330" s="23"/>
      <c r="T330" s="24"/>
      <c r="U330" s="49"/>
      <c r="V330" s="24"/>
      <c r="W330" s="24">
        <f t="shared" si="13"/>
        <v>0</v>
      </c>
      <c r="X330" s="24"/>
    </row>
    <row r="331" spans="1:24" ht="14.25" customHeight="1">
      <c r="A331" s="13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5">
        <f t="shared" si="9"/>
        <v>0</v>
      </c>
      <c r="N331" s="24"/>
      <c r="O331" s="14"/>
      <c r="P331" s="49"/>
      <c r="Q331" s="24"/>
      <c r="R331" s="24">
        <f t="shared" si="12"/>
        <v>0</v>
      </c>
      <c r="S331" s="23"/>
      <c r="T331" s="24"/>
      <c r="U331" s="49"/>
      <c r="V331" s="24"/>
      <c r="W331" s="24">
        <f t="shared" si="13"/>
        <v>0</v>
      </c>
      <c r="X331" s="24"/>
    </row>
    <row r="332" spans="1:24" ht="14.25" customHeight="1">
      <c r="A332" s="13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5">
        <f t="shared" si="9"/>
        <v>0</v>
      </c>
      <c r="N332" s="24"/>
      <c r="O332" s="14"/>
      <c r="P332" s="49"/>
      <c r="Q332" s="24"/>
      <c r="R332" s="24">
        <f t="shared" si="12"/>
        <v>0</v>
      </c>
      <c r="S332" s="23"/>
      <c r="T332" s="24"/>
      <c r="U332" s="49"/>
      <c r="V332" s="24"/>
      <c r="W332" s="24">
        <f t="shared" si="13"/>
        <v>0</v>
      </c>
      <c r="X332" s="24"/>
    </row>
    <row r="333" spans="1:24" ht="14.25" customHeight="1">
      <c r="A333" s="13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5">
        <f t="shared" si="9"/>
        <v>0</v>
      </c>
      <c r="N333" s="24"/>
      <c r="O333" s="14"/>
      <c r="P333" s="49"/>
      <c r="Q333" s="24"/>
      <c r="R333" s="24">
        <f t="shared" si="12"/>
        <v>0</v>
      </c>
      <c r="S333" s="23"/>
      <c r="T333" s="24"/>
      <c r="U333" s="49"/>
      <c r="V333" s="24"/>
      <c r="W333" s="24">
        <f t="shared" si="13"/>
        <v>0</v>
      </c>
      <c r="X333" s="24"/>
    </row>
    <row r="334" spans="1:24" ht="14.25" customHeight="1">
      <c r="A334" s="13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5">
        <f t="shared" si="9"/>
        <v>0</v>
      </c>
      <c r="N334" s="24"/>
      <c r="O334" s="14"/>
      <c r="P334" s="49"/>
      <c r="Q334" s="24"/>
      <c r="R334" s="24">
        <f t="shared" si="12"/>
        <v>0</v>
      </c>
      <c r="S334" s="23"/>
      <c r="T334" s="24"/>
      <c r="U334" s="49"/>
      <c r="V334" s="24"/>
      <c r="W334" s="24">
        <f t="shared" si="13"/>
        <v>0</v>
      </c>
      <c r="X334" s="24"/>
    </row>
    <row r="335" spans="1:24" ht="14.25" customHeight="1">
      <c r="A335" s="13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5">
        <f t="shared" si="9"/>
        <v>0</v>
      </c>
      <c r="N335" s="24"/>
      <c r="O335" s="14"/>
      <c r="P335" s="49"/>
      <c r="Q335" s="24"/>
      <c r="R335" s="24">
        <f t="shared" si="12"/>
        <v>0</v>
      </c>
      <c r="S335" s="23"/>
      <c r="T335" s="24"/>
      <c r="U335" s="49"/>
      <c r="V335" s="24"/>
      <c r="W335" s="24">
        <f t="shared" si="13"/>
        <v>0</v>
      </c>
      <c r="X335" s="24"/>
    </row>
    <row r="336" spans="1:24" ht="14.25" customHeight="1">
      <c r="A336" s="13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5">
        <f t="shared" si="9"/>
        <v>0</v>
      </c>
      <c r="N336" s="24"/>
      <c r="O336" s="14"/>
      <c r="P336" s="49"/>
      <c r="Q336" s="24"/>
      <c r="R336" s="24">
        <f t="shared" si="12"/>
        <v>0</v>
      </c>
      <c r="S336" s="23"/>
      <c r="T336" s="24"/>
      <c r="U336" s="49"/>
      <c r="V336" s="24"/>
      <c r="W336" s="24">
        <f t="shared" si="13"/>
        <v>0</v>
      </c>
      <c r="X336" s="24"/>
    </row>
    <row r="337" spans="1:24" ht="14.25" customHeight="1">
      <c r="A337" s="13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5">
        <f t="shared" si="9"/>
        <v>0</v>
      </c>
      <c r="N337" s="24"/>
      <c r="O337" s="14"/>
      <c r="P337" s="49"/>
      <c r="Q337" s="24"/>
      <c r="R337" s="24">
        <f t="shared" si="12"/>
        <v>0</v>
      </c>
      <c r="S337" s="23"/>
      <c r="T337" s="24"/>
      <c r="U337" s="49"/>
      <c r="V337" s="24"/>
      <c r="W337" s="24">
        <f t="shared" si="13"/>
        <v>0</v>
      </c>
      <c r="X337" s="24"/>
    </row>
    <row r="338" spans="1:24" ht="14.25" customHeight="1">
      <c r="A338" s="13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5">
        <f t="shared" si="9"/>
        <v>0</v>
      </c>
      <c r="N338" s="24"/>
      <c r="O338" s="14"/>
      <c r="P338" s="49"/>
      <c r="Q338" s="24"/>
      <c r="R338" s="24">
        <f t="shared" si="12"/>
        <v>0</v>
      </c>
      <c r="S338" s="23"/>
      <c r="T338" s="24"/>
      <c r="U338" s="49"/>
      <c r="V338" s="24"/>
      <c r="W338" s="24">
        <f t="shared" si="13"/>
        <v>0</v>
      </c>
      <c r="X338" s="24"/>
    </row>
    <row r="339" spans="1:24" ht="14.25" customHeight="1">
      <c r="A339" s="13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5">
        <f t="shared" si="9"/>
        <v>0</v>
      </c>
      <c r="N339" s="24"/>
      <c r="O339" s="14"/>
      <c r="P339" s="49"/>
      <c r="Q339" s="24"/>
      <c r="R339" s="24">
        <f t="shared" si="12"/>
        <v>0</v>
      </c>
      <c r="S339" s="23"/>
      <c r="T339" s="24"/>
      <c r="U339" s="49"/>
      <c r="V339" s="24"/>
      <c r="W339" s="24">
        <f t="shared" si="13"/>
        <v>0</v>
      </c>
      <c r="X339" s="24"/>
    </row>
    <row r="340" spans="1:24" ht="14.25" customHeight="1">
      <c r="A340" s="13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5">
        <f t="shared" si="9"/>
        <v>0</v>
      </c>
      <c r="N340" s="24"/>
      <c r="O340" s="14"/>
      <c r="P340" s="49"/>
      <c r="Q340" s="24"/>
      <c r="R340" s="24">
        <f t="shared" si="12"/>
        <v>0</v>
      </c>
      <c r="S340" s="23"/>
      <c r="T340" s="24"/>
      <c r="U340" s="49"/>
      <c r="V340" s="24"/>
      <c r="W340" s="24">
        <f t="shared" si="13"/>
        <v>0</v>
      </c>
      <c r="X340" s="24"/>
    </row>
    <row r="341" spans="1:24" ht="14.25" customHeight="1">
      <c r="A341" s="13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5">
        <f t="shared" si="9"/>
        <v>0</v>
      </c>
      <c r="N341" s="24"/>
      <c r="O341" s="14"/>
      <c r="P341" s="49"/>
      <c r="Q341" s="24"/>
      <c r="R341" s="24">
        <f t="shared" si="12"/>
        <v>0</v>
      </c>
      <c r="S341" s="23"/>
      <c r="T341" s="24"/>
      <c r="U341" s="49"/>
      <c r="V341" s="24"/>
      <c r="W341" s="24">
        <f t="shared" si="13"/>
        <v>0</v>
      </c>
      <c r="X341" s="24"/>
    </row>
    <row r="342" spans="1:24" ht="14.25" customHeight="1">
      <c r="A342" s="13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5">
        <f t="shared" si="9"/>
        <v>0</v>
      </c>
      <c r="N342" s="24"/>
      <c r="O342" s="14"/>
      <c r="P342" s="49"/>
      <c r="Q342" s="24"/>
      <c r="R342" s="24">
        <f t="shared" si="12"/>
        <v>0</v>
      </c>
      <c r="S342" s="23"/>
      <c r="T342" s="24"/>
      <c r="U342" s="49"/>
      <c r="V342" s="24"/>
      <c r="W342" s="24">
        <f t="shared" si="13"/>
        <v>0</v>
      </c>
      <c r="X342" s="24"/>
    </row>
    <row r="343" spans="1:24" ht="14.25" customHeight="1">
      <c r="A343" s="13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5">
        <f t="shared" si="9"/>
        <v>0</v>
      </c>
      <c r="N343" s="24"/>
      <c r="O343" s="14"/>
      <c r="P343" s="49"/>
      <c r="Q343" s="24"/>
      <c r="R343" s="24">
        <f t="shared" si="12"/>
        <v>0</v>
      </c>
      <c r="S343" s="23"/>
      <c r="T343" s="24"/>
      <c r="U343" s="49"/>
      <c r="V343" s="24"/>
      <c r="W343" s="24">
        <f t="shared" si="13"/>
        <v>0</v>
      </c>
      <c r="X343" s="24"/>
    </row>
    <row r="344" spans="1:24" ht="14.25" customHeight="1">
      <c r="A344" s="13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5">
        <f t="shared" si="9"/>
        <v>0</v>
      </c>
      <c r="N344" s="24"/>
      <c r="O344" s="14"/>
      <c r="P344" s="49"/>
      <c r="Q344" s="24"/>
      <c r="R344" s="24">
        <f t="shared" si="12"/>
        <v>0</v>
      </c>
      <c r="S344" s="23"/>
      <c r="T344" s="24"/>
      <c r="U344" s="49"/>
      <c r="V344" s="24"/>
      <c r="W344" s="24">
        <f t="shared" si="13"/>
        <v>0</v>
      </c>
      <c r="X344" s="24"/>
    </row>
    <row r="345" spans="1:24" ht="14.25" customHeight="1">
      <c r="A345" s="13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5">
        <f t="shared" si="9"/>
        <v>0</v>
      </c>
      <c r="N345" s="24"/>
      <c r="O345" s="14"/>
      <c r="P345" s="49"/>
      <c r="Q345" s="24"/>
      <c r="R345" s="24">
        <f t="shared" si="12"/>
        <v>0</v>
      </c>
      <c r="S345" s="23"/>
      <c r="T345" s="24"/>
      <c r="U345" s="49"/>
      <c r="V345" s="24"/>
      <c r="W345" s="24">
        <f t="shared" si="13"/>
        <v>0</v>
      </c>
      <c r="X345" s="24"/>
    </row>
    <row r="346" spans="1:24" ht="14.25" customHeight="1">
      <c r="A346" s="13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5">
        <f t="shared" si="9"/>
        <v>0</v>
      </c>
      <c r="N346" s="24"/>
      <c r="O346" s="14"/>
      <c r="P346" s="49"/>
      <c r="Q346" s="24"/>
      <c r="R346" s="24">
        <f t="shared" si="12"/>
        <v>0</v>
      </c>
      <c r="S346" s="23"/>
      <c r="T346" s="24"/>
      <c r="U346" s="49"/>
      <c r="V346" s="24"/>
      <c r="W346" s="24">
        <f t="shared" si="13"/>
        <v>0</v>
      </c>
      <c r="X346" s="24"/>
    </row>
    <row r="347" spans="1:24" ht="14.25" customHeight="1">
      <c r="A347" s="13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5">
        <f t="shared" si="9"/>
        <v>0</v>
      </c>
      <c r="N347" s="24"/>
      <c r="O347" s="14"/>
      <c r="P347" s="49"/>
      <c r="Q347" s="24"/>
      <c r="R347" s="24">
        <f t="shared" si="12"/>
        <v>0</v>
      </c>
      <c r="S347" s="23"/>
      <c r="T347" s="24"/>
      <c r="U347" s="49"/>
      <c r="V347" s="24"/>
      <c r="W347" s="24">
        <f t="shared" si="13"/>
        <v>0</v>
      </c>
      <c r="X347" s="24"/>
    </row>
    <row r="348" spans="1:24" ht="14.25" customHeight="1">
      <c r="A348" s="13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5">
        <f t="shared" si="9"/>
        <v>0</v>
      </c>
      <c r="N348" s="24"/>
      <c r="O348" s="14"/>
      <c r="P348" s="49"/>
      <c r="Q348" s="24"/>
      <c r="R348" s="24">
        <f t="shared" si="12"/>
        <v>0</v>
      </c>
      <c r="S348" s="23"/>
      <c r="T348" s="24"/>
      <c r="U348" s="49"/>
      <c r="V348" s="24"/>
      <c r="W348" s="24">
        <f t="shared" si="13"/>
        <v>0</v>
      </c>
      <c r="X348" s="24"/>
    </row>
    <row r="349" spans="1:24" ht="14.25" customHeight="1">
      <c r="A349" s="13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5">
        <f t="shared" si="9"/>
        <v>0</v>
      </c>
      <c r="N349" s="24"/>
      <c r="O349" s="14"/>
      <c r="P349" s="49"/>
      <c r="Q349" s="24"/>
      <c r="R349" s="24">
        <f t="shared" si="12"/>
        <v>0</v>
      </c>
      <c r="S349" s="23"/>
      <c r="T349" s="24"/>
      <c r="U349" s="49"/>
      <c r="V349" s="24"/>
      <c r="W349" s="24">
        <f t="shared" si="13"/>
        <v>0</v>
      </c>
      <c r="X349" s="24"/>
    </row>
    <row r="350" spans="1:24" ht="14.25" customHeight="1">
      <c r="A350" s="13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5">
        <f t="shared" si="9"/>
        <v>0</v>
      </c>
      <c r="N350" s="24"/>
      <c r="O350" s="14"/>
      <c r="P350" s="49"/>
      <c r="Q350" s="24"/>
      <c r="R350" s="24">
        <f t="shared" si="12"/>
        <v>0</v>
      </c>
      <c r="S350" s="23"/>
      <c r="T350" s="24"/>
      <c r="U350" s="49"/>
      <c r="V350" s="24"/>
      <c r="W350" s="24">
        <f t="shared" si="13"/>
        <v>0</v>
      </c>
      <c r="X350" s="24"/>
    </row>
    <row r="351" spans="1:24" ht="14.25" customHeight="1">
      <c r="A351" s="13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5">
        <f t="shared" si="9"/>
        <v>0</v>
      </c>
      <c r="N351" s="24"/>
      <c r="O351" s="14"/>
      <c r="P351" s="49"/>
      <c r="Q351" s="24"/>
      <c r="R351" s="24">
        <f t="shared" si="12"/>
        <v>0</v>
      </c>
      <c r="S351" s="23"/>
      <c r="T351" s="24"/>
      <c r="U351" s="49"/>
      <c r="V351" s="24"/>
      <c r="W351" s="24">
        <f t="shared" si="13"/>
        <v>0</v>
      </c>
      <c r="X351" s="24"/>
    </row>
    <row r="352" spans="1:24" ht="14.25" customHeight="1">
      <c r="A352" s="13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5">
        <f t="shared" si="9"/>
        <v>0</v>
      </c>
      <c r="N352" s="24"/>
      <c r="O352" s="14"/>
      <c r="P352" s="49"/>
      <c r="Q352" s="24"/>
      <c r="R352" s="24">
        <f t="shared" si="12"/>
        <v>0</v>
      </c>
      <c r="S352" s="23"/>
      <c r="T352" s="24"/>
      <c r="U352" s="49"/>
      <c r="V352" s="24"/>
      <c r="W352" s="24">
        <f t="shared" si="13"/>
        <v>0</v>
      </c>
      <c r="X352" s="24"/>
    </row>
    <row r="353" spans="1:24" ht="14.25" customHeight="1">
      <c r="A353" s="13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5">
        <f t="shared" si="9"/>
        <v>0</v>
      </c>
      <c r="N353" s="24"/>
      <c r="O353" s="14"/>
      <c r="P353" s="49"/>
      <c r="Q353" s="24"/>
      <c r="R353" s="24">
        <f t="shared" si="12"/>
        <v>0</v>
      </c>
      <c r="S353" s="23"/>
      <c r="T353" s="24"/>
      <c r="U353" s="49"/>
      <c r="V353" s="24"/>
      <c r="W353" s="24">
        <f t="shared" si="13"/>
        <v>0</v>
      </c>
      <c r="X353" s="24"/>
    </row>
    <row r="354" spans="1:24" ht="14.25" customHeight="1">
      <c r="A354" s="13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5">
        <f t="shared" si="9"/>
        <v>0</v>
      </c>
      <c r="N354" s="24"/>
      <c r="O354" s="14"/>
      <c r="P354" s="49"/>
      <c r="Q354" s="24"/>
      <c r="R354" s="24">
        <f t="shared" si="12"/>
        <v>0</v>
      </c>
      <c r="S354" s="23"/>
      <c r="T354" s="24"/>
      <c r="U354" s="49"/>
      <c r="V354" s="24"/>
      <c r="W354" s="24">
        <f t="shared" si="13"/>
        <v>0</v>
      </c>
      <c r="X354" s="24"/>
    </row>
    <row r="355" spans="1:24" ht="14.25" customHeight="1">
      <c r="A355" s="13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5">
        <f t="shared" si="9"/>
        <v>0</v>
      </c>
      <c r="N355" s="24"/>
      <c r="O355" s="14"/>
      <c r="P355" s="49"/>
      <c r="Q355" s="24"/>
      <c r="R355" s="24">
        <f t="shared" si="12"/>
        <v>0</v>
      </c>
      <c r="S355" s="23"/>
      <c r="T355" s="24"/>
      <c r="U355" s="49"/>
      <c r="V355" s="24"/>
      <c r="W355" s="24">
        <f t="shared" si="13"/>
        <v>0</v>
      </c>
      <c r="X355" s="24"/>
    </row>
    <row r="356" spans="1:24" ht="14.25" customHeight="1">
      <c r="A356" s="13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5">
        <f t="shared" si="9"/>
        <v>0</v>
      </c>
      <c r="N356" s="24"/>
      <c r="O356" s="14"/>
      <c r="P356" s="49"/>
      <c r="Q356" s="24"/>
      <c r="R356" s="24">
        <f t="shared" si="12"/>
        <v>0</v>
      </c>
      <c r="S356" s="23"/>
      <c r="T356" s="24"/>
      <c r="U356" s="49"/>
      <c r="V356" s="24"/>
      <c r="W356" s="24">
        <f t="shared" si="13"/>
        <v>0</v>
      </c>
      <c r="X356" s="24"/>
    </row>
    <row r="357" spans="1:24" ht="14.25" customHeight="1">
      <c r="A357" s="13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5">
        <f t="shared" si="9"/>
        <v>0</v>
      </c>
      <c r="N357" s="24"/>
      <c r="O357" s="14"/>
      <c r="P357" s="49"/>
      <c r="Q357" s="24"/>
      <c r="R357" s="24">
        <f t="shared" si="12"/>
        <v>0</v>
      </c>
      <c r="S357" s="23"/>
      <c r="T357" s="24"/>
      <c r="U357" s="49"/>
      <c r="V357" s="24"/>
      <c r="W357" s="24">
        <f t="shared" si="13"/>
        <v>0</v>
      </c>
      <c r="X357" s="24"/>
    </row>
    <row r="358" spans="1:24" ht="14.25" customHeight="1">
      <c r="A358" s="13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5">
        <f t="shared" si="9"/>
        <v>0</v>
      </c>
      <c r="N358" s="24"/>
      <c r="O358" s="14"/>
      <c r="P358" s="49"/>
      <c r="Q358" s="24"/>
      <c r="R358" s="24">
        <f t="shared" si="12"/>
        <v>0</v>
      </c>
      <c r="S358" s="23"/>
      <c r="T358" s="24"/>
      <c r="U358" s="49"/>
      <c r="V358" s="24"/>
      <c r="W358" s="24">
        <f t="shared" si="13"/>
        <v>0</v>
      </c>
      <c r="X358" s="24"/>
    </row>
    <row r="359" spans="1:24" ht="14.25" customHeight="1">
      <c r="A359" s="13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5">
        <f t="shared" si="9"/>
        <v>0</v>
      </c>
      <c r="N359" s="24"/>
      <c r="O359" s="14"/>
      <c r="P359" s="49"/>
      <c r="Q359" s="24"/>
      <c r="R359" s="24">
        <f t="shared" si="12"/>
        <v>0</v>
      </c>
      <c r="S359" s="23"/>
      <c r="T359" s="24"/>
      <c r="U359" s="49"/>
      <c r="V359" s="24"/>
      <c r="W359" s="24">
        <f t="shared" si="13"/>
        <v>0</v>
      </c>
      <c r="X359" s="24"/>
    </row>
    <row r="360" spans="1:24" ht="14.25" customHeight="1">
      <c r="A360" s="13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5">
        <f t="shared" si="9"/>
        <v>0</v>
      </c>
      <c r="N360" s="24"/>
      <c r="O360" s="14"/>
      <c r="P360" s="49"/>
      <c r="Q360" s="24"/>
      <c r="R360" s="24">
        <f t="shared" si="12"/>
        <v>0</v>
      </c>
      <c r="S360" s="23"/>
      <c r="T360" s="24"/>
      <c r="U360" s="49"/>
      <c r="V360" s="24"/>
      <c r="W360" s="24">
        <f t="shared" si="13"/>
        <v>0</v>
      </c>
      <c r="X360" s="24"/>
    </row>
    <row r="361" spans="1:24" ht="14.25" customHeight="1">
      <c r="A361" s="13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5">
        <f t="shared" si="9"/>
        <v>0</v>
      </c>
      <c r="N361" s="24"/>
      <c r="O361" s="14"/>
      <c r="P361" s="49"/>
      <c r="Q361" s="24"/>
      <c r="R361" s="24">
        <f t="shared" si="12"/>
        <v>0</v>
      </c>
      <c r="S361" s="23"/>
      <c r="T361" s="24"/>
      <c r="U361" s="49"/>
      <c r="V361" s="24"/>
      <c r="W361" s="24">
        <f t="shared" si="13"/>
        <v>0</v>
      </c>
      <c r="X361" s="24"/>
    </row>
    <row r="362" spans="1:24" ht="14.25" customHeight="1">
      <c r="A362" s="13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5">
        <f t="shared" si="9"/>
        <v>0</v>
      </c>
      <c r="N362" s="24"/>
      <c r="O362" s="14"/>
      <c r="P362" s="49"/>
      <c r="Q362" s="24"/>
      <c r="R362" s="24">
        <f t="shared" si="12"/>
        <v>0</v>
      </c>
      <c r="S362" s="23"/>
      <c r="T362" s="24"/>
      <c r="U362" s="49"/>
      <c r="V362" s="24"/>
      <c r="W362" s="24">
        <f t="shared" si="13"/>
        <v>0</v>
      </c>
      <c r="X362" s="24"/>
    </row>
    <row r="363" spans="1:24" ht="14.25" customHeight="1">
      <c r="A363" s="13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5">
        <f t="shared" si="9"/>
        <v>0</v>
      </c>
      <c r="N363" s="24"/>
      <c r="O363" s="14"/>
      <c r="P363" s="49"/>
      <c r="Q363" s="24"/>
      <c r="R363" s="24">
        <f t="shared" si="12"/>
        <v>0</v>
      </c>
      <c r="S363" s="23"/>
      <c r="T363" s="24"/>
      <c r="U363" s="49"/>
      <c r="V363" s="24"/>
      <c r="W363" s="24">
        <f t="shared" si="13"/>
        <v>0</v>
      </c>
      <c r="X363" s="24"/>
    </row>
    <row r="364" spans="1:24" ht="14.25" customHeight="1">
      <c r="A364" s="13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5">
        <f t="shared" si="9"/>
        <v>0</v>
      </c>
      <c r="N364" s="24"/>
      <c r="O364" s="14"/>
      <c r="P364" s="49"/>
      <c r="Q364" s="24"/>
      <c r="R364" s="24">
        <f t="shared" si="12"/>
        <v>0</v>
      </c>
      <c r="S364" s="23"/>
      <c r="T364" s="24"/>
      <c r="U364" s="49"/>
      <c r="V364" s="24"/>
      <c r="W364" s="24">
        <f t="shared" si="13"/>
        <v>0</v>
      </c>
      <c r="X364" s="24"/>
    </row>
    <row r="365" spans="1:24" ht="14.25" customHeight="1">
      <c r="A365" s="13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5">
        <f t="shared" si="9"/>
        <v>0</v>
      </c>
      <c r="N365" s="24"/>
      <c r="O365" s="14"/>
      <c r="P365" s="49"/>
      <c r="Q365" s="24"/>
      <c r="R365" s="24">
        <f t="shared" si="12"/>
        <v>0</v>
      </c>
      <c r="S365" s="23"/>
      <c r="T365" s="24"/>
      <c r="U365" s="49"/>
      <c r="V365" s="24"/>
      <c r="W365" s="24">
        <f t="shared" si="13"/>
        <v>0</v>
      </c>
      <c r="X365" s="24"/>
    </row>
    <row r="366" spans="1:24" ht="14.25" customHeight="1">
      <c r="A366" s="13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5">
        <f t="shared" si="9"/>
        <v>0</v>
      </c>
      <c r="N366" s="24"/>
      <c r="O366" s="14"/>
      <c r="P366" s="49"/>
      <c r="Q366" s="24"/>
      <c r="R366" s="24">
        <f t="shared" si="12"/>
        <v>0</v>
      </c>
      <c r="S366" s="23"/>
      <c r="T366" s="24"/>
      <c r="U366" s="49"/>
      <c r="V366" s="24"/>
      <c r="W366" s="24">
        <f t="shared" si="13"/>
        <v>0</v>
      </c>
      <c r="X366" s="24"/>
    </row>
    <row r="367" spans="1:24" ht="14.25" customHeight="1">
      <c r="A367" s="13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5">
        <f t="shared" si="9"/>
        <v>0</v>
      </c>
      <c r="N367" s="24"/>
      <c r="O367" s="14"/>
      <c r="P367" s="49"/>
      <c r="Q367" s="24"/>
      <c r="R367" s="24">
        <f t="shared" si="12"/>
        <v>0</v>
      </c>
      <c r="S367" s="23"/>
      <c r="T367" s="24"/>
      <c r="U367" s="49"/>
      <c r="V367" s="24"/>
      <c r="W367" s="24">
        <f t="shared" si="13"/>
        <v>0</v>
      </c>
      <c r="X367" s="24"/>
    </row>
    <row r="368" spans="1:24" ht="14.25" customHeight="1">
      <c r="A368" s="13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5">
        <f t="shared" si="9"/>
        <v>0</v>
      </c>
      <c r="N368" s="24"/>
      <c r="O368" s="14"/>
      <c r="P368" s="49"/>
      <c r="Q368" s="24"/>
      <c r="R368" s="24">
        <f t="shared" si="12"/>
        <v>0</v>
      </c>
      <c r="S368" s="23"/>
      <c r="T368" s="24"/>
      <c r="U368" s="49"/>
      <c r="V368" s="24"/>
      <c r="W368" s="24">
        <f t="shared" si="13"/>
        <v>0</v>
      </c>
      <c r="X368" s="24"/>
    </row>
    <row r="369" spans="1:24" ht="14.25" customHeight="1">
      <c r="A369" s="13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5">
        <f t="shared" si="9"/>
        <v>0</v>
      </c>
      <c r="N369" s="24"/>
      <c r="O369" s="14"/>
      <c r="P369" s="49"/>
      <c r="Q369" s="24"/>
      <c r="R369" s="24">
        <f t="shared" si="12"/>
        <v>0</v>
      </c>
      <c r="S369" s="23"/>
      <c r="T369" s="24"/>
      <c r="U369" s="49"/>
      <c r="V369" s="24"/>
      <c r="W369" s="24">
        <f t="shared" si="13"/>
        <v>0</v>
      </c>
      <c r="X369" s="24"/>
    </row>
    <row r="370" spans="1:24" ht="14.25" customHeight="1">
      <c r="A370" s="17"/>
      <c r="M370" s="18"/>
    </row>
    <row r="371" spans="1:24" ht="14.25" customHeight="1">
      <c r="A371" s="17"/>
      <c r="M371" s="18"/>
    </row>
    <row r="372" spans="1:24" ht="14.25" customHeight="1">
      <c r="A372" s="17"/>
      <c r="M372" s="18"/>
    </row>
    <row r="373" spans="1:24" ht="14.25" customHeight="1">
      <c r="A373" s="17"/>
      <c r="M373" s="18"/>
    </row>
    <row r="374" spans="1:24" ht="14.25" customHeight="1">
      <c r="A374" s="17"/>
      <c r="M374" s="18"/>
    </row>
    <row r="375" spans="1:24" ht="14.25" customHeight="1">
      <c r="A375" s="17"/>
      <c r="M375" s="18"/>
    </row>
    <row r="376" spans="1:24" ht="14.25" customHeight="1">
      <c r="A376" s="17"/>
      <c r="M376" s="18"/>
    </row>
    <row r="377" spans="1:24" ht="14.25" customHeight="1">
      <c r="A377" s="17"/>
      <c r="M377" s="18"/>
    </row>
    <row r="378" spans="1:24" ht="14.25" customHeight="1">
      <c r="A378" s="17"/>
      <c r="M378" s="18"/>
    </row>
    <row r="379" spans="1:24" ht="14.25" customHeight="1">
      <c r="A379" s="17"/>
      <c r="M379" s="18"/>
    </row>
    <row r="380" spans="1:24" ht="14.25" customHeight="1">
      <c r="A380" s="17"/>
      <c r="M380" s="18"/>
    </row>
    <row r="381" spans="1:24" ht="14.25" customHeight="1">
      <c r="A381" s="17"/>
      <c r="M381" s="18"/>
    </row>
    <row r="382" spans="1:24" ht="14.25" customHeight="1">
      <c r="A382" s="17"/>
      <c r="M382" s="18"/>
    </row>
    <row r="383" spans="1:24" ht="14.25" customHeight="1">
      <c r="A383" s="17"/>
      <c r="M383" s="18"/>
    </row>
    <row r="384" spans="1:24" ht="14.25" customHeight="1">
      <c r="A384" s="17"/>
      <c r="M384" s="18"/>
    </row>
    <row r="385" spans="1:13" ht="14.25" customHeight="1">
      <c r="A385" s="17"/>
      <c r="M385" s="18"/>
    </row>
    <row r="386" spans="1:13" ht="14.25" customHeight="1">
      <c r="A386" s="17"/>
      <c r="M386" s="18"/>
    </row>
    <row r="387" spans="1:13" ht="14.25" customHeight="1">
      <c r="A387" s="17"/>
      <c r="M387" s="18"/>
    </row>
    <row r="388" spans="1:13" ht="14.25" customHeight="1">
      <c r="A388" s="17"/>
      <c r="M388" s="18"/>
    </row>
    <row r="389" spans="1:13" ht="14.25" customHeight="1">
      <c r="A389" s="17"/>
      <c r="M389" s="18"/>
    </row>
    <row r="390" spans="1:13" ht="14.25" customHeight="1">
      <c r="A390" s="17"/>
      <c r="M390" s="18"/>
    </row>
    <row r="391" spans="1:13" ht="14.25" customHeight="1">
      <c r="A391" s="17"/>
      <c r="M391" s="18"/>
    </row>
    <row r="392" spans="1:13" ht="14.25" customHeight="1">
      <c r="A392" s="17"/>
      <c r="M392" s="18"/>
    </row>
    <row r="393" spans="1:13" ht="14.25" customHeight="1">
      <c r="A393" s="17"/>
      <c r="M393" s="18"/>
    </row>
    <row r="394" spans="1:13" ht="14.25" customHeight="1">
      <c r="A394" s="17"/>
      <c r="M394" s="18"/>
    </row>
    <row r="395" spans="1:13" ht="14.25" customHeight="1">
      <c r="A395" s="17"/>
      <c r="M395" s="18"/>
    </row>
    <row r="396" spans="1:13" ht="14.25" customHeight="1">
      <c r="A396" s="17"/>
      <c r="M396" s="18"/>
    </row>
    <row r="397" spans="1:13" ht="14.25" customHeight="1">
      <c r="A397" s="17"/>
      <c r="M397" s="18"/>
    </row>
    <row r="398" spans="1:13" ht="14.25" customHeight="1">
      <c r="A398" s="17"/>
      <c r="M398" s="18"/>
    </row>
    <row r="399" spans="1:13" ht="14.25" customHeight="1">
      <c r="A399" s="17"/>
      <c r="M399" s="18"/>
    </row>
    <row r="400" spans="1:13" ht="14.25" customHeight="1">
      <c r="A400" s="17"/>
      <c r="M400" s="18"/>
    </row>
    <row r="401" spans="1:13" ht="14.25" customHeight="1">
      <c r="A401" s="17"/>
      <c r="M401" s="18"/>
    </row>
    <row r="402" spans="1:13" ht="14.25" customHeight="1">
      <c r="A402" s="17"/>
      <c r="M402" s="18"/>
    </row>
    <row r="403" spans="1:13" ht="14.25" customHeight="1">
      <c r="A403" s="17"/>
      <c r="M403" s="18"/>
    </row>
    <row r="404" spans="1:13" ht="14.25" customHeight="1">
      <c r="A404" s="17"/>
      <c r="M404" s="18"/>
    </row>
    <row r="405" spans="1:13" ht="14.25" customHeight="1">
      <c r="A405" s="17"/>
      <c r="M405" s="18"/>
    </row>
    <row r="406" spans="1:13" ht="14.25" customHeight="1">
      <c r="A406" s="17"/>
      <c r="M406" s="18"/>
    </row>
    <row r="407" spans="1:13" ht="14.25" customHeight="1">
      <c r="A407" s="17"/>
      <c r="M407" s="18"/>
    </row>
    <row r="408" spans="1:13" ht="14.25" customHeight="1">
      <c r="A408" s="17"/>
      <c r="M408" s="18"/>
    </row>
    <row r="409" spans="1:13" ht="14.25" customHeight="1">
      <c r="A409" s="17"/>
      <c r="M409" s="18"/>
    </row>
    <row r="410" spans="1:13" ht="14.25" customHeight="1">
      <c r="A410" s="17"/>
      <c r="M410" s="18"/>
    </row>
    <row r="411" spans="1:13" ht="14.25" customHeight="1">
      <c r="A411" s="17"/>
      <c r="M411" s="18"/>
    </row>
    <row r="412" spans="1:13" ht="14.25" customHeight="1">
      <c r="A412" s="17"/>
      <c r="M412" s="18"/>
    </row>
    <row r="413" spans="1:13" ht="14.25" customHeight="1">
      <c r="A413" s="17"/>
      <c r="M413" s="18"/>
    </row>
    <row r="414" spans="1:13" ht="14.25" customHeight="1">
      <c r="A414" s="17"/>
      <c r="M414" s="18"/>
    </row>
    <row r="415" spans="1:13" ht="14.25" customHeight="1">
      <c r="A415" s="17"/>
      <c r="M415" s="18"/>
    </row>
    <row r="416" spans="1:13" ht="14.25" customHeight="1">
      <c r="A416" s="17"/>
      <c r="M416" s="18"/>
    </row>
    <row r="417" spans="1:13" ht="14.25" customHeight="1">
      <c r="A417" s="17"/>
      <c r="M417" s="18"/>
    </row>
    <row r="418" spans="1:13" ht="14.25" customHeight="1">
      <c r="A418" s="17"/>
      <c r="M418" s="18"/>
    </row>
    <row r="419" spans="1:13" ht="14.25" customHeight="1">
      <c r="A419" s="17"/>
      <c r="M419" s="18"/>
    </row>
    <row r="420" spans="1:13" ht="14.25" customHeight="1">
      <c r="A420" s="17"/>
      <c r="M420" s="18"/>
    </row>
    <row r="421" spans="1:13" ht="14.25" customHeight="1">
      <c r="A421" s="17"/>
      <c r="M421" s="18"/>
    </row>
    <row r="422" spans="1:13" ht="14.25" customHeight="1">
      <c r="A422" s="17"/>
      <c r="M422" s="18"/>
    </row>
    <row r="423" spans="1:13" ht="14.25" customHeight="1">
      <c r="A423" s="17"/>
      <c r="M423" s="18"/>
    </row>
    <row r="424" spans="1:13" ht="14.25" customHeight="1">
      <c r="A424" s="17"/>
      <c r="M424" s="18"/>
    </row>
    <row r="425" spans="1:13" ht="14.25" customHeight="1">
      <c r="A425" s="17"/>
      <c r="M425" s="18"/>
    </row>
    <row r="426" spans="1:13" ht="14.25" customHeight="1">
      <c r="A426" s="17"/>
      <c r="M426" s="18"/>
    </row>
    <row r="427" spans="1:13" ht="14.25" customHeight="1">
      <c r="A427" s="17"/>
      <c r="M427" s="18"/>
    </row>
    <row r="428" spans="1:13" ht="14.25" customHeight="1">
      <c r="A428" s="17"/>
      <c r="M428" s="18"/>
    </row>
    <row r="429" spans="1:13" ht="14.25" customHeight="1">
      <c r="A429" s="17"/>
      <c r="M429" s="18"/>
    </row>
    <row r="430" spans="1:13" ht="14.25" customHeight="1">
      <c r="A430" s="17"/>
      <c r="M430" s="18"/>
    </row>
    <row r="431" spans="1:13" ht="14.25" customHeight="1">
      <c r="A431" s="17"/>
      <c r="M431" s="18"/>
    </row>
    <row r="432" spans="1:13" ht="14.25" customHeight="1">
      <c r="A432" s="17"/>
      <c r="M432" s="18"/>
    </row>
    <row r="433" spans="1:13" ht="14.25" customHeight="1">
      <c r="A433" s="17"/>
      <c r="M433" s="18"/>
    </row>
    <row r="434" spans="1:13" ht="14.25" customHeight="1">
      <c r="A434" s="17"/>
      <c r="M434" s="18"/>
    </row>
    <row r="435" spans="1:13" ht="14.25" customHeight="1">
      <c r="A435" s="17"/>
      <c r="M435" s="18"/>
    </row>
    <row r="436" spans="1:13" ht="14.25" customHeight="1">
      <c r="A436" s="17"/>
      <c r="M436" s="18"/>
    </row>
    <row r="437" spans="1:13" ht="14.25" customHeight="1">
      <c r="A437" s="17"/>
      <c r="M437" s="18"/>
    </row>
    <row r="438" spans="1:13" ht="14.25" customHeight="1">
      <c r="A438" s="17"/>
      <c r="M438" s="18"/>
    </row>
    <row r="439" spans="1:13" ht="14.25" customHeight="1">
      <c r="A439" s="17"/>
      <c r="M439" s="18"/>
    </row>
    <row r="440" spans="1:13" ht="14.25" customHeight="1">
      <c r="A440" s="17"/>
      <c r="M440" s="18"/>
    </row>
    <row r="441" spans="1:13" ht="14.25" customHeight="1">
      <c r="A441" s="17"/>
      <c r="M441" s="18"/>
    </row>
    <row r="442" spans="1:13" ht="14.25" customHeight="1">
      <c r="A442" s="17"/>
      <c r="M442" s="18"/>
    </row>
    <row r="443" spans="1:13" ht="14.25" customHeight="1">
      <c r="A443" s="17"/>
      <c r="M443" s="18"/>
    </row>
    <row r="444" spans="1:13" ht="14.25" customHeight="1">
      <c r="A444" s="17"/>
      <c r="M444" s="18"/>
    </row>
    <row r="445" spans="1:13" ht="14.25" customHeight="1">
      <c r="A445" s="17"/>
      <c r="M445" s="18"/>
    </row>
    <row r="446" spans="1:13" ht="14.25" customHeight="1">
      <c r="A446" s="17"/>
      <c r="M446" s="18"/>
    </row>
    <row r="447" spans="1:13" ht="14.25" customHeight="1">
      <c r="A447" s="17"/>
      <c r="M447" s="18"/>
    </row>
    <row r="448" spans="1:13" ht="14.25" customHeight="1">
      <c r="A448" s="17"/>
      <c r="M448" s="18"/>
    </row>
    <row r="449" spans="1:13" ht="14.25" customHeight="1">
      <c r="A449" s="17"/>
      <c r="M449" s="18"/>
    </row>
    <row r="450" spans="1:13" ht="14.25" customHeight="1">
      <c r="A450" s="17"/>
      <c r="M450" s="18"/>
    </row>
    <row r="451" spans="1:13" ht="14.25" customHeight="1">
      <c r="A451" s="17"/>
      <c r="M451" s="18"/>
    </row>
    <row r="452" spans="1:13" ht="14.25" customHeight="1">
      <c r="A452" s="17"/>
      <c r="M452" s="18"/>
    </row>
    <row r="453" spans="1:13" ht="14.25" customHeight="1">
      <c r="A453" s="17"/>
      <c r="M453" s="18"/>
    </row>
    <row r="454" spans="1:13" ht="14.25" customHeight="1">
      <c r="A454" s="17"/>
      <c r="M454" s="18"/>
    </row>
    <row r="455" spans="1:13" ht="14.25" customHeight="1">
      <c r="A455" s="17"/>
      <c r="M455" s="18"/>
    </row>
    <row r="456" spans="1:13" ht="14.25" customHeight="1">
      <c r="A456" s="17"/>
      <c r="M456" s="18"/>
    </row>
    <row r="457" spans="1:13" ht="14.25" customHeight="1">
      <c r="A457" s="17"/>
      <c r="M457" s="18"/>
    </row>
    <row r="458" spans="1:13" ht="14.25" customHeight="1">
      <c r="A458" s="17"/>
      <c r="M458" s="18"/>
    </row>
    <row r="459" spans="1:13" ht="14.25" customHeight="1">
      <c r="A459" s="17"/>
      <c r="M459" s="18"/>
    </row>
    <row r="460" spans="1:13" ht="14.25" customHeight="1">
      <c r="A460" s="17"/>
      <c r="M460" s="18"/>
    </row>
    <row r="461" spans="1:13" ht="14.25" customHeight="1">
      <c r="A461" s="17"/>
      <c r="M461" s="18"/>
    </row>
    <row r="462" spans="1:13" ht="14.25" customHeight="1">
      <c r="A462" s="17"/>
      <c r="M462" s="18"/>
    </row>
    <row r="463" spans="1:13" ht="14.25" customHeight="1">
      <c r="A463" s="17"/>
      <c r="M463" s="18"/>
    </row>
    <row r="464" spans="1:13" ht="14.25" customHeight="1">
      <c r="A464" s="17"/>
      <c r="M464" s="18"/>
    </row>
    <row r="465" spans="1:13" ht="14.25" customHeight="1">
      <c r="A465" s="17"/>
      <c r="M465" s="18"/>
    </row>
    <row r="466" spans="1:13" ht="14.25" customHeight="1">
      <c r="A466" s="17"/>
      <c r="M466" s="18"/>
    </row>
    <row r="467" spans="1:13" ht="14.25" customHeight="1">
      <c r="A467" s="17"/>
      <c r="M467" s="18"/>
    </row>
    <row r="468" spans="1:13" ht="14.25" customHeight="1">
      <c r="A468" s="17"/>
      <c r="M468" s="18"/>
    </row>
    <row r="469" spans="1:13" ht="14.25" customHeight="1">
      <c r="A469" s="17"/>
      <c r="M469" s="18"/>
    </row>
    <row r="470" spans="1:13" ht="14.25" customHeight="1">
      <c r="A470" s="17"/>
      <c r="M470" s="18"/>
    </row>
    <row r="471" spans="1:13" ht="14.25" customHeight="1">
      <c r="A471" s="17"/>
      <c r="M471" s="18"/>
    </row>
    <row r="472" spans="1:13" ht="14.25" customHeight="1">
      <c r="A472" s="17"/>
      <c r="M472" s="18"/>
    </row>
    <row r="473" spans="1:13" ht="14.25" customHeight="1">
      <c r="A473" s="17"/>
      <c r="M473" s="18"/>
    </row>
    <row r="474" spans="1:13" ht="14.25" customHeight="1">
      <c r="A474" s="17"/>
      <c r="M474" s="18"/>
    </row>
    <row r="475" spans="1:13" ht="14.25" customHeight="1">
      <c r="A475" s="17"/>
      <c r="M475" s="18"/>
    </row>
    <row r="476" spans="1:13" ht="14.25" customHeight="1">
      <c r="A476" s="17"/>
      <c r="M476" s="18"/>
    </row>
    <row r="477" spans="1:13" ht="14.25" customHeight="1">
      <c r="A477" s="17"/>
      <c r="M477" s="18"/>
    </row>
    <row r="478" spans="1:13" ht="14.25" customHeight="1">
      <c r="A478" s="17"/>
      <c r="M478" s="18"/>
    </row>
    <row r="479" spans="1:13" ht="14.25" customHeight="1">
      <c r="A479" s="17"/>
      <c r="M479" s="18"/>
    </row>
    <row r="480" spans="1:13" ht="14.25" customHeight="1">
      <c r="A480" s="17"/>
      <c r="M480" s="18"/>
    </row>
    <row r="481" spans="1:13" ht="14.25" customHeight="1">
      <c r="A481" s="17"/>
      <c r="M481" s="18"/>
    </row>
    <row r="482" spans="1:13" ht="14.25" customHeight="1">
      <c r="A482" s="17"/>
      <c r="M482" s="18"/>
    </row>
    <row r="483" spans="1:13" ht="14.25" customHeight="1">
      <c r="A483" s="17"/>
      <c r="M483" s="18"/>
    </row>
    <row r="484" spans="1:13" ht="14.25" customHeight="1">
      <c r="A484" s="17"/>
      <c r="M484" s="18"/>
    </row>
    <row r="485" spans="1:13" ht="14.25" customHeight="1">
      <c r="A485" s="17"/>
      <c r="M485" s="18"/>
    </row>
    <row r="486" spans="1:13" ht="14.25" customHeight="1">
      <c r="A486" s="17"/>
      <c r="M486" s="18"/>
    </row>
    <row r="487" spans="1:13" ht="14.25" customHeight="1">
      <c r="A487" s="17"/>
      <c r="M487" s="18"/>
    </row>
    <row r="488" spans="1:13" ht="14.25" customHeight="1">
      <c r="A488" s="17"/>
      <c r="M488" s="18"/>
    </row>
    <row r="489" spans="1:13" ht="14.25" customHeight="1">
      <c r="A489" s="17"/>
      <c r="M489" s="18"/>
    </row>
    <row r="490" spans="1:13" ht="14.25" customHeight="1">
      <c r="A490" s="17"/>
      <c r="M490" s="18"/>
    </row>
    <row r="491" spans="1:13" ht="14.25" customHeight="1">
      <c r="A491" s="17"/>
      <c r="M491" s="18"/>
    </row>
    <row r="492" spans="1:13" ht="14.25" customHeight="1">
      <c r="A492" s="17"/>
      <c r="M492" s="18"/>
    </row>
    <row r="493" spans="1:13" ht="14.25" customHeight="1">
      <c r="A493" s="17"/>
      <c r="M493" s="18"/>
    </row>
    <row r="494" spans="1:13" ht="14.25" customHeight="1">
      <c r="A494" s="17"/>
      <c r="M494" s="18"/>
    </row>
    <row r="495" spans="1:13" ht="14.25" customHeight="1">
      <c r="A495" s="17"/>
      <c r="M495" s="18"/>
    </row>
    <row r="496" spans="1:13" ht="14.25" customHeight="1">
      <c r="A496" s="17"/>
      <c r="M496" s="18"/>
    </row>
    <row r="497" spans="1:13" ht="14.25" customHeight="1">
      <c r="A497" s="17"/>
      <c r="M497" s="18"/>
    </row>
    <row r="498" spans="1:13" ht="14.25" customHeight="1">
      <c r="A498" s="17"/>
      <c r="M498" s="18"/>
    </row>
    <row r="499" spans="1:13" ht="14.25" customHeight="1">
      <c r="A499" s="17"/>
      <c r="M499" s="18"/>
    </row>
    <row r="500" spans="1:13" ht="14.25" customHeight="1">
      <c r="A500" s="17"/>
      <c r="M500" s="18"/>
    </row>
    <row r="501" spans="1:13" ht="14.25" customHeight="1">
      <c r="A501" s="17"/>
      <c r="M501" s="18"/>
    </row>
    <row r="502" spans="1:13" ht="14.25" customHeight="1">
      <c r="A502" s="17"/>
      <c r="M502" s="18"/>
    </row>
    <row r="503" spans="1:13" ht="14.25" customHeight="1">
      <c r="A503" s="17"/>
      <c r="M503" s="18"/>
    </row>
    <row r="504" spans="1:13" ht="14.25" customHeight="1">
      <c r="A504" s="17"/>
      <c r="M504" s="18"/>
    </row>
    <row r="505" spans="1:13" ht="14.25" customHeight="1">
      <c r="A505" s="17"/>
      <c r="M505" s="18"/>
    </row>
    <row r="506" spans="1:13" ht="14.25" customHeight="1">
      <c r="A506" s="17"/>
      <c r="M506" s="18"/>
    </row>
    <row r="507" spans="1:13" ht="14.25" customHeight="1">
      <c r="A507" s="17"/>
      <c r="M507" s="18"/>
    </row>
    <row r="508" spans="1:13" ht="14.25" customHeight="1">
      <c r="A508" s="17"/>
      <c r="M508" s="18"/>
    </row>
    <row r="509" spans="1:13" ht="14.25" customHeight="1">
      <c r="A509" s="17"/>
      <c r="M509" s="18"/>
    </row>
    <row r="510" spans="1:13" ht="14.25" customHeight="1">
      <c r="A510" s="17"/>
      <c r="M510" s="18"/>
    </row>
    <row r="511" spans="1:13" ht="14.25" customHeight="1">
      <c r="A511" s="17"/>
      <c r="M511" s="18"/>
    </row>
    <row r="512" spans="1:13" ht="14.25" customHeight="1">
      <c r="A512" s="17"/>
      <c r="M512" s="18"/>
    </row>
    <row r="513" spans="1:13" ht="14.25" customHeight="1">
      <c r="A513" s="17"/>
      <c r="M513" s="18"/>
    </row>
    <row r="514" spans="1:13" ht="14.25" customHeight="1">
      <c r="A514" s="17"/>
      <c r="M514" s="18"/>
    </row>
    <row r="515" spans="1:13" ht="14.25" customHeight="1">
      <c r="A515" s="17"/>
      <c r="M515" s="18"/>
    </row>
    <row r="516" spans="1:13" ht="14.25" customHeight="1">
      <c r="A516" s="17"/>
      <c r="M516" s="18"/>
    </row>
    <row r="517" spans="1:13" ht="14.25" customHeight="1">
      <c r="A517" s="17"/>
      <c r="M517" s="18"/>
    </row>
    <row r="518" spans="1:13" ht="14.25" customHeight="1">
      <c r="A518" s="17"/>
      <c r="M518" s="18"/>
    </row>
    <row r="519" spans="1:13" ht="14.25" customHeight="1">
      <c r="A519" s="17"/>
      <c r="M519" s="18"/>
    </row>
    <row r="520" spans="1:13" ht="14.25" customHeight="1">
      <c r="A520" s="17"/>
      <c r="M520" s="18"/>
    </row>
    <row r="521" spans="1:13" ht="14.25" customHeight="1">
      <c r="A521" s="17"/>
      <c r="M521" s="18"/>
    </row>
    <row r="522" spans="1:13" ht="14.25" customHeight="1">
      <c r="A522" s="17"/>
      <c r="M522" s="18"/>
    </row>
    <row r="523" spans="1:13" ht="14.25" customHeight="1">
      <c r="A523" s="17"/>
      <c r="M523" s="18"/>
    </row>
    <row r="524" spans="1:13" ht="14.25" customHeight="1">
      <c r="A524" s="17"/>
      <c r="M524" s="18"/>
    </row>
    <row r="525" spans="1:13" ht="14.25" customHeight="1">
      <c r="A525" s="17"/>
      <c r="M525" s="18"/>
    </row>
    <row r="526" spans="1:13" ht="14.25" customHeight="1">
      <c r="A526" s="17"/>
      <c r="M526" s="18"/>
    </row>
    <row r="527" spans="1:13" ht="14.25" customHeight="1">
      <c r="A527" s="17"/>
      <c r="M527" s="18"/>
    </row>
    <row r="528" spans="1:13" ht="14.25" customHeight="1">
      <c r="A528" s="17"/>
      <c r="M528" s="18"/>
    </row>
    <row r="529" spans="1:13" ht="14.25" customHeight="1">
      <c r="A529" s="17"/>
      <c r="M529" s="18"/>
    </row>
    <row r="530" spans="1:13" ht="14.25" customHeight="1">
      <c r="A530" s="17"/>
      <c r="M530" s="18"/>
    </row>
    <row r="531" spans="1:13" ht="14.25" customHeight="1">
      <c r="A531" s="17"/>
      <c r="M531" s="18"/>
    </row>
    <row r="532" spans="1:13" ht="14.25" customHeight="1">
      <c r="A532" s="17"/>
      <c r="M532" s="18"/>
    </row>
    <row r="533" spans="1:13" ht="14.25" customHeight="1">
      <c r="A533" s="17"/>
      <c r="M533" s="18"/>
    </row>
    <row r="534" spans="1:13" ht="14.25" customHeight="1">
      <c r="A534" s="17"/>
      <c r="M534" s="18"/>
    </row>
    <row r="535" spans="1:13" ht="14.25" customHeight="1">
      <c r="A535" s="17"/>
      <c r="M535" s="18"/>
    </row>
    <row r="536" spans="1:13" ht="14.25" customHeight="1">
      <c r="A536" s="17"/>
      <c r="M536" s="18"/>
    </row>
    <row r="537" spans="1:13" ht="14.25" customHeight="1">
      <c r="A537" s="17"/>
      <c r="M537" s="18"/>
    </row>
    <row r="538" spans="1:13" ht="14.25" customHeight="1">
      <c r="A538" s="17"/>
      <c r="M538" s="18"/>
    </row>
    <row r="539" spans="1:13" ht="14.25" customHeight="1">
      <c r="A539" s="17"/>
      <c r="M539" s="18"/>
    </row>
    <row r="540" spans="1:13" ht="14.25" customHeight="1">
      <c r="A540" s="17"/>
      <c r="M540" s="18"/>
    </row>
    <row r="541" spans="1:13" ht="14.25" customHeight="1">
      <c r="A541" s="17"/>
      <c r="M541" s="18"/>
    </row>
    <row r="542" spans="1:13" ht="14.25" customHeight="1">
      <c r="A542" s="17"/>
      <c r="M542" s="18"/>
    </row>
    <row r="543" spans="1:13" ht="14.25" customHeight="1">
      <c r="A543" s="17"/>
      <c r="M543" s="18"/>
    </row>
    <row r="544" spans="1:13" ht="14.25" customHeight="1">
      <c r="A544" s="17"/>
      <c r="M544" s="18"/>
    </row>
    <row r="545" spans="1:13" ht="14.25" customHeight="1">
      <c r="A545" s="17"/>
      <c r="M545" s="18"/>
    </row>
    <row r="546" spans="1:13" ht="14.25" customHeight="1">
      <c r="A546" s="17"/>
      <c r="M546" s="18"/>
    </row>
    <row r="547" spans="1:13" ht="14.25" customHeight="1">
      <c r="A547" s="17"/>
      <c r="M547" s="18"/>
    </row>
    <row r="548" spans="1:13" ht="14.25" customHeight="1">
      <c r="A548" s="17"/>
      <c r="M548" s="18"/>
    </row>
    <row r="549" spans="1:13" ht="14.25" customHeight="1">
      <c r="A549" s="17"/>
      <c r="M549" s="18"/>
    </row>
    <row r="550" spans="1:13" ht="14.25" customHeight="1">
      <c r="A550" s="17"/>
      <c r="M550" s="18"/>
    </row>
    <row r="551" spans="1:13" ht="14.25" customHeight="1">
      <c r="A551" s="17"/>
      <c r="M551" s="18"/>
    </row>
    <row r="552" spans="1:13" ht="14.25" customHeight="1">
      <c r="A552" s="17"/>
      <c r="M552" s="18"/>
    </row>
    <row r="553" spans="1:13" ht="14.25" customHeight="1">
      <c r="A553" s="17"/>
      <c r="M553" s="18"/>
    </row>
    <row r="554" spans="1:13" ht="14.25" customHeight="1">
      <c r="A554" s="17"/>
      <c r="M554" s="18"/>
    </row>
    <row r="555" spans="1:13" ht="14.25" customHeight="1">
      <c r="A555" s="17"/>
      <c r="M555" s="18"/>
    </row>
    <row r="556" spans="1:13" ht="14.25" customHeight="1">
      <c r="A556" s="17"/>
      <c r="M556" s="18"/>
    </row>
    <row r="557" spans="1:13" ht="14.25" customHeight="1">
      <c r="A557" s="17"/>
      <c r="M557" s="18"/>
    </row>
    <row r="558" spans="1:13" ht="14.25" customHeight="1">
      <c r="A558" s="17"/>
      <c r="M558" s="18"/>
    </row>
    <row r="559" spans="1:13" ht="14.25" customHeight="1">
      <c r="A559" s="17"/>
      <c r="M559" s="18"/>
    </row>
    <row r="560" spans="1:13" ht="14.25" customHeight="1">
      <c r="A560" s="17"/>
      <c r="M560" s="18"/>
    </row>
    <row r="561" spans="1:13" ht="14.25" customHeight="1">
      <c r="A561" s="17"/>
      <c r="M561" s="18"/>
    </row>
    <row r="562" spans="1:13" ht="14.25" customHeight="1">
      <c r="A562" s="17"/>
      <c r="M562" s="18"/>
    </row>
    <row r="563" spans="1:13" ht="14.25" customHeight="1">
      <c r="A563" s="17"/>
      <c r="M563" s="18"/>
    </row>
    <row r="564" spans="1:13" ht="14.25" customHeight="1">
      <c r="A564" s="17"/>
      <c r="M564" s="18"/>
    </row>
    <row r="565" spans="1:13" ht="14.25" customHeight="1">
      <c r="A565" s="17"/>
      <c r="M565" s="18"/>
    </row>
    <row r="566" spans="1:13" ht="14.25" customHeight="1">
      <c r="A566" s="17"/>
      <c r="M566" s="18"/>
    </row>
    <row r="567" spans="1:13" ht="14.25" customHeight="1">
      <c r="A567" s="17"/>
      <c r="M567" s="18"/>
    </row>
    <row r="568" spans="1:13" ht="14.25" customHeight="1">
      <c r="A568" s="17"/>
      <c r="M568" s="18"/>
    </row>
    <row r="569" spans="1:13" ht="14.25" customHeight="1">
      <c r="A569" s="17"/>
      <c r="M569" s="18"/>
    </row>
    <row r="570" spans="1:13" ht="14.25" customHeight="1">
      <c r="A570" s="17"/>
      <c r="M570" s="18"/>
    </row>
    <row r="571" spans="1:13" ht="14.25" customHeight="1">
      <c r="A571" s="17"/>
      <c r="M571" s="18"/>
    </row>
    <row r="572" spans="1:13" ht="14.25" customHeight="1">
      <c r="A572" s="17"/>
      <c r="M572" s="18"/>
    </row>
    <row r="573" spans="1:13" ht="14.25" customHeight="1">
      <c r="A573" s="17"/>
      <c r="M573" s="18"/>
    </row>
    <row r="574" spans="1:13" ht="14.25" customHeight="1">
      <c r="A574" s="17"/>
      <c r="M574" s="18"/>
    </row>
    <row r="575" spans="1:13" ht="14.25" customHeight="1">
      <c r="A575" s="17"/>
      <c r="M575" s="18"/>
    </row>
    <row r="576" spans="1:13" ht="14.25" customHeight="1">
      <c r="A576" s="17"/>
      <c r="M576" s="18"/>
    </row>
    <row r="577" spans="1:13" ht="14.25" customHeight="1">
      <c r="A577" s="17"/>
      <c r="M577" s="18"/>
    </row>
    <row r="578" spans="1:13" ht="14.25" customHeight="1">
      <c r="A578" s="17"/>
      <c r="M578" s="18"/>
    </row>
    <row r="579" spans="1:13" ht="14.25" customHeight="1">
      <c r="A579" s="17"/>
      <c r="M579" s="18"/>
    </row>
    <row r="580" spans="1:13" ht="14.25" customHeight="1">
      <c r="A580" s="17"/>
      <c r="M580" s="18"/>
    </row>
    <row r="581" spans="1:13" ht="14.25" customHeight="1">
      <c r="A581" s="17"/>
      <c r="M581" s="18"/>
    </row>
    <row r="582" spans="1:13" ht="14.25" customHeight="1">
      <c r="A582" s="17"/>
      <c r="M582" s="18"/>
    </row>
    <row r="583" spans="1:13" ht="14.25" customHeight="1">
      <c r="A583" s="17"/>
      <c r="M583" s="18"/>
    </row>
    <row r="584" spans="1:13" ht="14.25" customHeight="1">
      <c r="A584" s="17"/>
      <c r="M584" s="18"/>
    </row>
    <row r="585" spans="1:13" ht="14.25" customHeight="1">
      <c r="A585" s="17"/>
      <c r="M585" s="18"/>
    </row>
    <row r="586" spans="1:13" ht="14.25" customHeight="1">
      <c r="A586" s="17"/>
      <c r="M586" s="18"/>
    </row>
    <row r="587" spans="1:13" ht="14.25" customHeight="1">
      <c r="A587" s="17"/>
      <c r="M587" s="18"/>
    </row>
    <row r="588" spans="1:13" ht="14.25" customHeight="1">
      <c r="A588" s="17"/>
      <c r="M588" s="18"/>
    </row>
    <row r="589" spans="1:13" ht="14.25" customHeight="1">
      <c r="A589" s="17"/>
      <c r="M589" s="18"/>
    </row>
    <row r="590" spans="1:13" ht="14.25" customHeight="1">
      <c r="A590" s="17"/>
      <c r="M590" s="18"/>
    </row>
    <row r="591" spans="1:13" ht="14.25" customHeight="1">
      <c r="A591" s="17"/>
      <c r="M591" s="18"/>
    </row>
    <row r="592" spans="1:13" ht="14.25" customHeight="1">
      <c r="A592" s="17"/>
      <c r="M592" s="18"/>
    </row>
    <row r="593" spans="1:13" ht="14.25" customHeight="1">
      <c r="A593" s="17"/>
      <c r="M593" s="18"/>
    </row>
    <row r="594" spans="1:13" ht="14.25" customHeight="1">
      <c r="A594" s="17"/>
      <c r="M594" s="18"/>
    </row>
    <row r="595" spans="1:13" ht="14.25" customHeight="1">
      <c r="A595" s="17"/>
      <c r="M595" s="18"/>
    </row>
    <row r="596" spans="1:13" ht="14.25" customHeight="1">
      <c r="A596" s="17"/>
      <c r="M596" s="18"/>
    </row>
    <row r="597" spans="1:13" ht="14.25" customHeight="1">
      <c r="A597" s="17"/>
      <c r="M597" s="18"/>
    </row>
    <row r="598" spans="1:13" ht="14.25" customHeight="1">
      <c r="A598" s="17"/>
      <c r="M598" s="18"/>
    </row>
    <row r="599" spans="1:13" ht="14.25" customHeight="1">
      <c r="A599" s="17"/>
      <c r="M599" s="18"/>
    </row>
    <row r="600" spans="1:13" ht="14.25" customHeight="1">
      <c r="A600" s="17"/>
      <c r="M600" s="18"/>
    </row>
    <row r="601" spans="1:13" ht="14.25" customHeight="1">
      <c r="A601" s="17"/>
      <c r="M601" s="18"/>
    </row>
    <row r="602" spans="1:13" ht="14.25" customHeight="1">
      <c r="A602" s="17"/>
      <c r="M602" s="18"/>
    </row>
    <row r="603" spans="1:13" ht="14.25" customHeight="1">
      <c r="A603" s="17"/>
      <c r="M603" s="18"/>
    </row>
    <row r="604" spans="1:13" ht="14.25" customHeight="1">
      <c r="A604" s="17"/>
      <c r="M604" s="18"/>
    </row>
    <row r="605" spans="1:13" ht="14.25" customHeight="1">
      <c r="A605" s="17"/>
      <c r="M605" s="18"/>
    </row>
    <row r="606" spans="1:13" ht="14.25" customHeight="1">
      <c r="A606" s="17"/>
      <c r="M606" s="18"/>
    </row>
    <row r="607" spans="1:13" ht="14.25" customHeight="1">
      <c r="A607" s="17"/>
      <c r="M607" s="18"/>
    </row>
    <row r="608" spans="1:13" ht="14.25" customHeight="1">
      <c r="A608" s="17"/>
      <c r="M608" s="18"/>
    </row>
    <row r="609" spans="1:13" ht="14.25" customHeight="1">
      <c r="A609" s="17"/>
      <c r="M609" s="18"/>
    </row>
    <row r="610" spans="1:13" ht="14.25" customHeight="1">
      <c r="A610" s="17"/>
      <c r="M610" s="18"/>
    </row>
    <row r="611" spans="1:13" ht="14.25" customHeight="1">
      <c r="A611" s="17"/>
      <c r="M611" s="18"/>
    </row>
    <row r="612" spans="1:13" ht="14.25" customHeight="1">
      <c r="A612" s="17"/>
      <c r="M612" s="18"/>
    </row>
    <row r="613" spans="1:13" ht="14.25" customHeight="1">
      <c r="A613" s="17"/>
      <c r="M613" s="18"/>
    </row>
    <row r="614" spans="1:13" ht="14.25" customHeight="1">
      <c r="A614" s="17"/>
      <c r="M614" s="18"/>
    </row>
    <row r="615" spans="1:13" ht="14.25" customHeight="1">
      <c r="A615" s="17"/>
      <c r="M615" s="18"/>
    </row>
    <row r="616" spans="1:13" ht="14.25" customHeight="1">
      <c r="A616" s="17"/>
      <c r="M616" s="18"/>
    </row>
    <row r="617" spans="1:13" ht="14.25" customHeight="1">
      <c r="A617" s="17"/>
      <c r="M617" s="18"/>
    </row>
    <row r="618" spans="1:13" ht="14.25" customHeight="1">
      <c r="A618" s="17"/>
      <c r="M618" s="18"/>
    </row>
    <row r="619" spans="1:13" ht="14.25" customHeight="1">
      <c r="A619" s="17"/>
      <c r="M619" s="18"/>
    </row>
    <row r="620" spans="1:13" ht="14.25" customHeight="1">
      <c r="A620" s="17"/>
      <c r="M620" s="18"/>
    </row>
    <row r="621" spans="1:13" ht="14.25" customHeight="1">
      <c r="A621" s="17"/>
      <c r="M621" s="18"/>
    </row>
    <row r="622" spans="1:13" ht="14.25" customHeight="1">
      <c r="A622" s="17"/>
      <c r="M622" s="18"/>
    </row>
    <row r="623" spans="1:13" ht="14.25" customHeight="1">
      <c r="A623" s="17"/>
      <c r="M623" s="18"/>
    </row>
    <row r="624" spans="1:13" ht="14.25" customHeight="1">
      <c r="A624" s="17"/>
      <c r="M624" s="18"/>
    </row>
    <row r="625" spans="1:13" ht="14.25" customHeight="1">
      <c r="A625" s="17"/>
      <c r="M625" s="18"/>
    </row>
    <row r="626" spans="1:13" ht="14.25" customHeight="1">
      <c r="A626" s="17"/>
      <c r="M626" s="18"/>
    </row>
    <row r="627" spans="1:13" ht="14.25" customHeight="1">
      <c r="A627" s="17"/>
      <c r="M627" s="18"/>
    </row>
    <row r="628" spans="1:13" ht="14.25" customHeight="1">
      <c r="A628" s="17"/>
      <c r="M628" s="18"/>
    </row>
    <row r="629" spans="1:13" ht="14.25" customHeight="1">
      <c r="A629" s="17"/>
      <c r="M629" s="18"/>
    </row>
    <row r="630" spans="1:13" ht="14.25" customHeight="1">
      <c r="A630" s="17"/>
      <c r="M630" s="18"/>
    </row>
    <row r="631" spans="1:13" ht="14.25" customHeight="1">
      <c r="A631" s="17"/>
      <c r="M631" s="18"/>
    </row>
    <row r="632" spans="1:13" ht="14.25" customHeight="1">
      <c r="A632" s="17"/>
      <c r="M632" s="18"/>
    </row>
    <row r="633" spans="1:13" ht="14.25" customHeight="1">
      <c r="A633" s="17"/>
      <c r="M633" s="18"/>
    </row>
    <row r="634" spans="1:13" ht="14.25" customHeight="1">
      <c r="A634" s="17"/>
      <c r="M634" s="18"/>
    </row>
    <row r="635" spans="1:13" ht="14.25" customHeight="1">
      <c r="A635" s="17"/>
      <c r="M635" s="18"/>
    </row>
    <row r="636" spans="1:13" ht="14.25" customHeight="1">
      <c r="A636" s="17"/>
      <c r="M636" s="18"/>
    </row>
    <row r="637" spans="1:13" ht="14.25" customHeight="1">
      <c r="A637" s="17"/>
      <c r="M637" s="18"/>
    </row>
    <row r="638" spans="1:13" ht="14.25" customHeight="1">
      <c r="A638" s="17"/>
      <c r="M638" s="18"/>
    </row>
    <row r="639" spans="1:13" ht="14.25" customHeight="1">
      <c r="A639" s="17"/>
      <c r="M639" s="18"/>
    </row>
    <row r="640" spans="1:13" ht="14.25" customHeight="1">
      <c r="A640" s="17"/>
      <c r="M640" s="18"/>
    </row>
    <row r="641" spans="1:13" ht="14.25" customHeight="1">
      <c r="A641" s="17"/>
      <c r="M641" s="18"/>
    </row>
    <row r="642" spans="1:13" ht="14.25" customHeight="1">
      <c r="A642" s="17"/>
      <c r="M642" s="18"/>
    </row>
    <row r="643" spans="1:13" ht="14.25" customHeight="1">
      <c r="A643" s="17"/>
      <c r="M643" s="18"/>
    </row>
    <row r="644" spans="1:13" ht="14.25" customHeight="1">
      <c r="A644" s="17"/>
      <c r="M644" s="18"/>
    </row>
    <row r="645" spans="1:13" ht="14.25" customHeight="1">
      <c r="A645" s="17"/>
      <c r="M645" s="18"/>
    </row>
    <row r="646" spans="1:13" ht="14.25" customHeight="1">
      <c r="A646" s="17"/>
      <c r="M646" s="18"/>
    </row>
    <row r="647" spans="1:13" ht="14.25" customHeight="1">
      <c r="A647" s="17"/>
      <c r="M647" s="18"/>
    </row>
    <row r="648" spans="1:13" ht="14.25" customHeight="1">
      <c r="A648" s="17"/>
      <c r="M648" s="18"/>
    </row>
    <row r="649" spans="1:13" ht="14.25" customHeight="1">
      <c r="A649" s="17"/>
      <c r="M649" s="18"/>
    </row>
    <row r="650" spans="1:13" ht="14.25" customHeight="1">
      <c r="A650" s="17"/>
      <c r="M650" s="18"/>
    </row>
    <row r="651" spans="1:13" ht="14.25" customHeight="1">
      <c r="A651" s="17"/>
      <c r="M651" s="18"/>
    </row>
    <row r="652" spans="1:13" ht="14.25" customHeight="1">
      <c r="A652" s="17"/>
      <c r="M652" s="18"/>
    </row>
    <row r="653" spans="1:13" ht="14.25" customHeight="1">
      <c r="A653" s="17"/>
      <c r="M653" s="18"/>
    </row>
    <row r="654" spans="1:13" ht="14.25" customHeight="1">
      <c r="A654" s="17"/>
      <c r="M654" s="18"/>
    </row>
    <row r="655" spans="1:13" ht="14.25" customHeight="1">
      <c r="A655" s="17"/>
      <c r="M655" s="18"/>
    </row>
    <row r="656" spans="1:13" ht="14.25" customHeight="1">
      <c r="A656" s="17"/>
      <c r="M656" s="18"/>
    </row>
    <row r="657" spans="1:13" ht="14.25" customHeight="1">
      <c r="A657" s="17"/>
      <c r="M657" s="18"/>
    </row>
    <row r="658" spans="1:13" ht="14.25" customHeight="1">
      <c r="A658" s="17"/>
      <c r="M658" s="18"/>
    </row>
    <row r="659" spans="1:13" ht="14.25" customHeight="1">
      <c r="A659" s="17"/>
      <c r="M659" s="18"/>
    </row>
    <row r="660" spans="1:13" ht="14.25" customHeight="1">
      <c r="A660" s="17"/>
      <c r="M660" s="18"/>
    </row>
    <row r="661" spans="1:13" ht="14.25" customHeight="1">
      <c r="A661" s="17"/>
      <c r="M661" s="18"/>
    </row>
    <row r="662" spans="1:13" ht="14.25" customHeight="1">
      <c r="A662" s="17"/>
      <c r="M662" s="18"/>
    </row>
    <row r="663" spans="1:13" ht="14.25" customHeight="1">
      <c r="A663" s="17"/>
      <c r="M663" s="18"/>
    </row>
    <row r="664" spans="1:13" ht="14.25" customHeight="1">
      <c r="A664" s="17"/>
      <c r="M664" s="18"/>
    </row>
    <row r="665" spans="1:13" ht="14.25" customHeight="1">
      <c r="A665" s="17"/>
      <c r="M665" s="18"/>
    </row>
    <row r="666" spans="1:13" ht="14.25" customHeight="1">
      <c r="A666" s="17"/>
      <c r="M666" s="18"/>
    </row>
    <row r="667" spans="1:13" ht="14.25" customHeight="1">
      <c r="A667" s="17"/>
      <c r="M667" s="18"/>
    </row>
    <row r="668" spans="1:13" ht="14.25" customHeight="1">
      <c r="A668" s="17"/>
      <c r="M668" s="18"/>
    </row>
    <row r="669" spans="1:13" ht="14.25" customHeight="1">
      <c r="A669" s="17"/>
      <c r="M669" s="18"/>
    </row>
    <row r="670" spans="1:13" ht="14.25" customHeight="1">
      <c r="A670" s="17"/>
      <c r="M670" s="18"/>
    </row>
    <row r="671" spans="1:13" ht="14.25" customHeight="1">
      <c r="A671" s="17"/>
      <c r="M671" s="18"/>
    </row>
    <row r="672" spans="1:13" ht="14.25" customHeight="1">
      <c r="A672" s="17"/>
      <c r="M672" s="18"/>
    </row>
    <row r="673" spans="1:13" ht="14.25" customHeight="1">
      <c r="A673" s="17"/>
      <c r="M673" s="18"/>
    </row>
    <row r="674" spans="1:13" ht="14.25" customHeight="1">
      <c r="A674" s="17"/>
      <c r="M674" s="18"/>
    </row>
    <row r="675" spans="1:13" ht="14.25" customHeight="1">
      <c r="A675" s="17"/>
      <c r="M675" s="18"/>
    </row>
    <row r="676" spans="1:13" ht="14.25" customHeight="1">
      <c r="A676" s="17"/>
      <c r="M676" s="18"/>
    </row>
    <row r="677" spans="1:13" ht="14.25" customHeight="1">
      <c r="A677" s="17"/>
      <c r="M677" s="18"/>
    </row>
    <row r="678" spans="1:13" ht="14.25" customHeight="1">
      <c r="A678" s="17"/>
      <c r="M678" s="18"/>
    </row>
    <row r="679" spans="1:13" ht="14.25" customHeight="1">
      <c r="A679" s="17"/>
      <c r="M679" s="18"/>
    </row>
    <row r="680" spans="1:13" ht="14.25" customHeight="1">
      <c r="A680" s="17"/>
      <c r="M680" s="18"/>
    </row>
    <row r="681" spans="1:13" ht="14.25" customHeight="1">
      <c r="A681" s="17"/>
      <c r="M681" s="18"/>
    </row>
    <row r="682" spans="1:13" ht="14.25" customHeight="1">
      <c r="A682" s="17"/>
      <c r="M682" s="18"/>
    </row>
    <row r="683" spans="1:13" ht="14.25" customHeight="1">
      <c r="A683" s="17"/>
      <c r="M683" s="18"/>
    </row>
    <row r="684" spans="1:13" ht="14.25" customHeight="1">
      <c r="A684" s="17"/>
      <c r="M684" s="18"/>
    </row>
    <row r="685" spans="1:13" ht="14.25" customHeight="1">
      <c r="A685" s="17"/>
      <c r="M685" s="18"/>
    </row>
    <row r="686" spans="1:13" ht="14.25" customHeight="1">
      <c r="A686" s="17"/>
      <c r="M686" s="18"/>
    </row>
    <row r="687" spans="1:13" ht="14.25" customHeight="1">
      <c r="A687" s="17"/>
      <c r="M687" s="18"/>
    </row>
    <row r="688" spans="1:13" ht="14.25" customHeight="1">
      <c r="A688" s="17"/>
      <c r="M688" s="18"/>
    </row>
    <row r="689" spans="1:13" ht="14.25" customHeight="1">
      <c r="A689" s="17"/>
      <c r="M689" s="18"/>
    </row>
    <row r="690" spans="1:13" ht="14.25" customHeight="1">
      <c r="A690" s="17"/>
      <c r="M690" s="18"/>
    </row>
    <row r="691" spans="1:13" ht="14.25" customHeight="1">
      <c r="A691" s="17"/>
      <c r="M691" s="18"/>
    </row>
    <row r="692" spans="1:13" ht="14.25" customHeight="1">
      <c r="A692" s="17"/>
      <c r="M692" s="18"/>
    </row>
    <row r="693" spans="1:13" ht="14.25" customHeight="1">
      <c r="A693" s="17"/>
      <c r="M693" s="18"/>
    </row>
    <row r="694" spans="1:13" ht="14.25" customHeight="1">
      <c r="A694" s="17"/>
      <c r="M694" s="18"/>
    </row>
    <row r="695" spans="1:13" ht="14.25" customHeight="1">
      <c r="A695" s="17"/>
      <c r="M695" s="18"/>
    </row>
    <row r="696" spans="1:13" ht="14.25" customHeight="1">
      <c r="A696" s="17"/>
      <c r="M696" s="18"/>
    </row>
    <row r="697" spans="1:13" ht="14.25" customHeight="1">
      <c r="A697" s="17"/>
      <c r="M697" s="18"/>
    </row>
    <row r="698" spans="1:13" ht="14.25" customHeight="1">
      <c r="A698" s="17"/>
      <c r="M698" s="18"/>
    </row>
    <row r="699" spans="1:13" ht="14.25" customHeight="1">
      <c r="A699" s="17"/>
      <c r="M699" s="18"/>
    </row>
    <row r="700" spans="1:13" ht="14.25" customHeight="1">
      <c r="A700" s="17"/>
      <c r="M700" s="18"/>
    </row>
    <row r="701" spans="1:13" ht="14.25" customHeight="1">
      <c r="A701" s="17"/>
      <c r="M701" s="18"/>
    </row>
    <row r="702" spans="1:13" ht="14.25" customHeight="1">
      <c r="A702" s="17"/>
      <c r="M702" s="18"/>
    </row>
    <row r="703" spans="1:13" ht="14.25" customHeight="1">
      <c r="A703" s="17"/>
      <c r="M703" s="18"/>
    </row>
    <row r="704" spans="1:13" ht="14.25" customHeight="1">
      <c r="A704" s="17"/>
      <c r="M704" s="18"/>
    </row>
    <row r="705" spans="1:13" ht="14.25" customHeight="1">
      <c r="A705" s="17"/>
      <c r="M705" s="18"/>
    </row>
    <row r="706" spans="1:13" ht="14.25" customHeight="1">
      <c r="A706" s="17"/>
      <c r="M706" s="18"/>
    </row>
    <row r="707" spans="1:13" ht="14.25" customHeight="1">
      <c r="A707" s="17"/>
      <c r="M707" s="18"/>
    </row>
    <row r="708" spans="1:13" ht="14.25" customHeight="1">
      <c r="A708" s="17"/>
      <c r="M708" s="18"/>
    </row>
    <row r="709" spans="1:13" ht="14.25" customHeight="1">
      <c r="A709" s="17"/>
      <c r="M709" s="18"/>
    </row>
    <row r="710" spans="1:13" ht="14.25" customHeight="1">
      <c r="A710" s="17"/>
      <c r="M710" s="18"/>
    </row>
    <row r="711" spans="1:13" ht="14.25" customHeight="1">
      <c r="A711" s="17"/>
      <c r="M711" s="18"/>
    </row>
    <row r="712" spans="1:13" ht="14.25" customHeight="1">
      <c r="A712" s="17"/>
      <c r="M712" s="18"/>
    </row>
    <row r="713" spans="1:13" ht="14.25" customHeight="1">
      <c r="A713" s="17"/>
      <c r="M713" s="18"/>
    </row>
    <row r="714" spans="1:13" ht="14.25" customHeight="1">
      <c r="A714" s="17"/>
      <c r="M714" s="18"/>
    </row>
    <row r="715" spans="1:13" ht="14.25" customHeight="1">
      <c r="A715" s="17"/>
      <c r="M715" s="18"/>
    </row>
    <row r="716" spans="1:13" ht="14.25" customHeight="1">
      <c r="A716" s="17"/>
      <c r="M716" s="18"/>
    </row>
    <row r="717" spans="1:13" ht="14.25" customHeight="1">
      <c r="A717" s="17"/>
      <c r="M717" s="18"/>
    </row>
    <row r="718" spans="1:13" ht="14.25" customHeight="1">
      <c r="A718" s="17"/>
      <c r="M718" s="18"/>
    </row>
    <row r="719" spans="1:13" ht="14.25" customHeight="1">
      <c r="A719" s="17"/>
      <c r="M719" s="18"/>
    </row>
    <row r="720" spans="1:13" ht="14.25" customHeight="1">
      <c r="A720" s="17"/>
      <c r="M720" s="18"/>
    </row>
    <row r="721" spans="1:13" ht="14.25" customHeight="1">
      <c r="A721" s="17"/>
      <c r="M721" s="18"/>
    </row>
    <row r="722" spans="1:13" ht="14.25" customHeight="1">
      <c r="A722" s="17"/>
      <c r="M722" s="18"/>
    </row>
    <row r="723" spans="1:13" ht="14.25" customHeight="1">
      <c r="A723" s="17"/>
      <c r="M723" s="18"/>
    </row>
    <row r="724" spans="1:13" ht="14.25" customHeight="1">
      <c r="A724" s="17"/>
      <c r="M724" s="18"/>
    </row>
    <row r="725" spans="1:13" ht="14.25" customHeight="1">
      <c r="A725" s="17"/>
      <c r="M725" s="18"/>
    </row>
    <row r="726" spans="1:13" ht="14.25" customHeight="1">
      <c r="A726" s="17"/>
      <c r="M726" s="18"/>
    </row>
    <row r="727" spans="1:13" ht="14.25" customHeight="1">
      <c r="A727" s="17"/>
      <c r="M727" s="18"/>
    </row>
    <row r="728" spans="1:13" ht="14.25" customHeight="1">
      <c r="A728" s="17"/>
      <c r="M728" s="18"/>
    </row>
    <row r="729" spans="1:13" ht="14.25" customHeight="1">
      <c r="A729" s="17"/>
      <c r="M729" s="18"/>
    </row>
    <row r="730" spans="1:13" ht="14.25" customHeight="1">
      <c r="A730" s="17"/>
      <c r="M730" s="18"/>
    </row>
    <row r="731" spans="1:13" ht="14.25" customHeight="1">
      <c r="A731" s="17"/>
      <c r="M731" s="18"/>
    </row>
    <row r="732" spans="1:13" ht="14.25" customHeight="1">
      <c r="A732" s="17"/>
      <c r="M732" s="18"/>
    </row>
    <row r="733" spans="1:13" ht="14.25" customHeight="1">
      <c r="A733" s="17"/>
      <c r="M733" s="18"/>
    </row>
    <row r="734" spans="1:13" ht="14.25" customHeight="1">
      <c r="A734" s="17"/>
      <c r="M734" s="18"/>
    </row>
    <row r="735" spans="1:13" ht="14.25" customHeight="1">
      <c r="A735" s="17"/>
      <c r="M735" s="18"/>
    </row>
    <row r="736" spans="1:13" ht="14.25" customHeight="1">
      <c r="A736" s="17"/>
      <c r="M736" s="18"/>
    </row>
    <row r="737" spans="1:13" ht="14.25" customHeight="1">
      <c r="A737" s="17"/>
      <c r="M737" s="18"/>
    </row>
    <row r="738" spans="1:13" ht="14.25" customHeight="1">
      <c r="A738" s="17"/>
      <c r="M738" s="18"/>
    </row>
    <row r="739" spans="1:13" ht="14.25" customHeight="1">
      <c r="A739" s="17"/>
      <c r="M739" s="18"/>
    </row>
    <row r="740" spans="1:13" ht="14.25" customHeight="1">
      <c r="A740" s="17"/>
      <c r="M740" s="18"/>
    </row>
    <row r="741" spans="1:13" ht="14.25" customHeight="1">
      <c r="A741" s="17"/>
      <c r="M741" s="18"/>
    </row>
    <row r="742" spans="1:13" ht="14.25" customHeight="1">
      <c r="A742" s="17"/>
      <c r="M742" s="18"/>
    </row>
    <row r="743" spans="1:13" ht="14.25" customHeight="1">
      <c r="A743" s="17"/>
      <c r="M743" s="18"/>
    </row>
    <row r="744" spans="1:13" ht="14.25" customHeight="1">
      <c r="A744" s="17"/>
      <c r="M744" s="18"/>
    </row>
    <row r="745" spans="1:13" ht="14.25" customHeight="1">
      <c r="A745" s="17"/>
      <c r="M745" s="18"/>
    </row>
    <row r="746" spans="1:13" ht="14.25" customHeight="1">
      <c r="A746" s="17"/>
      <c r="M746" s="18"/>
    </row>
    <row r="747" spans="1:13" ht="14.25" customHeight="1">
      <c r="A747" s="17"/>
      <c r="M747" s="18"/>
    </row>
    <row r="748" spans="1:13" ht="14.25" customHeight="1">
      <c r="A748" s="17"/>
      <c r="M748" s="18"/>
    </row>
    <row r="749" spans="1:13" ht="14.25" customHeight="1">
      <c r="A749" s="17"/>
      <c r="M749" s="18"/>
    </row>
    <row r="750" spans="1:13" ht="14.25" customHeight="1">
      <c r="A750" s="17"/>
      <c r="M750" s="18"/>
    </row>
    <row r="751" spans="1:13" ht="14.25" customHeight="1">
      <c r="A751" s="17"/>
      <c r="M751" s="18"/>
    </row>
    <row r="752" spans="1:13" ht="14.25" customHeight="1">
      <c r="A752" s="17"/>
      <c r="M752" s="18"/>
    </row>
    <row r="753" spans="1:13" ht="14.25" customHeight="1">
      <c r="A753" s="17"/>
      <c r="M753" s="18"/>
    </row>
    <row r="754" spans="1:13" ht="14.25" customHeight="1">
      <c r="A754" s="17"/>
      <c r="M754" s="18"/>
    </row>
    <row r="755" spans="1:13" ht="14.25" customHeight="1">
      <c r="A755" s="17"/>
      <c r="M755" s="18"/>
    </row>
    <row r="756" spans="1:13" ht="14.25" customHeight="1">
      <c r="A756" s="17"/>
      <c r="M756" s="18"/>
    </row>
    <row r="757" spans="1:13" ht="14.25" customHeight="1">
      <c r="A757" s="17"/>
      <c r="M757" s="18"/>
    </row>
    <row r="758" spans="1:13" ht="14.25" customHeight="1">
      <c r="A758" s="17"/>
      <c r="M758" s="18"/>
    </row>
    <row r="759" spans="1:13" ht="14.25" customHeight="1">
      <c r="A759" s="17"/>
      <c r="M759" s="18"/>
    </row>
    <row r="760" spans="1:13" ht="14.25" customHeight="1">
      <c r="A760" s="17"/>
      <c r="M760" s="18"/>
    </row>
    <row r="761" spans="1:13" ht="14.25" customHeight="1">
      <c r="A761" s="17"/>
      <c r="M761" s="18"/>
    </row>
    <row r="762" spans="1:13" ht="14.25" customHeight="1">
      <c r="A762" s="17"/>
      <c r="M762" s="18"/>
    </row>
    <row r="763" spans="1:13" ht="14.25" customHeight="1">
      <c r="A763" s="17"/>
      <c r="M763" s="18"/>
    </row>
    <row r="764" spans="1:13" ht="14.25" customHeight="1">
      <c r="A764" s="17"/>
      <c r="M764" s="18"/>
    </row>
    <row r="765" spans="1:13" ht="14.25" customHeight="1">
      <c r="A765" s="17"/>
      <c r="M765" s="18"/>
    </row>
    <row r="766" spans="1:13" ht="14.25" customHeight="1">
      <c r="A766" s="17"/>
      <c r="M766" s="18"/>
    </row>
    <row r="767" spans="1:13" ht="14.25" customHeight="1">
      <c r="A767" s="17"/>
      <c r="M767" s="18"/>
    </row>
    <row r="768" spans="1:13" ht="14.25" customHeight="1">
      <c r="A768" s="17"/>
      <c r="M768" s="18"/>
    </row>
    <row r="769" spans="1:13" ht="14.25" customHeight="1">
      <c r="A769" s="17"/>
      <c r="M769" s="18"/>
    </row>
    <row r="770" spans="1:13" ht="14.25" customHeight="1">
      <c r="A770" s="17"/>
      <c r="M770" s="18"/>
    </row>
    <row r="771" spans="1:13" ht="14.25" customHeight="1">
      <c r="A771" s="17"/>
      <c r="M771" s="18"/>
    </row>
    <row r="772" spans="1:13" ht="14.25" customHeight="1">
      <c r="A772" s="17"/>
      <c r="M772" s="18"/>
    </row>
    <row r="773" spans="1:13" ht="14.25" customHeight="1">
      <c r="A773" s="17"/>
      <c r="M773" s="18"/>
    </row>
    <row r="774" spans="1:13" ht="14.25" customHeight="1">
      <c r="A774" s="17"/>
      <c r="M774" s="18"/>
    </row>
    <row r="775" spans="1:13" ht="14.25" customHeight="1">
      <c r="A775" s="17"/>
      <c r="M775" s="18"/>
    </row>
    <row r="776" spans="1:13" ht="14.25" customHeight="1">
      <c r="A776" s="17"/>
      <c r="M776" s="18"/>
    </row>
    <row r="777" spans="1:13" ht="14.25" customHeight="1">
      <c r="A777" s="17"/>
      <c r="M777" s="18"/>
    </row>
    <row r="778" spans="1:13" ht="14.25" customHeight="1">
      <c r="A778" s="17"/>
      <c r="M778" s="18"/>
    </row>
    <row r="779" spans="1:13" ht="14.25" customHeight="1">
      <c r="A779" s="17"/>
      <c r="M779" s="18"/>
    </row>
    <row r="780" spans="1:13" ht="14.25" customHeight="1">
      <c r="A780" s="17"/>
      <c r="M780" s="18"/>
    </row>
    <row r="781" spans="1:13" ht="14.25" customHeight="1">
      <c r="A781" s="17"/>
      <c r="M781" s="18"/>
    </row>
    <row r="782" spans="1:13" ht="14.25" customHeight="1">
      <c r="A782" s="17"/>
      <c r="M782" s="18"/>
    </row>
    <row r="783" spans="1:13" ht="14.25" customHeight="1">
      <c r="A783" s="17"/>
      <c r="M783" s="18"/>
    </row>
    <row r="784" spans="1:13" ht="14.25" customHeight="1">
      <c r="A784" s="17"/>
      <c r="M784" s="18"/>
    </row>
    <row r="785" spans="1:13" ht="14.25" customHeight="1">
      <c r="A785" s="17"/>
      <c r="M785" s="18"/>
    </row>
    <row r="786" spans="1:13" ht="14.25" customHeight="1">
      <c r="A786" s="17"/>
      <c r="M786" s="18"/>
    </row>
    <row r="787" spans="1:13" ht="14.25" customHeight="1">
      <c r="A787" s="17"/>
      <c r="M787" s="18"/>
    </row>
    <row r="788" spans="1:13" ht="14.25" customHeight="1">
      <c r="A788" s="17"/>
      <c r="M788" s="18"/>
    </row>
    <row r="789" spans="1:13" ht="14.25" customHeight="1">
      <c r="A789" s="17"/>
      <c r="M789" s="18"/>
    </row>
    <row r="790" spans="1:13" ht="14.25" customHeight="1">
      <c r="A790" s="17"/>
      <c r="M790" s="18"/>
    </row>
    <row r="791" spans="1:13" ht="14.25" customHeight="1">
      <c r="A791" s="17"/>
      <c r="M791" s="18"/>
    </row>
    <row r="792" spans="1:13" ht="14.25" customHeight="1">
      <c r="A792" s="17"/>
      <c r="M792" s="18"/>
    </row>
    <row r="793" spans="1:13" ht="14.25" customHeight="1">
      <c r="A793" s="17"/>
      <c r="M793" s="18"/>
    </row>
    <row r="794" spans="1:13" ht="14.25" customHeight="1">
      <c r="A794" s="17"/>
      <c r="M794" s="18"/>
    </row>
    <row r="795" spans="1:13" ht="14.25" customHeight="1">
      <c r="A795" s="17"/>
      <c r="M795" s="18"/>
    </row>
    <row r="796" spans="1:13" ht="14.25" customHeight="1">
      <c r="A796" s="17"/>
      <c r="M796" s="18"/>
    </row>
    <row r="797" spans="1:13" ht="14.25" customHeight="1">
      <c r="A797" s="17"/>
      <c r="M797" s="18"/>
    </row>
    <row r="798" spans="1:13" ht="14.25" customHeight="1">
      <c r="A798" s="17"/>
      <c r="M798" s="18"/>
    </row>
    <row r="799" spans="1:13" ht="14.25" customHeight="1">
      <c r="A799" s="17"/>
      <c r="M799" s="18"/>
    </row>
    <row r="800" spans="1:13" ht="14.25" customHeight="1">
      <c r="A800" s="17"/>
      <c r="M800" s="18"/>
    </row>
    <row r="801" spans="1:13" ht="14.25" customHeight="1">
      <c r="A801" s="17"/>
      <c r="M801" s="18"/>
    </row>
    <row r="802" spans="1:13" ht="14.25" customHeight="1">
      <c r="A802" s="17"/>
      <c r="M802" s="18"/>
    </row>
    <row r="803" spans="1:13" ht="14.25" customHeight="1">
      <c r="A803" s="17"/>
      <c r="M803" s="18"/>
    </row>
    <row r="804" spans="1:13" ht="14.25" customHeight="1">
      <c r="A804" s="17"/>
      <c r="M804" s="18"/>
    </row>
    <row r="805" spans="1:13" ht="14.25" customHeight="1">
      <c r="A805" s="17"/>
      <c r="M805" s="18"/>
    </row>
    <row r="806" spans="1:13" ht="14.25" customHeight="1">
      <c r="A806" s="17"/>
      <c r="M806" s="18"/>
    </row>
    <row r="807" spans="1:13" ht="14.25" customHeight="1">
      <c r="A807" s="17"/>
      <c r="M807" s="18"/>
    </row>
    <row r="808" spans="1:13" ht="14.25" customHeight="1">
      <c r="A808" s="17"/>
      <c r="M808" s="18"/>
    </row>
    <row r="809" spans="1:13" ht="14.25" customHeight="1">
      <c r="A809" s="17"/>
      <c r="M809" s="18"/>
    </row>
    <row r="810" spans="1:13" ht="14.25" customHeight="1">
      <c r="A810" s="17"/>
      <c r="M810" s="18"/>
    </row>
    <row r="811" spans="1:13" ht="14.25" customHeight="1">
      <c r="A811" s="17"/>
      <c r="M811" s="18"/>
    </row>
    <row r="812" spans="1:13" ht="14.25" customHeight="1">
      <c r="A812" s="17"/>
      <c r="M812" s="18"/>
    </row>
    <row r="813" spans="1:13" ht="14.25" customHeight="1">
      <c r="A813" s="17"/>
      <c r="M813" s="18"/>
    </row>
    <row r="814" spans="1:13" ht="14.25" customHeight="1">
      <c r="A814" s="17"/>
      <c r="M814" s="18"/>
    </row>
    <row r="815" spans="1:13" ht="14.25" customHeight="1">
      <c r="A815" s="17"/>
      <c r="M815" s="18"/>
    </row>
    <row r="816" spans="1:13" ht="14.25" customHeight="1">
      <c r="A816" s="17"/>
      <c r="M816" s="18"/>
    </row>
    <row r="817" spans="1:13" ht="14.25" customHeight="1">
      <c r="A817" s="17"/>
      <c r="M817" s="18"/>
    </row>
    <row r="818" spans="1:13" ht="14.25" customHeight="1">
      <c r="A818" s="17"/>
      <c r="M818" s="18"/>
    </row>
    <row r="819" spans="1:13" ht="14.25" customHeight="1">
      <c r="A819" s="17"/>
      <c r="M819" s="18"/>
    </row>
    <row r="820" spans="1:13" ht="14.25" customHeight="1">
      <c r="A820" s="17"/>
      <c r="M820" s="18"/>
    </row>
    <row r="821" spans="1:13" ht="14.25" customHeight="1">
      <c r="A821" s="17"/>
      <c r="M821" s="18"/>
    </row>
    <row r="822" spans="1:13" ht="14.25" customHeight="1">
      <c r="A822" s="17"/>
      <c r="M822" s="18"/>
    </row>
    <row r="823" spans="1:13" ht="14.25" customHeight="1">
      <c r="A823" s="17"/>
      <c r="M823" s="18"/>
    </row>
    <row r="824" spans="1:13" ht="14.25" customHeight="1">
      <c r="A824" s="17"/>
      <c r="M824" s="18"/>
    </row>
    <row r="825" spans="1:13" ht="14.25" customHeight="1">
      <c r="A825" s="17"/>
      <c r="M825" s="18"/>
    </row>
    <row r="826" spans="1:13" ht="14.25" customHeight="1">
      <c r="A826" s="17"/>
      <c r="M826" s="18"/>
    </row>
    <row r="827" spans="1:13" ht="14.25" customHeight="1">
      <c r="A827" s="17"/>
      <c r="M827" s="18"/>
    </row>
    <row r="828" spans="1:13" ht="14.25" customHeight="1">
      <c r="A828" s="17"/>
      <c r="M828" s="18"/>
    </row>
    <row r="829" spans="1:13" ht="14.25" customHeight="1">
      <c r="A829" s="17"/>
      <c r="M829" s="18"/>
    </row>
    <row r="830" spans="1:13" ht="14.25" customHeight="1">
      <c r="A830" s="17"/>
      <c r="M830" s="18"/>
    </row>
    <row r="831" spans="1:13" ht="14.25" customHeight="1">
      <c r="A831" s="17"/>
      <c r="M831" s="18"/>
    </row>
    <row r="832" spans="1:13" ht="14.25" customHeight="1">
      <c r="A832" s="17"/>
      <c r="M832" s="18"/>
    </row>
    <row r="833" spans="1:13" ht="14.25" customHeight="1">
      <c r="A833" s="17"/>
      <c r="M833" s="18"/>
    </row>
    <row r="834" spans="1:13" ht="14.25" customHeight="1">
      <c r="A834" s="17"/>
      <c r="M834" s="18"/>
    </row>
    <row r="835" spans="1:13" ht="14.25" customHeight="1">
      <c r="A835" s="17"/>
      <c r="M835" s="18"/>
    </row>
    <row r="836" spans="1:13" ht="14.25" customHeight="1">
      <c r="A836" s="17"/>
      <c r="M836" s="18"/>
    </row>
    <row r="837" spans="1:13" ht="14.25" customHeight="1">
      <c r="A837" s="17"/>
      <c r="M837" s="18"/>
    </row>
    <row r="838" spans="1:13" ht="14.25" customHeight="1">
      <c r="A838" s="17"/>
      <c r="M838" s="18"/>
    </row>
    <row r="839" spans="1:13" ht="14.25" customHeight="1">
      <c r="A839" s="17"/>
      <c r="M839" s="18"/>
    </row>
    <row r="840" spans="1:13" ht="14.25" customHeight="1">
      <c r="A840" s="17"/>
      <c r="M840" s="18"/>
    </row>
    <row r="841" spans="1:13" ht="14.25" customHeight="1">
      <c r="A841" s="17"/>
      <c r="M841" s="18"/>
    </row>
    <row r="842" spans="1:13" ht="14.25" customHeight="1">
      <c r="A842" s="17"/>
      <c r="M842" s="18"/>
    </row>
    <row r="843" spans="1:13" ht="14.25" customHeight="1">
      <c r="A843" s="17"/>
      <c r="M843" s="18"/>
    </row>
    <row r="844" spans="1:13" ht="14.25" customHeight="1">
      <c r="A844" s="17"/>
      <c r="M844" s="18"/>
    </row>
    <row r="845" spans="1:13" ht="14.25" customHeight="1">
      <c r="A845" s="17"/>
      <c r="M845" s="18"/>
    </row>
    <row r="846" spans="1:13" ht="14.25" customHeight="1">
      <c r="A846" s="17"/>
      <c r="M846" s="18"/>
    </row>
    <row r="847" spans="1:13" ht="14.25" customHeight="1">
      <c r="A847" s="17"/>
      <c r="M847" s="18"/>
    </row>
    <row r="848" spans="1:13" ht="14.25" customHeight="1">
      <c r="A848" s="17"/>
      <c r="M848" s="18"/>
    </row>
    <row r="849" spans="1:13" ht="14.25" customHeight="1">
      <c r="A849" s="17"/>
      <c r="M849" s="18"/>
    </row>
    <row r="850" spans="1:13" ht="14.25" customHeight="1">
      <c r="A850" s="17"/>
      <c r="M850" s="18"/>
    </row>
    <row r="851" spans="1:13" ht="14.25" customHeight="1">
      <c r="A851" s="17"/>
      <c r="M851" s="18"/>
    </row>
    <row r="852" spans="1:13" ht="14.25" customHeight="1">
      <c r="A852" s="17"/>
      <c r="M852" s="18"/>
    </row>
    <row r="853" spans="1:13" ht="14.25" customHeight="1">
      <c r="A853" s="17"/>
      <c r="M853" s="18"/>
    </row>
    <row r="854" spans="1:13" ht="14.25" customHeight="1">
      <c r="A854" s="17"/>
      <c r="M854" s="18"/>
    </row>
    <row r="855" spans="1:13" ht="14.25" customHeight="1">
      <c r="A855" s="17"/>
      <c r="M855" s="18"/>
    </row>
    <row r="856" spans="1:13" ht="14.25" customHeight="1">
      <c r="A856" s="17"/>
      <c r="M856" s="18"/>
    </row>
    <row r="857" spans="1:13" ht="14.25" customHeight="1">
      <c r="A857" s="17"/>
      <c r="M857" s="18"/>
    </row>
    <row r="858" spans="1:13" ht="14.25" customHeight="1">
      <c r="A858" s="17"/>
      <c r="M858" s="18"/>
    </row>
    <row r="859" spans="1:13" ht="14.25" customHeight="1">
      <c r="A859" s="17"/>
      <c r="M859" s="18"/>
    </row>
    <row r="860" spans="1:13" ht="14.25" customHeight="1">
      <c r="A860" s="17"/>
      <c r="M860" s="18"/>
    </row>
    <row r="861" spans="1:13" ht="14.25" customHeight="1">
      <c r="A861" s="17"/>
      <c r="M861" s="18"/>
    </row>
    <row r="862" spans="1:13" ht="14.25" customHeight="1">
      <c r="A862" s="17"/>
      <c r="M862" s="18"/>
    </row>
    <row r="863" spans="1:13" ht="14.25" customHeight="1">
      <c r="A863" s="17"/>
      <c r="M863" s="18"/>
    </row>
    <row r="864" spans="1:13" ht="14.25" customHeight="1">
      <c r="A864" s="17"/>
      <c r="M864" s="18"/>
    </row>
    <row r="865" spans="1:13" ht="14.25" customHeight="1">
      <c r="A865" s="17"/>
      <c r="M865" s="18"/>
    </row>
    <row r="866" spans="1:13" ht="14.25" customHeight="1">
      <c r="A866" s="17"/>
      <c r="M866" s="18"/>
    </row>
    <row r="867" spans="1:13" ht="14.25" customHeight="1">
      <c r="A867" s="17"/>
      <c r="M867" s="18"/>
    </row>
    <row r="868" spans="1:13" ht="14.25" customHeight="1">
      <c r="A868" s="17"/>
      <c r="M868" s="18"/>
    </row>
    <row r="869" spans="1:13" ht="14.25" customHeight="1">
      <c r="A869" s="17"/>
      <c r="M869" s="18"/>
    </row>
    <row r="870" spans="1:13" ht="14.25" customHeight="1">
      <c r="A870" s="17"/>
      <c r="M870" s="18"/>
    </row>
    <row r="871" spans="1:13" ht="14.25" customHeight="1">
      <c r="A871" s="17"/>
      <c r="M871" s="18"/>
    </row>
    <row r="872" spans="1:13" ht="14.25" customHeight="1">
      <c r="A872" s="17"/>
      <c r="M872" s="18"/>
    </row>
    <row r="873" spans="1:13" ht="14.25" customHeight="1">
      <c r="A873" s="17"/>
      <c r="M873" s="18"/>
    </row>
    <row r="874" spans="1:13" ht="14.25" customHeight="1">
      <c r="A874" s="17"/>
      <c r="M874" s="18"/>
    </row>
    <row r="875" spans="1:13" ht="14.25" customHeight="1">
      <c r="A875" s="17"/>
      <c r="M875" s="18"/>
    </row>
    <row r="876" spans="1:13" ht="14.25" customHeight="1">
      <c r="A876" s="17"/>
      <c r="M876" s="18"/>
    </row>
    <row r="877" spans="1:13" ht="14.25" customHeight="1">
      <c r="A877" s="17"/>
      <c r="M877" s="18"/>
    </row>
    <row r="878" spans="1:13" ht="14.25" customHeight="1">
      <c r="A878" s="17"/>
      <c r="M878" s="18"/>
    </row>
    <row r="879" spans="1:13" ht="14.25" customHeight="1">
      <c r="A879" s="17"/>
      <c r="M879" s="18"/>
    </row>
    <row r="880" spans="1:13" ht="14.25" customHeight="1">
      <c r="A880" s="17"/>
      <c r="M880" s="18"/>
    </row>
    <row r="881" spans="1:13" ht="14.25" customHeight="1">
      <c r="A881" s="17"/>
      <c r="M881" s="18"/>
    </row>
    <row r="882" spans="1:13" ht="14.25" customHeight="1">
      <c r="A882" s="17"/>
      <c r="M882" s="18"/>
    </row>
    <row r="883" spans="1:13" ht="14.25" customHeight="1">
      <c r="A883" s="17"/>
      <c r="M883" s="18"/>
    </row>
    <row r="884" spans="1:13" ht="14.25" customHeight="1">
      <c r="A884" s="17"/>
      <c r="M884" s="18"/>
    </row>
    <row r="885" spans="1:13" ht="14.25" customHeight="1">
      <c r="A885" s="17"/>
      <c r="M885" s="18"/>
    </row>
    <row r="886" spans="1:13" ht="14.25" customHeight="1">
      <c r="A886" s="17"/>
      <c r="M886" s="18"/>
    </row>
    <row r="887" spans="1:13" ht="14.25" customHeight="1">
      <c r="A887" s="17"/>
      <c r="M887" s="18"/>
    </row>
    <row r="888" spans="1:13" ht="14.25" customHeight="1">
      <c r="A888" s="17"/>
      <c r="M888" s="18"/>
    </row>
    <row r="889" spans="1:13" ht="14.25" customHeight="1">
      <c r="A889" s="17"/>
      <c r="M889" s="18"/>
    </row>
    <row r="890" spans="1:13" ht="14.25" customHeight="1">
      <c r="A890" s="17"/>
      <c r="M890" s="18"/>
    </row>
    <row r="891" spans="1:13" ht="14.25" customHeight="1">
      <c r="A891" s="17"/>
      <c r="M891" s="18"/>
    </row>
    <row r="892" spans="1:13" ht="14.25" customHeight="1">
      <c r="A892" s="17"/>
      <c r="M892" s="18"/>
    </row>
    <row r="893" spans="1:13" ht="14.25" customHeight="1">
      <c r="A893" s="17"/>
      <c r="M893" s="18"/>
    </row>
    <row r="894" spans="1:13" ht="14.25" customHeight="1">
      <c r="A894" s="17"/>
      <c r="M894" s="18"/>
    </row>
    <row r="895" spans="1:13" ht="14.25" customHeight="1">
      <c r="A895" s="17"/>
      <c r="M895" s="18"/>
    </row>
    <row r="896" spans="1:13" ht="14.25" customHeight="1">
      <c r="A896" s="17"/>
      <c r="M896" s="18"/>
    </row>
    <row r="897" spans="1:13" ht="14.25" customHeight="1">
      <c r="A897" s="17"/>
      <c r="M897" s="18"/>
    </row>
    <row r="898" spans="1:13" ht="14.25" customHeight="1">
      <c r="A898" s="17"/>
      <c r="M898" s="18"/>
    </row>
    <row r="899" spans="1:13" ht="14.25" customHeight="1">
      <c r="A899" s="17"/>
      <c r="M899" s="18"/>
    </row>
    <row r="900" spans="1:13" ht="14.25" customHeight="1">
      <c r="A900" s="17"/>
      <c r="M900" s="18"/>
    </row>
    <row r="901" spans="1:13" ht="14.25" customHeight="1">
      <c r="A901" s="17"/>
      <c r="M901" s="18"/>
    </row>
    <row r="902" spans="1:13" ht="14.25" customHeight="1">
      <c r="A902" s="17"/>
      <c r="M902" s="18"/>
    </row>
    <row r="903" spans="1:13" ht="14.25" customHeight="1">
      <c r="A903" s="17"/>
      <c r="M903" s="18"/>
    </row>
    <row r="904" spans="1:13" ht="14.25" customHeight="1">
      <c r="A904" s="17"/>
      <c r="M904" s="18"/>
    </row>
    <row r="905" spans="1:13" ht="14.25" customHeight="1">
      <c r="A905" s="17"/>
      <c r="M905" s="18"/>
    </row>
    <row r="906" spans="1:13" ht="14.25" customHeight="1">
      <c r="A906" s="17"/>
      <c r="M906" s="18"/>
    </row>
    <row r="907" spans="1:13" ht="14.25" customHeight="1">
      <c r="A907" s="17"/>
      <c r="M907" s="18"/>
    </row>
    <row r="908" spans="1:13" ht="14.25" customHeight="1">
      <c r="A908" s="17"/>
      <c r="M908" s="18"/>
    </row>
    <row r="909" spans="1:13" ht="14.25" customHeight="1">
      <c r="A909" s="17"/>
      <c r="M909" s="18"/>
    </row>
    <row r="910" spans="1:13" ht="14.25" customHeight="1">
      <c r="A910" s="17"/>
      <c r="M910" s="18"/>
    </row>
    <row r="911" spans="1:13" ht="14.25" customHeight="1">
      <c r="A911" s="17"/>
      <c r="M911" s="18"/>
    </row>
    <row r="912" spans="1:13" ht="14.25" customHeight="1">
      <c r="A912" s="17"/>
      <c r="M912" s="18"/>
    </row>
    <row r="913" spans="1:13" ht="14.25" customHeight="1">
      <c r="A913" s="17"/>
      <c r="M913" s="18"/>
    </row>
    <row r="914" spans="1:13" ht="14.25" customHeight="1">
      <c r="A914" s="17"/>
      <c r="M914" s="18"/>
    </row>
    <row r="915" spans="1:13" ht="14.25" customHeight="1">
      <c r="A915" s="17"/>
      <c r="M915" s="18"/>
    </row>
    <row r="916" spans="1:13" ht="14.25" customHeight="1">
      <c r="A916" s="17"/>
      <c r="M916" s="18"/>
    </row>
    <row r="917" spans="1:13" ht="14.25" customHeight="1">
      <c r="A917" s="17"/>
      <c r="M917" s="18"/>
    </row>
    <row r="918" spans="1:13" ht="14.25" customHeight="1">
      <c r="A918" s="17"/>
      <c r="M918" s="18"/>
    </row>
    <row r="919" spans="1:13" ht="14.25" customHeight="1">
      <c r="A919" s="17"/>
      <c r="M919" s="18"/>
    </row>
    <row r="920" spans="1:13" ht="14.25" customHeight="1">
      <c r="A920" s="17"/>
      <c r="M920" s="18"/>
    </row>
    <row r="921" spans="1:13" ht="14.25" customHeight="1">
      <c r="A921" s="17"/>
      <c r="M921" s="18"/>
    </row>
    <row r="922" spans="1:13" ht="14.25" customHeight="1">
      <c r="A922" s="17"/>
      <c r="M922" s="18"/>
    </row>
    <row r="923" spans="1:13" ht="14.25" customHeight="1">
      <c r="A923" s="17"/>
      <c r="M923" s="18"/>
    </row>
    <row r="924" spans="1:13" ht="14.25" customHeight="1">
      <c r="A924" s="17"/>
      <c r="M924" s="18"/>
    </row>
    <row r="925" spans="1:13" ht="14.25" customHeight="1">
      <c r="A925" s="17"/>
      <c r="M925" s="18"/>
    </row>
    <row r="926" spans="1:13" ht="14.25" customHeight="1">
      <c r="A926" s="17"/>
      <c r="M926" s="18"/>
    </row>
    <row r="927" spans="1:13" ht="14.25" customHeight="1">
      <c r="A927" s="17"/>
      <c r="M927" s="18"/>
    </row>
    <row r="928" spans="1:13" ht="14.25" customHeight="1">
      <c r="A928" s="17"/>
      <c r="M928" s="18"/>
    </row>
    <row r="929" spans="1:13" ht="14.25" customHeight="1">
      <c r="A929" s="17"/>
      <c r="M929" s="18"/>
    </row>
    <row r="930" spans="1:13" ht="14.25" customHeight="1">
      <c r="A930" s="17"/>
      <c r="M930" s="18"/>
    </row>
    <row r="931" spans="1:13" ht="14.25" customHeight="1">
      <c r="A931" s="17"/>
      <c r="M931" s="18"/>
    </row>
    <row r="932" spans="1:13" ht="14.25" customHeight="1">
      <c r="A932" s="17"/>
      <c r="M932" s="18"/>
    </row>
    <row r="933" spans="1:13" ht="14.25" customHeight="1">
      <c r="A933" s="17"/>
      <c r="M933" s="18"/>
    </row>
    <row r="934" spans="1:13" ht="14.25" customHeight="1">
      <c r="A934" s="17"/>
      <c r="M934" s="18"/>
    </row>
    <row r="935" spans="1:13" ht="14.25" customHeight="1">
      <c r="A935" s="17"/>
      <c r="M935" s="18"/>
    </row>
    <row r="936" spans="1:13" ht="14.25" customHeight="1">
      <c r="A936" s="17"/>
      <c r="M936" s="18"/>
    </row>
    <row r="937" spans="1:13" ht="14.25" customHeight="1">
      <c r="A937" s="17"/>
      <c r="M937" s="18"/>
    </row>
    <row r="938" spans="1:13" ht="14.25" customHeight="1">
      <c r="A938" s="17"/>
      <c r="M938" s="18"/>
    </row>
    <row r="939" spans="1:13" ht="14.25" customHeight="1">
      <c r="A939" s="17"/>
      <c r="M939" s="18"/>
    </row>
    <row r="940" spans="1:13" ht="14.25" customHeight="1">
      <c r="A940" s="17"/>
      <c r="M940" s="18"/>
    </row>
    <row r="941" spans="1:13" ht="14.25" customHeight="1">
      <c r="A941" s="17"/>
      <c r="M941" s="18"/>
    </row>
    <row r="942" spans="1:13" ht="14.25" customHeight="1">
      <c r="A942" s="17"/>
      <c r="M942" s="18"/>
    </row>
    <row r="943" spans="1:13" ht="14.25" customHeight="1">
      <c r="A943" s="17"/>
      <c r="M943" s="18"/>
    </row>
    <row r="944" spans="1:13" ht="14.25" customHeight="1">
      <c r="A944" s="17"/>
      <c r="M944" s="18"/>
    </row>
    <row r="945" spans="1:13" ht="14.25" customHeight="1">
      <c r="A945" s="17"/>
      <c r="M945" s="18"/>
    </row>
    <row r="946" spans="1:13" ht="14.25" customHeight="1">
      <c r="A946" s="17"/>
      <c r="M946" s="18"/>
    </row>
    <row r="947" spans="1:13" ht="14.25" customHeight="1">
      <c r="A947" s="17"/>
      <c r="M947" s="18"/>
    </row>
    <row r="948" spans="1:13" ht="14.25" customHeight="1">
      <c r="A948" s="17"/>
      <c r="M948" s="18"/>
    </row>
    <row r="949" spans="1:13" ht="14.25" customHeight="1">
      <c r="A949" s="17"/>
      <c r="M949" s="18"/>
    </row>
    <row r="950" spans="1:13" ht="14.25" customHeight="1">
      <c r="A950" s="17"/>
      <c r="M950" s="18"/>
    </row>
    <row r="951" spans="1:13" ht="14.25" customHeight="1">
      <c r="A951" s="17"/>
      <c r="M951" s="18"/>
    </row>
    <row r="952" spans="1:13" ht="14.25" customHeight="1">
      <c r="A952" s="17"/>
      <c r="M952" s="18"/>
    </row>
    <row r="953" spans="1:13" ht="14.25" customHeight="1">
      <c r="A953" s="17"/>
      <c r="M953" s="18"/>
    </row>
    <row r="954" spans="1:13" ht="14.25" customHeight="1">
      <c r="A954" s="17"/>
      <c r="M954" s="18"/>
    </row>
    <row r="955" spans="1:13" ht="14.25" customHeight="1">
      <c r="A955" s="17"/>
      <c r="M955" s="18"/>
    </row>
    <row r="956" spans="1:13" ht="14.25" customHeight="1">
      <c r="A956" s="17"/>
      <c r="M956" s="18"/>
    </row>
    <row r="957" spans="1:13" ht="14.25" customHeight="1">
      <c r="A957" s="17"/>
      <c r="M957" s="18"/>
    </row>
    <row r="958" spans="1:13" ht="14.25" customHeight="1">
      <c r="A958" s="17"/>
      <c r="M958" s="18"/>
    </row>
    <row r="959" spans="1:13" ht="14.25" customHeight="1">
      <c r="A959" s="17"/>
      <c r="M959" s="18"/>
    </row>
    <row r="960" spans="1:13" ht="14.25" customHeight="1">
      <c r="A960" s="17"/>
      <c r="M960" s="18"/>
    </row>
    <row r="961" spans="1:13" ht="14.25" customHeight="1">
      <c r="A961" s="17"/>
      <c r="M961" s="18"/>
    </row>
    <row r="962" spans="1:13" ht="14.25" customHeight="1">
      <c r="A962" s="17"/>
      <c r="M962" s="18"/>
    </row>
    <row r="963" spans="1:13" ht="14.25" customHeight="1">
      <c r="A963" s="17"/>
      <c r="M963" s="18"/>
    </row>
    <row r="964" spans="1:13" ht="14.25" customHeight="1">
      <c r="A964" s="17"/>
      <c r="M964" s="18"/>
    </row>
    <row r="965" spans="1:13" ht="14.25" customHeight="1">
      <c r="A965" s="17"/>
      <c r="M965" s="18"/>
    </row>
    <row r="966" spans="1:13" ht="14.25" customHeight="1">
      <c r="A966" s="17"/>
      <c r="M966" s="18"/>
    </row>
    <row r="967" spans="1:13" ht="14.25" customHeight="1">
      <c r="A967" s="17"/>
      <c r="M967" s="18"/>
    </row>
    <row r="968" spans="1:13" ht="14.25" customHeight="1">
      <c r="A968" s="17"/>
      <c r="M968" s="18"/>
    </row>
    <row r="969" spans="1:13" ht="14.25" customHeight="1">
      <c r="A969" s="17"/>
      <c r="M969" s="18"/>
    </row>
  </sheetData>
  <conditionalFormatting sqref="S1:S1048576">
    <cfRule type="containsText" dxfId="3" priority="3" operator="containsText" text="BELUM SELESAI">
      <formula>NOT(ISERROR(SEARCH("BELUM SELESAI",S1)))</formula>
    </cfRule>
  </conditionalFormatting>
  <conditionalFormatting sqref="X1:X1048576">
    <cfRule type="containsText" dxfId="2" priority="1" operator="containsText" text="BELUM SELESAI">
      <formula>NOT(ISERROR(SEARCH("BELUM SELESAI",X1)))</formula>
    </cfRule>
  </conditionalFormatting>
  <dataValidations count="4">
    <dataValidation type="list" allowBlank="1" showErrorMessage="1" sqref="O2:P369 U2:U369" xr:uid="{00000000-0002-0000-0000-000001000000}">
      <formula1>"ACIL,KANE,THE YANI,MAMAH FAHMI,BU NANANG,KARLAN,BU ENUNG,MAMAH,KARLINA,KIKI,SITI"</formula1>
    </dataValidation>
    <dataValidation type="list" allowBlank="1" showErrorMessage="1" sqref="C2:C369" xr:uid="{00000000-0002-0000-0000-000002000000}">
      <formula1>"GOTIK,SLAYER,KUTUBARU,ROK DUYUNG,JANGGAN PANJANG"</formula1>
    </dataValidation>
    <dataValidation type="list" allowBlank="1" showErrorMessage="1" sqref="B2:B369" xr:uid="{00000000-0002-0000-0000-000004000000}">
      <formula1>"FERRY/JIMAT,FERRY/ANGGA,GILANG/JIMAT,GILANG/ANGGA"</formula1>
    </dataValidation>
    <dataValidation type="list" allowBlank="1" showErrorMessage="1" sqref="S2:S369 X2:X369" xr:uid="{5C5FC208-AED5-420D-8136-8B2A294DEEE5}">
      <formula1>"SELESAI,BELUM SELESAI"</formula1>
    </dataValidation>
  </dataValidations>
  <pageMargins left="0.7" right="0.7" top="0.75" bottom="0.75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E0D8CEE4-8DB2-4E8D-8E50-CED1AD322DC5}">
          <x14:formula1>
            <xm:f>DATA!$A$1:$A$24</xm:f>
          </x14:formula1>
          <xm:sqref>D2:D369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outlinePr summaryBelow="0" summaryRight="0"/>
  </sheetPr>
  <dimension ref="A1:P1018"/>
  <sheetViews>
    <sheetView topLeftCell="C46" zoomScale="78" zoomScaleNormal="78" workbookViewId="0">
      <selection activeCell="G68" sqref="G68"/>
    </sheetView>
  </sheetViews>
  <sheetFormatPr defaultColWidth="14.453125" defaultRowHeight="15" customHeight="1"/>
  <cols>
    <col min="1" max="1" width="15.08984375" bestFit="1" customWidth="1"/>
    <col min="9" max="9" width="15.6328125" customWidth="1"/>
  </cols>
  <sheetData>
    <row r="1" spans="1:16" ht="14.5">
      <c r="A1" s="94" t="s">
        <v>16</v>
      </c>
      <c r="B1" s="95"/>
      <c r="C1" s="95"/>
      <c r="D1" s="95"/>
      <c r="E1" s="96"/>
      <c r="F1" s="97" t="s">
        <v>27</v>
      </c>
      <c r="I1" s="99" t="s">
        <v>24</v>
      </c>
      <c r="J1" s="100"/>
      <c r="K1" s="100"/>
      <c r="L1" s="100"/>
      <c r="M1" s="100"/>
      <c r="N1" s="100"/>
      <c r="O1" s="101"/>
      <c r="P1" s="102" t="s">
        <v>27</v>
      </c>
    </row>
    <row r="2" spans="1:16" ht="14.5">
      <c r="A2" s="72" t="s">
        <v>28</v>
      </c>
      <c r="B2" s="72" t="s">
        <v>29</v>
      </c>
      <c r="C2" s="72" t="s">
        <v>30</v>
      </c>
      <c r="D2" s="72" t="s">
        <v>31</v>
      </c>
      <c r="E2" s="72" t="s">
        <v>32</v>
      </c>
      <c r="F2" s="98"/>
      <c r="I2" s="69" t="s">
        <v>28</v>
      </c>
      <c r="J2" s="69">
        <v>4</v>
      </c>
      <c r="K2" s="69">
        <v>6</v>
      </c>
      <c r="L2" s="69">
        <v>8</v>
      </c>
      <c r="M2" s="69">
        <v>10</v>
      </c>
      <c r="N2" s="70">
        <v>12</v>
      </c>
      <c r="O2" s="70">
        <v>14</v>
      </c>
      <c r="P2" s="103"/>
    </row>
    <row r="3" spans="1:16" ht="14.5">
      <c r="A3" s="26" t="s">
        <v>18</v>
      </c>
      <c r="B3" s="27"/>
      <c r="C3" s="27"/>
      <c r="D3" s="27"/>
      <c r="E3" s="27"/>
      <c r="F3" s="25">
        <f t="shared" ref="F3:F18" si="0">SUM(B3:E3)</f>
        <v>0</v>
      </c>
      <c r="I3" s="26" t="s">
        <v>18</v>
      </c>
      <c r="J3" s="28"/>
      <c r="K3" s="28"/>
      <c r="L3" s="28"/>
      <c r="M3" s="28"/>
      <c r="N3" s="27"/>
      <c r="O3" s="27"/>
      <c r="P3" s="27">
        <f t="shared" ref="P3:P13" si="1">SUM(K3:M3)</f>
        <v>0</v>
      </c>
    </row>
    <row r="4" spans="1:16" ht="14.5">
      <c r="A4" s="26" t="s">
        <v>20</v>
      </c>
      <c r="B4" s="27"/>
      <c r="C4" s="27"/>
      <c r="D4" s="27"/>
      <c r="E4" s="27"/>
      <c r="F4" s="25">
        <f t="shared" si="0"/>
        <v>0</v>
      </c>
      <c r="I4" s="26" t="s">
        <v>33</v>
      </c>
      <c r="J4" s="28"/>
      <c r="K4" s="28"/>
      <c r="L4" s="28"/>
      <c r="M4" s="28"/>
      <c r="N4" s="27"/>
      <c r="O4" s="27"/>
      <c r="P4" s="27">
        <f t="shared" si="1"/>
        <v>0</v>
      </c>
    </row>
    <row r="5" spans="1:16" ht="14.5">
      <c r="A5" s="26" t="s">
        <v>17</v>
      </c>
      <c r="B5" s="27"/>
      <c r="C5" s="27"/>
      <c r="D5" s="27"/>
      <c r="E5" s="27"/>
      <c r="F5" s="25">
        <f t="shared" si="0"/>
        <v>0</v>
      </c>
      <c r="I5" s="26" t="s">
        <v>17</v>
      </c>
      <c r="J5" s="28"/>
      <c r="K5" s="28"/>
      <c r="L5" s="28"/>
      <c r="M5" s="28"/>
      <c r="N5" s="27"/>
      <c r="O5" s="27"/>
      <c r="P5" s="27">
        <f t="shared" si="1"/>
        <v>0</v>
      </c>
    </row>
    <row r="6" spans="1:16" ht="14.5">
      <c r="A6" s="26" t="s">
        <v>23</v>
      </c>
      <c r="B6" s="27"/>
      <c r="C6" s="27"/>
      <c r="D6" s="27"/>
      <c r="E6" s="27"/>
      <c r="F6" s="25">
        <f t="shared" si="0"/>
        <v>0</v>
      </c>
      <c r="I6" s="26" t="s">
        <v>23</v>
      </c>
      <c r="J6" s="28"/>
      <c r="K6" s="28"/>
      <c r="L6" s="28"/>
      <c r="M6" s="28"/>
      <c r="N6" s="27"/>
      <c r="O6" s="27"/>
      <c r="P6" s="27">
        <f t="shared" si="1"/>
        <v>0</v>
      </c>
    </row>
    <row r="7" spans="1:16" ht="14.5">
      <c r="A7" s="26" t="s">
        <v>14</v>
      </c>
      <c r="B7" s="27"/>
      <c r="C7" s="27"/>
      <c r="D7" s="27"/>
      <c r="E7" s="27"/>
      <c r="F7" s="25">
        <f t="shared" si="0"/>
        <v>0</v>
      </c>
      <c r="I7" s="26" t="s">
        <v>14</v>
      </c>
      <c r="J7" s="28"/>
      <c r="K7" s="28"/>
      <c r="L7" s="28"/>
      <c r="M7" s="28"/>
      <c r="N7" s="27"/>
      <c r="O7" s="27"/>
      <c r="P7" s="27">
        <f t="shared" si="1"/>
        <v>0</v>
      </c>
    </row>
    <row r="8" spans="1:16" ht="14.5">
      <c r="A8" s="26" t="s">
        <v>26</v>
      </c>
      <c r="B8" s="27"/>
      <c r="C8" s="27"/>
      <c r="D8" s="27"/>
      <c r="E8" s="27"/>
      <c r="F8" s="25">
        <f t="shared" si="0"/>
        <v>0</v>
      </c>
      <c r="I8" s="26" t="s">
        <v>26</v>
      </c>
      <c r="J8" s="28"/>
      <c r="K8" s="28"/>
      <c r="L8" s="28"/>
      <c r="M8" s="28"/>
      <c r="N8" s="27"/>
      <c r="O8" s="27"/>
      <c r="P8" s="27">
        <f t="shared" si="1"/>
        <v>0</v>
      </c>
    </row>
    <row r="9" spans="1:16" ht="14.5">
      <c r="A9" s="26" t="s">
        <v>13</v>
      </c>
      <c r="B9" s="27"/>
      <c r="C9" s="27"/>
      <c r="D9" s="27"/>
      <c r="E9" s="27"/>
      <c r="F9" s="25">
        <f t="shared" si="0"/>
        <v>0</v>
      </c>
      <c r="I9" s="26" t="s">
        <v>13</v>
      </c>
      <c r="J9" s="28"/>
      <c r="K9" s="28"/>
      <c r="L9" s="28"/>
      <c r="M9" s="28"/>
      <c r="N9" s="27"/>
      <c r="O9" s="27"/>
      <c r="P9" s="27">
        <f t="shared" si="1"/>
        <v>0</v>
      </c>
    </row>
    <row r="10" spans="1:16" ht="14.5">
      <c r="A10" s="26" t="s">
        <v>22</v>
      </c>
      <c r="B10" s="27"/>
      <c r="C10" s="27"/>
      <c r="D10" s="27"/>
      <c r="E10" s="27"/>
      <c r="F10" s="25">
        <f t="shared" si="0"/>
        <v>0</v>
      </c>
      <c r="I10" s="26" t="s">
        <v>22</v>
      </c>
      <c r="J10" s="28"/>
      <c r="K10" s="28"/>
      <c r="L10" s="28"/>
      <c r="M10" s="28"/>
      <c r="N10" s="27"/>
      <c r="O10" s="27"/>
      <c r="P10" s="27">
        <f t="shared" si="1"/>
        <v>0</v>
      </c>
    </row>
    <row r="11" spans="1:16" ht="14.5">
      <c r="A11" s="26" t="s">
        <v>25</v>
      </c>
      <c r="B11" s="27"/>
      <c r="C11" s="27"/>
      <c r="D11" s="27"/>
      <c r="E11" s="27"/>
      <c r="F11" s="25">
        <f t="shared" si="0"/>
        <v>0</v>
      </c>
      <c r="I11" s="26" t="s">
        <v>34</v>
      </c>
      <c r="J11" s="28"/>
      <c r="K11" s="28"/>
      <c r="L11" s="28"/>
      <c r="M11" s="28"/>
      <c r="N11" s="27"/>
      <c r="O11" s="27"/>
      <c r="P11" s="27">
        <f t="shared" si="1"/>
        <v>0</v>
      </c>
    </row>
    <row r="12" spans="1:16" ht="14.5">
      <c r="A12" s="29" t="s">
        <v>35</v>
      </c>
      <c r="B12" s="27"/>
      <c r="C12" s="27"/>
      <c r="D12" s="27"/>
      <c r="E12" s="27"/>
      <c r="F12" s="25">
        <f t="shared" si="0"/>
        <v>0</v>
      </c>
      <c r="I12" s="29" t="s">
        <v>35</v>
      </c>
      <c r="J12" s="28"/>
      <c r="K12" s="28"/>
      <c r="L12" s="28"/>
      <c r="M12" s="28"/>
      <c r="N12" s="27"/>
      <c r="O12" s="27"/>
      <c r="P12" s="27">
        <f t="shared" si="1"/>
        <v>0</v>
      </c>
    </row>
    <row r="13" spans="1:16" ht="14.5">
      <c r="A13" s="26" t="s">
        <v>19</v>
      </c>
      <c r="B13" s="27"/>
      <c r="C13" s="27"/>
      <c r="D13" s="27"/>
      <c r="E13" s="27"/>
      <c r="F13" s="25">
        <f t="shared" si="0"/>
        <v>0</v>
      </c>
      <c r="I13" s="26" t="s">
        <v>19</v>
      </c>
      <c r="J13" s="28"/>
      <c r="K13" s="28"/>
      <c r="L13" s="28"/>
      <c r="M13" s="28"/>
      <c r="N13" s="27"/>
      <c r="O13" s="27"/>
      <c r="P13" s="27">
        <f t="shared" si="1"/>
        <v>0</v>
      </c>
    </row>
    <row r="14" spans="1:16" ht="14.5">
      <c r="A14" s="26" t="s">
        <v>15</v>
      </c>
      <c r="B14" s="27"/>
      <c r="C14" s="27"/>
      <c r="D14" s="27"/>
      <c r="E14" s="27"/>
      <c r="F14" s="27">
        <f t="shared" si="0"/>
        <v>0</v>
      </c>
      <c r="I14" s="37" t="s">
        <v>40</v>
      </c>
      <c r="J14" s="28"/>
      <c r="K14" s="28"/>
      <c r="L14" s="28"/>
      <c r="M14" s="28"/>
      <c r="N14" s="27"/>
      <c r="O14" s="27"/>
      <c r="P14" s="27">
        <f t="shared" ref="P14:P19" si="2">SUM(K14:M14)</f>
        <v>0</v>
      </c>
    </row>
    <row r="15" spans="1:16" ht="14.5">
      <c r="A15" s="30" t="s">
        <v>36</v>
      </c>
      <c r="B15" s="31"/>
      <c r="C15" s="31"/>
      <c r="D15" s="31"/>
      <c r="E15" s="31"/>
      <c r="F15" s="27">
        <f t="shared" si="0"/>
        <v>0</v>
      </c>
      <c r="I15" s="43" t="s">
        <v>37</v>
      </c>
      <c r="J15" s="57"/>
      <c r="K15" s="57"/>
      <c r="L15" s="57"/>
      <c r="M15" s="57"/>
      <c r="N15" s="31"/>
      <c r="O15" s="31"/>
      <c r="P15" s="31">
        <f t="shared" si="2"/>
        <v>0</v>
      </c>
    </row>
    <row r="16" spans="1:16" ht="14.5">
      <c r="A16" s="43" t="s">
        <v>37</v>
      </c>
      <c r="B16" s="40"/>
      <c r="C16" s="40"/>
      <c r="D16" s="40"/>
      <c r="E16" s="40"/>
      <c r="F16" s="41">
        <f t="shared" si="0"/>
        <v>0</v>
      </c>
      <c r="I16" s="44" t="s">
        <v>49</v>
      </c>
      <c r="J16" s="6"/>
      <c r="K16" s="6"/>
      <c r="L16" s="6"/>
      <c r="M16" s="6"/>
      <c r="N16" s="32"/>
      <c r="O16" s="32"/>
      <c r="P16" s="32">
        <f t="shared" si="2"/>
        <v>0</v>
      </c>
    </row>
    <row r="17" spans="1:16" ht="14.5">
      <c r="A17" s="44" t="s">
        <v>49</v>
      </c>
      <c r="B17" s="32"/>
      <c r="C17" s="32"/>
      <c r="D17" s="32"/>
      <c r="E17" s="32"/>
      <c r="F17" s="41">
        <f t="shared" si="0"/>
        <v>0</v>
      </c>
      <c r="I17" s="44"/>
      <c r="J17" s="6"/>
      <c r="K17" s="6"/>
      <c r="L17" s="6"/>
      <c r="M17" s="6"/>
      <c r="N17" s="32"/>
      <c r="O17" s="32"/>
      <c r="P17" s="32">
        <f t="shared" si="2"/>
        <v>0</v>
      </c>
    </row>
    <row r="18" spans="1:16" ht="14.5">
      <c r="A18" s="6"/>
      <c r="B18" s="32"/>
      <c r="C18" s="32"/>
      <c r="D18" s="32"/>
      <c r="E18" s="32"/>
      <c r="F18" s="41">
        <f t="shared" si="0"/>
        <v>0</v>
      </c>
      <c r="I18" s="42"/>
      <c r="J18" s="58"/>
      <c r="K18" s="58"/>
      <c r="L18" s="58"/>
      <c r="M18" s="58"/>
      <c r="N18" s="59"/>
      <c r="O18" s="59"/>
      <c r="P18" s="32">
        <f t="shared" si="2"/>
        <v>0</v>
      </c>
    </row>
    <row r="19" spans="1:16" ht="14.5">
      <c r="A19" s="6"/>
      <c r="B19" s="32"/>
      <c r="C19" s="32"/>
      <c r="D19" s="32"/>
      <c r="E19" s="32"/>
      <c r="F19" s="32">
        <f>SUM(B19:E19)</f>
        <v>0</v>
      </c>
      <c r="I19" s="37"/>
      <c r="J19" s="28"/>
      <c r="K19" s="28"/>
      <c r="L19" s="28"/>
      <c r="M19" s="28"/>
      <c r="N19" s="27"/>
      <c r="O19" s="27"/>
      <c r="P19" s="32">
        <f t="shared" si="2"/>
        <v>0</v>
      </c>
    </row>
    <row r="20" spans="1:16" ht="14.5">
      <c r="B20" s="33"/>
      <c r="C20" s="33"/>
      <c r="D20" s="33"/>
      <c r="E20" s="34" t="s">
        <v>10</v>
      </c>
      <c r="F20" s="42">
        <f>SUBTOTAL(9,F3:F19)</f>
        <v>0</v>
      </c>
      <c r="N20" s="1"/>
      <c r="O20" s="26" t="s">
        <v>10</v>
      </c>
      <c r="P20" s="26">
        <f>SUBTOTAL(9,P3:P19)</f>
        <v>0</v>
      </c>
    </row>
    <row r="21" spans="1:16" ht="14.5">
      <c r="B21" s="33"/>
      <c r="C21" s="33"/>
      <c r="D21" s="33"/>
      <c r="E21" s="35"/>
      <c r="F21" s="2"/>
      <c r="N21" s="1"/>
      <c r="O21" s="1"/>
      <c r="P21" s="1"/>
    </row>
    <row r="22" spans="1:16" ht="14.5">
      <c r="B22" s="33"/>
      <c r="C22" s="33"/>
      <c r="D22" s="33"/>
      <c r="E22" s="35"/>
      <c r="F22" s="2"/>
      <c r="I22" s="35"/>
      <c r="J22" s="35"/>
      <c r="K22" s="35"/>
      <c r="L22" s="35"/>
      <c r="M22" s="35"/>
      <c r="N22" s="35"/>
      <c r="O22" s="35"/>
      <c r="P22" s="36"/>
    </row>
    <row r="23" spans="1:16" ht="14.5">
      <c r="B23" s="33"/>
      <c r="C23" s="33"/>
      <c r="D23" s="33"/>
      <c r="E23" s="35"/>
      <c r="F23" s="2"/>
      <c r="I23" s="111" t="s">
        <v>38</v>
      </c>
      <c r="J23" s="112"/>
      <c r="K23" s="112"/>
      <c r="L23" s="112"/>
      <c r="M23" s="112"/>
      <c r="N23" s="112"/>
      <c r="O23" s="113"/>
      <c r="P23" s="104" t="s">
        <v>27</v>
      </c>
    </row>
    <row r="24" spans="1:16" ht="14.5">
      <c r="B24" s="33"/>
      <c r="C24" s="33"/>
      <c r="D24" s="33"/>
      <c r="E24" s="33"/>
      <c r="I24" s="67" t="s">
        <v>28</v>
      </c>
      <c r="J24" s="67">
        <v>4</v>
      </c>
      <c r="K24" s="67">
        <v>6</v>
      </c>
      <c r="L24" s="67">
        <v>8</v>
      </c>
      <c r="M24" s="67">
        <v>10</v>
      </c>
      <c r="N24" s="68">
        <v>12</v>
      </c>
      <c r="O24" s="68">
        <v>14</v>
      </c>
      <c r="P24" s="105"/>
    </row>
    <row r="25" spans="1:16" ht="14.5">
      <c r="A25" s="106" t="s">
        <v>39</v>
      </c>
      <c r="B25" s="107"/>
      <c r="C25" s="107"/>
      <c r="D25" s="107"/>
      <c r="E25" s="108"/>
      <c r="F25" s="109" t="s">
        <v>27</v>
      </c>
      <c r="I25" s="26" t="s">
        <v>18</v>
      </c>
      <c r="J25" s="28"/>
      <c r="K25" s="28"/>
      <c r="L25" s="28"/>
      <c r="M25" s="28"/>
      <c r="N25" s="27"/>
      <c r="O25" s="27"/>
      <c r="P25" s="27">
        <f t="shared" ref="P25:P41" si="3">SUM(K25:M25)</f>
        <v>0</v>
      </c>
    </row>
    <row r="26" spans="1:16" ht="14.5">
      <c r="A26" s="71" t="s">
        <v>28</v>
      </c>
      <c r="B26" s="71" t="s">
        <v>29</v>
      </c>
      <c r="C26" s="71" t="s">
        <v>30</v>
      </c>
      <c r="D26" s="71" t="s">
        <v>31</v>
      </c>
      <c r="E26" s="71"/>
      <c r="F26" s="110"/>
      <c r="I26" s="37" t="s">
        <v>20</v>
      </c>
      <c r="J26" s="28"/>
      <c r="K26" s="28"/>
      <c r="L26" s="28"/>
      <c r="M26" s="28"/>
      <c r="N26" s="27"/>
      <c r="O26" s="27"/>
      <c r="P26" s="27">
        <f t="shared" si="3"/>
        <v>0</v>
      </c>
    </row>
    <row r="27" spans="1:16" ht="14.5">
      <c r="A27" s="26" t="s">
        <v>18</v>
      </c>
      <c r="B27" s="27"/>
      <c r="C27" s="27"/>
      <c r="D27" s="27"/>
      <c r="E27" s="27"/>
      <c r="F27" s="27">
        <f t="shared" ref="F27:F44" si="4">SUM(B27:E27)</f>
        <v>0</v>
      </c>
      <c r="I27" s="26" t="s">
        <v>17</v>
      </c>
      <c r="J27" s="28"/>
      <c r="K27" s="28"/>
      <c r="L27" s="28"/>
      <c r="M27" s="28"/>
      <c r="N27" s="27"/>
      <c r="O27" s="27"/>
      <c r="P27" s="27">
        <f t="shared" si="3"/>
        <v>0</v>
      </c>
    </row>
    <row r="28" spans="1:16" ht="14.5">
      <c r="A28" s="26" t="s">
        <v>20</v>
      </c>
      <c r="B28" s="27"/>
      <c r="C28" s="27"/>
      <c r="D28" s="27"/>
      <c r="E28" s="27"/>
      <c r="F28" s="27">
        <f t="shared" si="4"/>
        <v>0</v>
      </c>
      <c r="I28" s="26" t="s">
        <v>14</v>
      </c>
      <c r="J28" s="28"/>
      <c r="K28" s="28"/>
      <c r="L28" s="28"/>
      <c r="M28" s="28"/>
      <c r="N28" s="27"/>
      <c r="O28" s="27"/>
      <c r="P28" s="27">
        <f t="shared" si="3"/>
        <v>0</v>
      </c>
    </row>
    <row r="29" spans="1:16" ht="14.5">
      <c r="A29" s="26" t="s">
        <v>22</v>
      </c>
      <c r="B29" s="27"/>
      <c r="C29" s="27"/>
      <c r="D29" s="27"/>
      <c r="E29" s="27"/>
      <c r="F29" s="27">
        <f t="shared" si="4"/>
        <v>0</v>
      </c>
      <c r="I29" s="37" t="s">
        <v>26</v>
      </c>
      <c r="J29" s="28"/>
      <c r="K29" s="28"/>
      <c r="L29" s="28"/>
      <c r="M29" s="28"/>
      <c r="N29" s="27"/>
      <c r="O29" s="27"/>
      <c r="P29" s="27">
        <f t="shared" si="3"/>
        <v>0</v>
      </c>
    </row>
    <row r="30" spans="1:16" ht="14.5">
      <c r="A30" s="26" t="s">
        <v>23</v>
      </c>
      <c r="B30" s="27"/>
      <c r="C30" s="27"/>
      <c r="D30" s="27"/>
      <c r="E30" s="27"/>
      <c r="F30" s="27">
        <f t="shared" si="4"/>
        <v>0</v>
      </c>
      <c r="I30" s="26" t="s">
        <v>13</v>
      </c>
      <c r="J30" s="28"/>
      <c r="K30" s="28"/>
      <c r="L30" s="28"/>
      <c r="M30" s="28"/>
      <c r="N30" s="27"/>
      <c r="O30" s="27"/>
      <c r="P30" s="27">
        <f t="shared" si="3"/>
        <v>0</v>
      </c>
    </row>
    <row r="31" spans="1:16" ht="14.5">
      <c r="A31" s="26" t="s">
        <v>14</v>
      </c>
      <c r="B31" s="27"/>
      <c r="C31" s="27"/>
      <c r="D31" s="27"/>
      <c r="E31" s="27"/>
      <c r="F31" s="27">
        <f t="shared" si="4"/>
        <v>0</v>
      </c>
      <c r="I31" s="26" t="s">
        <v>22</v>
      </c>
      <c r="J31" s="28"/>
      <c r="K31" s="28"/>
      <c r="L31" s="28"/>
      <c r="M31" s="28"/>
      <c r="N31" s="27"/>
      <c r="O31" s="27"/>
      <c r="P31" s="27">
        <f t="shared" si="3"/>
        <v>0</v>
      </c>
    </row>
    <row r="32" spans="1:16" ht="14.5">
      <c r="A32" s="26" t="s">
        <v>26</v>
      </c>
      <c r="B32" s="27"/>
      <c r="C32" s="27"/>
      <c r="D32" s="27"/>
      <c r="E32" s="27"/>
      <c r="F32" s="27">
        <f t="shared" si="4"/>
        <v>0</v>
      </c>
      <c r="I32" s="26" t="s">
        <v>34</v>
      </c>
      <c r="J32" s="28"/>
      <c r="K32" s="28"/>
      <c r="L32" s="28"/>
      <c r="M32" s="28"/>
      <c r="N32" s="27"/>
      <c r="O32" s="27"/>
      <c r="P32" s="27">
        <f t="shared" si="3"/>
        <v>0</v>
      </c>
    </row>
    <row r="33" spans="1:16" ht="14.5">
      <c r="A33" s="26" t="s">
        <v>13</v>
      </c>
      <c r="B33" s="27"/>
      <c r="C33" s="27"/>
      <c r="D33" s="27"/>
      <c r="E33" s="27"/>
      <c r="F33" s="27">
        <f t="shared" si="4"/>
        <v>0</v>
      </c>
      <c r="I33" s="29" t="s">
        <v>21</v>
      </c>
      <c r="J33" s="28"/>
      <c r="K33" s="28"/>
      <c r="L33" s="28"/>
      <c r="M33" s="28"/>
      <c r="N33" s="27"/>
      <c r="O33" s="27"/>
      <c r="P33" s="27">
        <f t="shared" si="3"/>
        <v>0</v>
      </c>
    </row>
    <row r="34" spans="1:16" ht="14.5">
      <c r="A34" s="29" t="s">
        <v>21</v>
      </c>
      <c r="B34" s="27"/>
      <c r="C34" s="27"/>
      <c r="D34" s="27"/>
      <c r="E34" s="27"/>
      <c r="F34" s="27">
        <f t="shared" si="4"/>
        <v>0</v>
      </c>
      <c r="I34" s="30" t="s">
        <v>19</v>
      </c>
      <c r="J34" s="28"/>
      <c r="K34" s="28"/>
      <c r="L34" s="28"/>
      <c r="M34" s="28"/>
      <c r="N34" s="27"/>
      <c r="O34" s="27"/>
      <c r="P34" s="27">
        <f t="shared" si="3"/>
        <v>0</v>
      </c>
    </row>
    <row r="35" spans="1:16" ht="14.5">
      <c r="A35" s="26" t="s">
        <v>19</v>
      </c>
      <c r="B35" s="27"/>
      <c r="C35" s="27"/>
      <c r="D35" s="27"/>
      <c r="E35" s="27"/>
      <c r="F35" s="27">
        <f t="shared" si="4"/>
        <v>0</v>
      </c>
      <c r="I35" s="44" t="s">
        <v>15</v>
      </c>
      <c r="J35" s="28"/>
      <c r="K35" s="28"/>
      <c r="L35" s="28"/>
      <c r="M35" s="28"/>
      <c r="N35" s="27"/>
      <c r="O35" s="27"/>
      <c r="P35" s="27">
        <f t="shared" si="3"/>
        <v>0</v>
      </c>
    </row>
    <row r="36" spans="1:16" ht="14.5">
      <c r="A36" s="37" t="s">
        <v>15</v>
      </c>
      <c r="B36" s="27"/>
      <c r="C36" s="27"/>
      <c r="D36" s="27"/>
      <c r="E36" s="27"/>
      <c r="F36" s="27">
        <f t="shared" si="4"/>
        <v>0</v>
      </c>
      <c r="I36" s="44" t="s">
        <v>37</v>
      </c>
      <c r="J36" s="45"/>
      <c r="K36" s="28"/>
      <c r="L36" s="28"/>
      <c r="M36" s="28"/>
      <c r="N36" s="27"/>
      <c r="O36" s="27"/>
      <c r="P36" s="27">
        <f t="shared" si="3"/>
        <v>0</v>
      </c>
    </row>
    <row r="37" spans="1:16" ht="14.5">
      <c r="A37" s="37" t="s">
        <v>48</v>
      </c>
      <c r="B37" s="27"/>
      <c r="C37" s="27"/>
      <c r="D37" s="27"/>
      <c r="E37" s="27"/>
      <c r="F37" s="27">
        <f t="shared" si="4"/>
        <v>0</v>
      </c>
      <c r="I37" s="44"/>
      <c r="J37" s="45"/>
      <c r="K37" s="28"/>
      <c r="L37" s="28"/>
      <c r="M37" s="28"/>
      <c r="N37" s="27"/>
      <c r="O37" s="27"/>
      <c r="P37" s="27">
        <f t="shared" si="3"/>
        <v>0</v>
      </c>
    </row>
    <row r="38" spans="1:16" ht="14.5">
      <c r="A38" s="37" t="s">
        <v>47</v>
      </c>
      <c r="B38" s="27"/>
      <c r="C38" s="27"/>
      <c r="D38" s="27"/>
      <c r="E38" s="27"/>
      <c r="F38" s="27">
        <f t="shared" si="4"/>
        <v>0</v>
      </c>
      <c r="I38" s="44"/>
      <c r="J38" s="45"/>
      <c r="K38" s="28"/>
      <c r="L38" s="28"/>
      <c r="M38" s="28"/>
      <c r="N38" s="27"/>
      <c r="O38" s="27"/>
      <c r="P38" s="27">
        <f t="shared" si="3"/>
        <v>0</v>
      </c>
    </row>
    <row r="39" spans="1:16" ht="14.5">
      <c r="A39" s="37" t="s">
        <v>49</v>
      </c>
      <c r="B39" s="27"/>
      <c r="C39" s="27"/>
      <c r="D39" s="27"/>
      <c r="E39" s="27"/>
      <c r="F39" s="27">
        <f t="shared" si="4"/>
        <v>0</v>
      </c>
      <c r="I39" s="44"/>
      <c r="J39" s="45"/>
      <c r="K39" s="28"/>
      <c r="L39" s="28"/>
      <c r="M39" s="28"/>
      <c r="N39" s="27"/>
      <c r="O39" s="27"/>
      <c r="P39" s="27">
        <f t="shared" si="3"/>
        <v>0</v>
      </c>
    </row>
    <row r="40" spans="1:16" ht="14.5">
      <c r="A40" s="37" t="s">
        <v>40</v>
      </c>
      <c r="B40" s="27"/>
      <c r="C40" s="27"/>
      <c r="D40" s="27"/>
      <c r="E40" s="27"/>
      <c r="F40" s="27">
        <f t="shared" si="4"/>
        <v>0</v>
      </c>
      <c r="I40" s="44"/>
      <c r="J40" s="45"/>
      <c r="K40" s="28"/>
      <c r="L40" s="28"/>
      <c r="M40" s="28"/>
      <c r="N40" s="27"/>
      <c r="O40" s="27"/>
      <c r="P40" s="27">
        <f t="shared" si="3"/>
        <v>0</v>
      </c>
    </row>
    <row r="41" spans="1:16" ht="14.5">
      <c r="A41" s="37"/>
      <c r="B41" s="27"/>
      <c r="C41" s="27"/>
      <c r="D41" s="27"/>
      <c r="E41" s="27"/>
      <c r="F41" s="27">
        <f t="shared" si="4"/>
        <v>0</v>
      </c>
      <c r="I41" s="44"/>
      <c r="J41" s="45"/>
      <c r="K41" s="28"/>
      <c r="L41" s="28"/>
      <c r="M41" s="28"/>
      <c r="N41" s="27"/>
      <c r="O41" s="27"/>
      <c r="P41" s="27">
        <f t="shared" si="3"/>
        <v>0</v>
      </c>
    </row>
    <row r="42" spans="1:16" ht="14.5">
      <c r="A42" s="37"/>
      <c r="B42" s="27"/>
      <c r="C42" s="27"/>
      <c r="D42" s="27"/>
      <c r="E42" s="27"/>
      <c r="F42" s="27">
        <f t="shared" si="4"/>
        <v>0</v>
      </c>
      <c r="N42" s="1"/>
      <c r="O42" s="26" t="s">
        <v>10</v>
      </c>
      <c r="P42" s="26">
        <f>SUBTOTAL(9,P25:P41)</f>
        <v>0</v>
      </c>
    </row>
    <row r="43" spans="1:16" ht="14.5">
      <c r="A43" s="37"/>
      <c r="B43" s="27"/>
      <c r="C43" s="27"/>
      <c r="D43" s="27"/>
      <c r="E43" s="27"/>
      <c r="F43" s="27">
        <f t="shared" si="4"/>
        <v>0</v>
      </c>
      <c r="N43" s="1"/>
      <c r="O43" s="1"/>
      <c r="P43" s="1"/>
    </row>
    <row r="44" spans="1:16" ht="14.5">
      <c r="A44" s="37"/>
      <c r="B44" s="27"/>
      <c r="C44" s="27"/>
      <c r="D44" s="27"/>
      <c r="E44" s="27"/>
      <c r="F44" s="27">
        <f t="shared" si="4"/>
        <v>0</v>
      </c>
      <c r="I44" s="89" t="s">
        <v>12</v>
      </c>
      <c r="J44" s="90"/>
      <c r="K44" s="90"/>
      <c r="L44" s="90"/>
      <c r="M44" s="90"/>
      <c r="N44" s="91"/>
      <c r="O44" s="92" t="s">
        <v>27</v>
      </c>
    </row>
    <row r="45" spans="1:16" ht="14.5">
      <c r="B45" s="33"/>
      <c r="C45" s="33"/>
      <c r="D45" s="33"/>
      <c r="E45" s="25" t="s">
        <v>10</v>
      </c>
      <c r="F45" s="26">
        <f>SUBTOTAL(9,F27:F44)</f>
        <v>0</v>
      </c>
      <c r="I45" s="65" t="s">
        <v>28</v>
      </c>
      <c r="J45" s="65">
        <v>6</v>
      </c>
      <c r="K45" s="65">
        <v>8</v>
      </c>
      <c r="L45" s="65">
        <v>10</v>
      </c>
      <c r="M45" s="66">
        <v>12</v>
      </c>
      <c r="N45" s="66">
        <v>14</v>
      </c>
      <c r="O45" s="93"/>
    </row>
    <row r="46" spans="1:16" ht="14.5">
      <c r="B46" s="33"/>
      <c r="C46" s="33"/>
      <c r="D46" s="33"/>
      <c r="E46" s="33"/>
      <c r="I46" s="26" t="s">
        <v>18</v>
      </c>
      <c r="J46" s="28"/>
      <c r="K46" s="28"/>
      <c r="L46" s="28"/>
      <c r="M46" s="27"/>
      <c r="N46" s="27"/>
      <c r="O46" s="27">
        <f>SUM(J46:N46)</f>
        <v>0</v>
      </c>
    </row>
    <row r="47" spans="1:16" ht="14.5">
      <c r="B47" s="33"/>
      <c r="C47" s="33"/>
      <c r="D47" s="33"/>
      <c r="E47" s="33"/>
      <c r="I47" s="26" t="s">
        <v>33</v>
      </c>
      <c r="J47" s="28"/>
      <c r="K47" s="28"/>
      <c r="L47" s="28"/>
      <c r="M47" s="27"/>
      <c r="N47" s="27"/>
      <c r="O47" s="27">
        <f t="shared" ref="O47:O61" si="5">SUM(J47:L47)</f>
        <v>0</v>
      </c>
    </row>
    <row r="48" spans="1:16" ht="14.5">
      <c r="B48" s="33"/>
      <c r="C48" s="33"/>
      <c r="D48" s="33"/>
      <c r="E48" s="33"/>
      <c r="I48" s="26" t="s">
        <v>17</v>
      </c>
      <c r="J48" s="28"/>
      <c r="K48" s="28"/>
      <c r="L48" s="28"/>
      <c r="M48" s="27"/>
      <c r="N48" s="27"/>
      <c r="O48" s="27">
        <f t="shared" si="5"/>
        <v>0</v>
      </c>
    </row>
    <row r="49" spans="2:16" ht="14.5">
      <c r="B49" s="33"/>
      <c r="C49" s="33"/>
      <c r="D49" s="33"/>
      <c r="E49" s="33"/>
      <c r="I49" s="26" t="s">
        <v>23</v>
      </c>
      <c r="J49" s="28"/>
      <c r="K49" s="28"/>
      <c r="L49" s="28"/>
      <c r="M49" s="27"/>
      <c r="N49" s="27"/>
      <c r="O49" s="27">
        <f t="shared" si="5"/>
        <v>0</v>
      </c>
    </row>
    <row r="50" spans="2:16" ht="14.5">
      <c r="B50" s="33"/>
      <c r="C50" s="33"/>
      <c r="D50" s="33"/>
      <c r="E50" s="33"/>
      <c r="I50" s="26" t="s">
        <v>14</v>
      </c>
      <c r="J50" s="28"/>
      <c r="K50" s="28"/>
      <c r="L50" s="28"/>
      <c r="M50" s="27"/>
      <c r="N50" s="27"/>
      <c r="O50" s="27">
        <f t="shared" si="5"/>
        <v>0</v>
      </c>
    </row>
    <row r="51" spans="2:16" ht="14.5">
      <c r="B51" s="33"/>
      <c r="C51" s="33"/>
      <c r="D51" s="33"/>
      <c r="E51" s="33"/>
      <c r="I51" s="26" t="s">
        <v>26</v>
      </c>
      <c r="J51" s="28"/>
      <c r="K51" s="28"/>
      <c r="L51" s="28"/>
      <c r="M51" s="27"/>
      <c r="N51" s="27"/>
      <c r="O51" s="27">
        <f t="shared" si="5"/>
        <v>0</v>
      </c>
    </row>
    <row r="52" spans="2:16" ht="14.5">
      <c r="B52" s="33"/>
      <c r="C52" s="33"/>
      <c r="D52" s="33"/>
      <c r="E52" s="33"/>
      <c r="I52" s="26" t="s">
        <v>13</v>
      </c>
      <c r="J52" s="28"/>
      <c r="K52" s="28"/>
      <c r="L52" s="28"/>
      <c r="M52" s="27"/>
      <c r="N52" s="27"/>
      <c r="O52" s="27">
        <f t="shared" si="5"/>
        <v>0</v>
      </c>
    </row>
    <row r="53" spans="2:16" ht="14.5">
      <c r="B53" s="33"/>
      <c r="C53" s="33"/>
      <c r="D53" s="33"/>
      <c r="E53" s="33"/>
      <c r="I53" s="29" t="s">
        <v>21</v>
      </c>
      <c r="J53" s="28"/>
      <c r="K53" s="28"/>
      <c r="L53" s="28"/>
      <c r="M53" s="27"/>
      <c r="N53" s="27"/>
      <c r="O53" s="27">
        <f t="shared" si="5"/>
        <v>0</v>
      </c>
    </row>
    <row r="54" spans="2:16" ht="14.5">
      <c r="B54" s="33"/>
      <c r="C54" s="33"/>
      <c r="D54" s="33"/>
      <c r="E54" s="33"/>
      <c r="I54" s="26" t="s">
        <v>19</v>
      </c>
      <c r="J54" s="28"/>
      <c r="K54" s="28"/>
      <c r="L54" s="28"/>
      <c r="M54" s="27"/>
      <c r="N54" s="27"/>
      <c r="O54" s="27">
        <f t="shared" si="5"/>
        <v>0</v>
      </c>
    </row>
    <row r="55" spans="2:16" ht="14.5">
      <c r="B55" s="33"/>
      <c r="C55" s="33"/>
      <c r="D55" s="33"/>
      <c r="E55" s="33"/>
      <c r="I55" s="37" t="s">
        <v>15</v>
      </c>
      <c r="J55" s="28"/>
      <c r="K55" s="28"/>
      <c r="L55" s="28"/>
      <c r="M55" s="27"/>
      <c r="N55" s="27"/>
      <c r="O55" s="27">
        <f t="shared" si="5"/>
        <v>0</v>
      </c>
    </row>
    <row r="56" spans="2:16" ht="14.5">
      <c r="B56" s="33"/>
      <c r="C56" s="33"/>
      <c r="D56" s="33"/>
      <c r="E56" s="33"/>
      <c r="I56" s="37" t="s">
        <v>48</v>
      </c>
      <c r="J56" s="28"/>
      <c r="K56" s="28"/>
      <c r="L56" s="28"/>
      <c r="M56" s="27"/>
      <c r="N56" s="27"/>
      <c r="O56" s="27">
        <f t="shared" si="5"/>
        <v>0</v>
      </c>
    </row>
    <row r="57" spans="2:16" ht="14.5">
      <c r="B57" s="33"/>
      <c r="C57" s="33"/>
      <c r="D57" s="33"/>
      <c r="E57" s="33"/>
      <c r="I57" s="37" t="s">
        <v>47</v>
      </c>
      <c r="J57" s="28"/>
      <c r="K57" s="28"/>
      <c r="L57" s="28"/>
      <c r="M57" s="27"/>
      <c r="N57" s="27"/>
      <c r="O57" s="27">
        <f t="shared" si="5"/>
        <v>0</v>
      </c>
    </row>
    <row r="58" spans="2:16" ht="14.5">
      <c r="B58" s="33"/>
      <c r="C58" s="33"/>
      <c r="D58" s="33"/>
      <c r="E58" s="33"/>
      <c r="I58" s="37" t="s">
        <v>49</v>
      </c>
      <c r="J58" s="28"/>
      <c r="K58" s="28"/>
      <c r="L58" s="28"/>
      <c r="M58" s="27"/>
      <c r="N58" s="27"/>
      <c r="O58" s="27">
        <f t="shared" si="5"/>
        <v>0</v>
      </c>
    </row>
    <row r="59" spans="2:16" ht="14.5">
      <c r="B59" s="33"/>
      <c r="C59" s="33"/>
      <c r="D59" s="33"/>
      <c r="E59" s="33"/>
      <c r="I59" s="37" t="s">
        <v>40</v>
      </c>
      <c r="J59" s="28"/>
      <c r="K59" s="28"/>
      <c r="L59" s="28"/>
      <c r="M59" s="27"/>
      <c r="N59" s="27"/>
      <c r="O59" s="27">
        <f t="shared" si="5"/>
        <v>0</v>
      </c>
      <c r="P59" s="1"/>
    </row>
    <row r="60" spans="2:16" ht="14.5">
      <c r="B60" s="33"/>
      <c r="C60" s="33"/>
      <c r="D60" s="33"/>
      <c r="E60" s="33"/>
      <c r="I60" s="26"/>
      <c r="J60" s="28"/>
      <c r="K60" s="28"/>
      <c r="L60" s="28"/>
      <c r="M60" s="27"/>
      <c r="N60" s="27"/>
      <c r="O60" s="27">
        <f t="shared" si="5"/>
        <v>0</v>
      </c>
      <c r="P60" s="1"/>
    </row>
    <row r="61" spans="2:16" ht="14.5">
      <c r="B61" s="33"/>
      <c r="C61" s="33"/>
      <c r="D61" s="33"/>
      <c r="E61" s="33"/>
      <c r="I61" s="26"/>
      <c r="J61" s="28"/>
      <c r="K61" s="28"/>
      <c r="L61" s="28"/>
      <c r="M61" s="27"/>
      <c r="N61" s="27"/>
      <c r="O61" s="27">
        <f t="shared" si="5"/>
        <v>0</v>
      </c>
      <c r="P61" s="1"/>
    </row>
    <row r="62" spans="2:16" ht="14.5">
      <c r="B62" s="33"/>
      <c r="C62" s="33"/>
      <c r="D62" s="33"/>
      <c r="E62" s="33"/>
      <c r="M62" s="1"/>
      <c r="N62" s="26" t="s">
        <v>10</v>
      </c>
      <c r="O62" s="26">
        <f>SUBTOTAL(9,O46:O61)</f>
        <v>0</v>
      </c>
      <c r="P62" s="1"/>
    </row>
    <row r="63" spans="2:16" ht="14.5">
      <c r="B63" s="33"/>
      <c r="C63" s="33"/>
      <c r="D63" s="33"/>
      <c r="E63" s="33"/>
      <c r="N63" s="1"/>
      <c r="O63" s="1"/>
      <c r="P63" s="1"/>
    </row>
    <row r="64" spans="2:16" ht="14.5">
      <c r="B64" s="33"/>
      <c r="C64" s="33"/>
      <c r="D64" s="33"/>
      <c r="E64" s="33"/>
      <c r="N64" s="1"/>
      <c r="O64" s="1"/>
      <c r="P64" s="1"/>
    </row>
    <row r="65" spans="2:16" ht="14.5">
      <c r="B65" s="33"/>
      <c r="C65" s="33"/>
      <c r="D65" s="33"/>
      <c r="E65" s="33"/>
      <c r="N65" s="1"/>
      <c r="O65" s="1"/>
      <c r="P65" s="1"/>
    </row>
    <row r="66" spans="2:16" ht="14.5">
      <c r="B66" s="33"/>
      <c r="C66" s="33"/>
      <c r="D66" s="33"/>
      <c r="E66" s="33"/>
      <c r="N66" s="1"/>
      <c r="O66" s="1"/>
      <c r="P66" s="1"/>
    </row>
    <row r="67" spans="2:16" ht="14.5">
      <c r="B67" s="33"/>
      <c r="C67" s="33"/>
      <c r="D67" s="33"/>
      <c r="E67" s="33"/>
      <c r="I67" s="84" t="s">
        <v>50</v>
      </c>
      <c r="J67" s="85"/>
      <c r="K67" s="85"/>
      <c r="L67" s="85"/>
      <c r="M67" s="85"/>
      <c r="N67" s="85"/>
      <c r="O67" s="86"/>
      <c r="P67" s="87" t="s">
        <v>27</v>
      </c>
    </row>
    <row r="68" spans="2:16" ht="14.5">
      <c r="B68" s="33"/>
      <c r="C68" s="33"/>
      <c r="D68" s="33"/>
      <c r="E68" s="33"/>
      <c r="I68" s="63" t="s">
        <v>28</v>
      </c>
      <c r="J68" s="63">
        <v>4</v>
      </c>
      <c r="K68" s="63">
        <v>6</v>
      </c>
      <c r="L68" s="63">
        <v>8</v>
      </c>
      <c r="M68" s="63">
        <v>10</v>
      </c>
      <c r="N68" s="64">
        <v>12</v>
      </c>
      <c r="O68" s="64">
        <v>14</v>
      </c>
      <c r="P68" s="88"/>
    </row>
    <row r="69" spans="2:16" ht="14.5">
      <c r="B69" s="33"/>
      <c r="C69" s="33"/>
      <c r="D69" s="33"/>
      <c r="E69" s="33"/>
      <c r="I69" s="26" t="s">
        <v>18</v>
      </c>
      <c r="J69" s="28"/>
      <c r="K69" s="28"/>
      <c r="L69" s="28"/>
      <c r="M69" s="28"/>
      <c r="N69" s="27"/>
      <c r="O69" s="27"/>
      <c r="P69" s="27">
        <f>SUM(J69:O69)</f>
        <v>0</v>
      </c>
    </row>
    <row r="70" spans="2:16" ht="14.5">
      <c r="B70" s="33"/>
      <c r="C70" s="33"/>
      <c r="D70" s="33"/>
      <c r="E70" s="33"/>
      <c r="I70" s="26" t="s">
        <v>33</v>
      </c>
      <c r="J70" s="28"/>
      <c r="K70" s="28"/>
      <c r="L70" s="28"/>
      <c r="M70" s="28"/>
      <c r="N70" s="27"/>
      <c r="O70" s="27"/>
      <c r="P70" s="27">
        <f t="shared" ref="P70:P85" si="6">SUM(J70:O70)</f>
        <v>0</v>
      </c>
    </row>
    <row r="71" spans="2:16" ht="14.5">
      <c r="B71" s="33"/>
      <c r="C71" s="33"/>
      <c r="D71" s="33"/>
      <c r="E71" s="33"/>
      <c r="I71" s="26" t="s">
        <v>17</v>
      </c>
      <c r="J71" s="28"/>
      <c r="K71" s="28"/>
      <c r="L71" s="28"/>
      <c r="M71" s="28"/>
      <c r="N71" s="27"/>
      <c r="O71" s="27"/>
      <c r="P71" s="27">
        <f t="shared" si="6"/>
        <v>0</v>
      </c>
    </row>
    <row r="72" spans="2:16" ht="14.5">
      <c r="B72" s="33"/>
      <c r="C72" s="33"/>
      <c r="D72" s="33"/>
      <c r="E72" s="33"/>
      <c r="I72" s="26" t="s">
        <v>23</v>
      </c>
      <c r="J72" s="28"/>
      <c r="K72" s="28"/>
      <c r="L72" s="28"/>
      <c r="M72" s="28"/>
      <c r="N72" s="27"/>
      <c r="O72" s="27"/>
      <c r="P72" s="27">
        <f t="shared" si="6"/>
        <v>0</v>
      </c>
    </row>
    <row r="73" spans="2:16" ht="14.5">
      <c r="B73" s="33"/>
      <c r="C73" s="33"/>
      <c r="D73" s="33"/>
      <c r="E73" s="33"/>
      <c r="I73" s="26" t="s">
        <v>14</v>
      </c>
      <c r="J73" s="28"/>
      <c r="K73" s="28"/>
      <c r="L73" s="28"/>
      <c r="M73" s="28"/>
      <c r="N73" s="27"/>
      <c r="O73" s="27"/>
      <c r="P73" s="27">
        <f t="shared" si="6"/>
        <v>0</v>
      </c>
    </row>
    <row r="74" spans="2:16" ht="14.5">
      <c r="B74" s="33"/>
      <c r="C74" s="33"/>
      <c r="D74" s="33"/>
      <c r="E74" s="33"/>
      <c r="I74" s="26" t="s">
        <v>26</v>
      </c>
      <c r="J74" s="28"/>
      <c r="K74" s="28"/>
      <c r="L74" s="28"/>
      <c r="M74" s="28"/>
      <c r="N74" s="27"/>
      <c r="O74" s="27"/>
      <c r="P74" s="27">
        <f t="shared" si="6"/>
        <v>0</v>
      </c>
    </row>
    <row r="75" spans="2:16" ht="14.5">
      <c r="B75" s="33"/>
      <c r="C75" s="33"/>
      <c r="D75" s="33"/>
      <c r="E75" s="33"/>
      <c r="I75" s="26" t="s">
        <v>13</v>
      </c>
      <c r="J75" s="28"/>
      <c r="K75" s="28"/>
      <c r="L75" s="28"/>
      <c r="M75" s="28"/>
      <c r="N75" s="27"/>
      <c r="O75" s="27"/>
      <c r="P75" s="27">
        <f t="shared" si="6"/>
        <v>0</v>
      </c>
    </row>
    <row r="76" spans="2:16" ht="14.5">
      <c r="B76" s="33"/>
      <c r="C76" s="33"/>
      <c r="D76" s="33"/>
      <c r="E76" s="33"/>
      <c r="I76" s="26" t="s">
        <v>22</v>
      </c>
      <c r="J76" s="28"/>
      <c r="K76" s="28"/>
      <c r="L76" s="28"/>
      <c r="M76" s="28"/>
      <c r="N76" s="27"/>
      <c r="O76" s="27"/>
      <c r="P76" s="27">
        <f t="shared" si="6"/>
        <v>0</v>
      </c>
    </row>
    <row r="77" spans="2:16" ht="14.5">
      <c r="B77" s="33"/>
      <c r="C77" s="33"/>
      <c r="D77" s="33"/>
      <c r="E77" s="33"/>
      <c r="I77" s="26" t="s">
        <v>34</v>
      </c>
      <c r="J77" s="28"/>
      <c r="K77" s="28"/>
      <c r="L77" s="28"/>
      <c r="M77" s="28"/>
      <c r="N77" s="27"/>
      <c r="O77" s="27"/>
      <c r="P77" s="27">
        <f t="shared" si="6"/>
        <v>0</v>
      </c>
    </row>
    <row r="78" spans="2:16" ht="14.5">
      <c r="B78" s="33"/>
      <c r="C78" s="33"/>
      <c r="D78" s="33"/>
      <c r="E78" s="33"/>
      <c r="I78" s="29" t="s">
        <v>35</v>
      </c>
      <c r="J78" s="28"/>
      <c r="K78" s="28"/>
      <c r="L78" s="28"/>
      <c r="M78" s="28"/>
      <c r="N78" s="27"/>
      <c r="O78" s="27"/>
      <c r="P78" s="27">
        <f t="shared" si="6"/>
        <v>0</v>
      </c>
    </row>
    <row r="79" spans="2:16" ht="14.5">
      <c r="B79" s="33"/>
      <c r="C79" s="33"/>
      <c r="D79" s="33"/>
      <c r="E79" s="33"/>
      <c r="I79" s="26" t="s">
        <v>19</v>
      </c>
      <c r="J79" s="28"/>
      <c r="K79" s="28"/>
      <c r="L79" s="28"/>
      <c r="M79" s="28"/>
      <c r="N79" s="27"/>
      <c r="O79" s="27"/>
      <c r="P79" s="27">
        <f t="shared" si="6"/>
        <v>0</v>
      </c>
    </row>
    <row r="80" spans="2:16" ht="14.5">
      <c r="B80" s="33"/>
      <c r="C80" s="33"/>
      <c r="D80" s="33"/>
      <c r="E80" s="33"/>
      <c r="I80" s="37" t="s">
        <v>40</v>
      </c>
      <c r="J80" s="28"/>
      <c r="K80" s="28"/>
      <c r="L80" s="28"/>
      <c r="M80" s="28"/>
      <c r="N80" s="27"/>
      <c r="O80" s="27"/>
      <c r="P80" s="27">
        <f t="shared" si="6"/>
        <v>0</v>
      </c>
    </row>
    <row r="81" spans="2:16" ht="14.5">
      <c r="B81" s="33"/>
      <c r="C81" s="33"/>
      <c r="D81" s="33"/>
      <c r="E81" s="33"/>
      <c r="I81" s="43" t="s">
        <v>37</v>
      </c>
      <c r="J81" s="28"/>
      <c r="K81" s="28"/>
      <c r="L81" s="28"/>
      <c r="M81" s="28"/>
      <c r="N81" s="27"/>
      <c r="O81" s="27"/>
      <c r="P81" s="27">
        <f t="shared" si="6"/>
        <v>0</v>
      </c>
    </row>
    <row r="82" spans="2:16" ht="14.5">
      <c r="B82" s="33"/>
      <c r="C82" s="33"/>
      <c r="D82" s="33"/>
      <c r="E82" s="33"/>
      <c r="I82" s="44" t="s">
        <v>49</v>
      </c>
      <c r="J82" s="28"/>
      <c r="K82" s="28"/>
      <c r="L82" s="28"/>
      <c r="M82" s="28"/>
      <c r="N82" s="27"/>
      <c r="O82" s="27"/>
      <c r="P82" s="27">
        <f t="shared" si="6"/>
        <v>0</v>
      </c>
    </row>
    <row r="83" spans="2:16" ht="14.5">
      <c r="B83" s="33"/>
      <c r="C83" s="33"/>
      <c r="D83" s="33"/>
      <c r="E83" s="33"/>
      <c r="I83" s="26"/>
      <c r="J83" s="28"/>
      <c r="K83" s="28"/>
      <c r="L83" s="28"/>
      <c r="M83" s="28"/>
      <c r="N83" s="27"/>
      <c r="O83" s="27"/>
      <c r="P83" s="27">
        <f t="shared" si="6"/>
        <v>0</v>
      </c>
    </row>
    <row r="84" spans="2:16" ht="14.5">
      <c r="B84" s="33"/>
      <c r="C84" s="33"/>
      <c r="D84" s="33"/>
      <c r="E84" s="33"/>
      <c r="I84" s="26"/>
      <c r="J84" s="28"/>
      <c r="K84" s="28"/>
      <c r="L84" s="28"/>
      <c r="M84" s="28"/>
      <c r="N84" s="27"/>
      <c r="O84" s="27"/>
      <c r="P84" s="27">
        <f t="shared" si="6"/>
        <v>0</v>
      </c>
    </row>
    <row r="85" spans="2:16" ht="14.5">
      <c r="B85" s="33"/>
      <c r="C85" s="33"/>
      <c r="D85" s="33"/>
      <c r="E85" s="33"/>
      <c r="I85" s="37"/>
      <c r="J85" s="28"/>
      <c r="K85" s="28"/>
      <c r="L85" s="28"/>
      <c r="M85" s="28"/>
      <c r="N85" s="27"/>
      <c r="O85" s="27"/>
      <c r="P85" s="27">
        <f t="shared" si="6"/>
        <v>0</v>
      </c>
    </row>
    <row r="86" spans="2:16" ht="14.5">
      <c r="B86" s="33"/>
      <c r="C86" s="33"/>
      <c r="D86" s="33"/>
      <c r="E86" s="33"/>
      <c r="N86" s="1"/>
      <c r="O86" s="26" t="s">
        <v>10</v>
      </c>
      <c r="P86" s="26">
        <f>SUBTOTAL(9,P69:P85)</f>
        <v>0</v>
      </c>
    </row>
    <row r="87" spans="2:16" ht="14.5">
      <c r="B87" s="33"/>
      <c r="C87" s="33"/>
      <c r="D87" s="33"/>
      <c r="E87" s="33"/>
      <c r="N87" s="1"/>
      <c r="O87" s="1"/>
      <c r="P87" s="1"/>
    </row>
    <row r="88" spans="2:16" ht="14.5">
      <c r="B88" s="33"/>
      <c r="C88" s="33"/>
      <c r="D88" s="33"/>
      <c r="E88" s="33"/>
      <c r="N88" s="1"/>
      <c r="O88" s="1"/>
      <c r="P88" s="1"/>
    </row>
    <row r="89" spans="2:16" ht="14.5">
      <c r="B89" s="33"/>
      <c r="C89" s="33"/>
      <c r="D89" s="33"/>
      <c r="E89" s="33"/>
      <c r="N89" s="1"/>
      <c r="O89" s="1"/>
      <c r="P89" s="1"/>
    </row>
    <row r="90" spans="2:16" ht="14.5">
      <c r="B90" s="33"/>
      <c r="C90" s="33"/>
      <c r="D90" s="33"/>
      <c r="E90" s="33"/>
      <c r="N90" s="1"/>
      <c r="O90" s="1"/>
      <c r="P90" s="1"/>
    </row>
    <row r="91" spans="2:16" ht="14.5">
      <c r="B91" s="33"/>
      <c r="C91" s="33"/>
      <c r="D91" s="33"/>
      <c r="E91" s="33"/>
      <c r="N91" s="1"/>
      <c r="O91" s="1"/>
      <c r="P91" s="1"/>
    </row>
    <row r="92" spans="2:16" ht="14.5">
      <c r="B92" s="33"/>
      <c r="C92" s="33"/>
      <c r="D92" s="33"/>
      <c r="E92" s="33"/>
      <c r="N92" s="1"/>
      <c r="O92" s="1"/>
      <c r="P92" s="1"/>
    </row>
    <row r="93" spans="2:16" ht="14.5">
      <c r="B93" s="33"/>
      <c r="C93" s="33"/>
      <c r="D93" s="33"/>
      <c r="E93" s="33"/>
      <c r="N93" s="1"/>
      <c r="O93" s="1"/>
      <c r="P93" s="1"/>
    </row>
    <row r="94" spans="2:16" ht="14.5">
      <c r="B94" s="33"/>
      <c r="C94" s="33"/>
      <c r="D94" s="33"/>
      <c r="E94" s="33"/>
      <c r="N94" s="1"/>
      <c r="O94" s="1"/>
      <c r="P94" s="1"/>
    </row>
    <row r="95" spans="2:16" ht="14.5">
      <c r="B95" s="33"/>
      <c r="C95" s="33"/>
      <c r="D95" s="33"/>
      <c r="E95" s="33"/>
      <c r="N95" s="1"/>
      <c r="O95" s="1"/>
      <c r="P95" s="1"/>
    </row>
    <row r="96" spans="2:16" ht="14.5">
      <c r="B96" s="33"/>
      <c r="C96" s="33"/>
      <c r="D96" s="33"/>
      <c r="E96" s="33"/>
      <c r="N96" s="1"/>
      <c r="O96" s="1"/>
      <c r="P96" s="1"/>
    </row>
    <row r="97" spans="2:16" ht="14.5">
      <c r="B97" s="33"/>
      <c r="C97" s="33"/>
      <c r="D97" s="33"/>
      <c r="E97" s="33"/>
      <c r="N97" s="1"/>
      <c r="O97" s="1"/>
      <c r="P97" s="1"/>
    </row>
    <row r="98" spans="2:16" ht="14.5">
      <c r="B98" s="33"/>
      <c r="C98" s="33"/>
      <c r="D98" s="33"/>
      <c r="E98" s="33"/>
      <c r="N98" s="1"/>
      <c r="O98" s="1"/>
      <c r="P98" s="1"/>
    </row>
    <row r="99" spans="2:16" ht="14.5">
      <c r="B99" s="33"/>
      <c r="C99" s="33"/>
      <c r="D99" s="33"/>
      <c r="E99" s="33"/>
      <c r="N99" s="1"/>
      <c r="O99" s="1"/>
      <c r="P99" s="1"/>
    </row>
    <row r="100" spans="2:16" ht="14.5">
      <c r="B100" s="33"/>
      <c r="C100" s="33"/>
      <c r="D100" s="33"/>
      <c r="E100" s="33"/>
      <c r="N100" s="1"/>
      <c r="O100" s="1"/>
      <c r="P100" s="1"/>
    </row>
    <row r="101" spans="2:16" ht="14.5">
      <c r="B101" s="33"/>
      <c r="C101" s="33"/>
      <c r="D101" s="33"/>
      <c r="E101" s="33"/>
      <c r="N101" s="1"/>
      <c r="O101" s="1"/>
      <c r="P101" s="1"/>
    </row>
    <row r="102" spans="2:16" ht="14.5">
      <c r="B102" s="33"/>
      <c r="C102" s="33"/>
      <c r="D102" s="33"/>
      <c r="E102" s="33"/>
      <c r="N102" s="1"/>
      <c r="O102" s="1"/>
      <c r="P102" s="1"/>
    </row>
    <row r="103" spans="2:16" ht="14.5">
      <c r="B103" s="33"/>
      <c r="C103" s="33"/>
      <c r="D103" s="33"/>
      <c r="E103" s="33"/>
      <c r="N103" s="1"/>
      <c r="O103" s="1"/>
      <c r="P103" s="1"/>
    </row>
    <row r="104" spans="2:16" ht="14.5">
      <c r="B104" s="33"/>
      <c r="C104" s="33"/>
      <c r="D104" s="33"/>
      <c r="E104" s="33"/>
      <c r="N104" s="1"/>
      <c r="O104" s="1"/>
      <c r="P104" s="1"/>
    </row>
    <row r="105" spans="2:16" ht="14.5">
      <c r="B105" s="33"/>
      <c r="C105" s="33"/>
      <c r="D105" s="33"/>
      <c r="E105" s="33"/>
      <c r="N105" s="1"/>
      <c r="O105" s="1"/>
      <c r="P105" s="1"/>
    </row>
    <row r="106" spans="2:16" ht="14.5">
      <c r="B106" s="33"/>
      <c r="C106" s="33"/>
      <c r="D106" s="33"/>
      <c r="E106" s="33"/>
      <c r="N106" s="1"/>
      <c r="O106" s="1"/>
      <c r="P106" s="1"/>
    </row>
    <row r="107" spans="2:16" ht="14.5">
      <c r="B107" s="33"/>
      <c r="C107" s="33"/>
      <c r="D107" s="33"/>
      <c r="E107" s="33"/>
      <c r="N107" s="1"/>
      <c r="O107" s="1"/>
      <c r="P107" s="1"/>
    </row>
    <row r="108" spans="2:16" ht="14.5">
      <c r="B108" s="33"/>
      <c r="C108" s="33"/>
      <c r="D108" s="33"/>
      <c r="E108" s="33"/>
      <c r="N108" s="1"/>
      <c r="O108" s="1"/>
      <c r="P108" s="1"/>
    </row>
    <row r="109" spans="2:16" ht="14.5">
      <c r="B109" s="33"/>
      <c r="C109" s="33"/>
      <c r="D109" s="33"/>
      <c r="E109" s="33"/>
      <c r="N109" s="1"/>
      <c r="O109" s="1"/>
      <c r="P109" s="1"/>
    </row>
    <row r="110" spans="2:16" ht="14.5">
      <c r="B110" s="33"/>
      <c r="C110" s="33"/>
      <c r="D110" s="33"/>
      <c r="E110" s="33"/>
      <c r="N110" s="1"/>
      <c r="O110" s="1"/>
      <c r="P110" s="1"/>
    </row>
    <row r="111" spans="2:16" ht="14.5">
      <c r="B111" s="33"/>
      <c r="C111" s="33"/>
      <c r="D111" s="33"/>
      <c r="E111" s="33"/>
      <c r="N111" s="1"/>
      <c r="O111" s="1"/>
      <c r="P111" s="1"/>
    </row>
    <row r="112" spans="2:16" ht="14.5">
      <c r="B112" s="33"/>
      <c r="C112" s="33"/>
      <c r="D112" s="33"/>
      <c r="E112" s="33"/>
      <c r="N112" s="1"/>
      <c r="O112" s="1"/>
      <c r="P112" s="1"/>
    </row>
    <row r="113" spans="2:16" ht="14.5">
      <c r="B113" s="33"/>
      <c r="C113" s="33"/>
      <c r="D113" s="33"/>
      <c r="E113" s="33"/>
      <c r="N113" s="1"/>
      <c r="O113" s="1"/>
      <c r="P113" s="1"/>
    </row>
    <row r="114" spans="2:16" ht="14.5">
      <c r="B114" s="33"/>
      <c r="C114" s="33"/>
      <c r="D114" s="33"/>
      <c r="E114" s="33"/>
      <c r="N114" s="1"/>
      <c r="O114" s="1"/>
      <c r="P114" s="1"/>
    </row>
    <row r="115" spans="2:16" ht="14.5">
      <c r="B115" s="33"/>
      <c r="C115" s="33"/>
      <c r="D115" s="33"/>
      <c r="E115" s="33"/>
      <c r="N115" s="1"/>
      <c r="O115" s="1"/>
      <c r="P115" s="1"/>
    </row>
    <row r="116" spans="2:16" ht="14.5">
      <c r="B116" s="33"/>
      <c r="C116" s="33"/>
      <c r="D116" s="33"/>
      <c r="E116" s="33"/>
      <c r="N116" s="1"/>
      <c r="O116" s="1"/>
      <c r="P116" s="1"/>
    </row>
    <row r="117" spans="2:16" ht="14.5">
      <c r="B117" s="33"/>
      <c r="C117" s="33"/>
      <c r="D117" s="33"/>
      <c r="E117" s="33"/>
      <c r="N117" s="1"/>
      <c r="O117" s="1"/>
      <c r="P117" s="1"/>
    </row>
    <row r="118" spans="2:16" ht="14.5">
      <c r="B118" s="33"/>
      <c r="C118" s="33"/>
      <c r="D118" s="33"/>
      <c r="E118" s="33"/>
      <c r="N118" s="1"/>
      <c r="O118" s="1"/>
      <c r="P118" s="1"/>
    </row>
    <row r="119" spans="2:16" ht="14.5">
      <c r="B119" s="33"/>
      <c r="C119" s="33"/>
      <c r="D119" s="33"/>
      <c r="E119" s="33"/>
      <c r="N119" s="1"/>
      <c r="O119" s="1"/>
      <c r="P119" s="1"/>
    </row>
    <row r="120" spans="2:16" ht="14.5">
      <c r="B120" s="33"/>
      <c r="C120" s="33"/>
      <c r="D120" s="33"/>
      <c r="E120" s="33"/>
      <c r="N120" s="1"/>
      <c r="O120" s="1"/>
      <c r="P120" s="1"/>
    </row>
    <row r="121" spans="2:16" ht="14.5">
      <c r="B121" s="33"/>
      <c r="C121" s="33"/>
      <c r="D121" s="33"/>
      <c r="E121" s="33"/>
      <c r="N121" s="1"/>
      <c r="O121" s="1"/>
      <c r="P121" s="1"/>
    </row>
    <row r="122" spans="2:16" ht="14.5">
      <c r="B122" s="33"/>
      <c r="C122" s="33"/>
      <c r="D122" s="33"/>
      <c r="E122" s="33"/>
      <c r="N122" s="1"/>
      <c r="O122" s="1"/>
      <c r="P122" s="1"/>
    </row>
    <row r="123" spans="2:16" ht="14.5">
      <c r="B123" s="33"/>
      <c r="C123" s="33"/>
      <c r="D123" s="33"/>
      <c r="E123" s="33"/>
      <c r="N123" s="1"/>
      <c r="O123" s="1"/>
      <c r="P123" s="1"/>
    </row>
    <row r="124" spans="2:16" ht="14.5">
      <c r="B124" s="33"/>
      <c r="C124" s="33"/>
      <c r="D124" s="33"/>
      <c r="E124" s="33"/>
      <c r="N124" s="1"/>
      <c r="O124" s="1"/>
      <c r="P124" s="1"/>
    </row>
    <row r="125" spans="2:16" ht="14.5">
      <c r="B125" s="33"/>
      <c r="C125" s="33"/>
      <c r="D125" s="33"/>
      <c r="E125" s="33"/>
      <c r="N125" s="1"/>
      <c r="O125" s="1"/>
      <c r="P125" s="1"/>
    </row>
    <row r="126" spans="2:16" ht="14.5">
      <c r="B126" s="33"/>
      <c r="C126" s="33"/>
      <c r="D126" s="33"/>
      <c r="E126" s="33"/>
      <c r="N126" s="1"/>
      <c r="O126" s="1"/>
      <c r="P126" s="1"/>
    </row>
    <row r="127" spans="2:16" ht="14.5">
      <c r="B127" s="33"/>
      <c r="C127" s="33"/>
      <c r="D127" s="33"/>
      <c r="E127" s="33"/>
      <c r="N127" s="1"/>
      <c r="O127" s="1"/>
      <c r="P127" s="1"/>
    </row>
    <row r="128" spans="2:16" ht="14.5">
      <c r="B128" s="33"/>
      <c r="C128" s="33"/>
      <c r="D128" s="33"/>
      <c r="E128" s="33"/>
      <c r="N128" s="1"/>
      <c r="O128" s="1"/>
      <c r="P128" s="1"/>
    </row>
    <row r="129" spans="2:16" ht="14.5">
      <c r="B129" s="33"/>
      <c r="C129" s="33"/>
      <c r="D129" s="33"/>
      <c r="E129" s="33"/>
      <c r="N129" s="1"/>
      <c r="O129" s="1"/>
      <c r="P129" s="1"/>
    </row>
    <row r="130" spans="2:16" ht="14.5">
      <c r="B130" s="33"/>
      <c r="C130" s="33"/>
      <c r="D130" s="33"/>
      <c r="E130" s="33"/>
      <c r="N130" s="1"/>
      <c r="O130" s="1"/>
      <c r="P130" s="1"/>
    </row>
    <row r="131" spans="2:16" ht="14.5">
      <c r="B131" s="33"/>
      <c r="C131" s="33"/>
      <c r="D131" s="33"/>
      <c r="E131" s="33"/>
      <c r="N131" s="1"/>
      <c r="O131" s="1"/>
      <c r="P131" s="1"/>
    </row>
    <row r="132" spans="2:16" ht="14.5">
      <c r="B132" s="33"/>
      <c r="C132" s="33"/>
      <c r="D132" s="33"/>
      <c r="E132" s="33"/>
      <c r="N132" s="1"/>
      <c r="O132" s="1"/>
      <c r="P132" s="1"/>
    </row>
    <row r="133" spans="2:16" ht="14.5">
      <c r="B133" s="33"/>
      <c r="C133" s="33"/>
      <c r="D133" s="33"/>
      <c r="E133" s="33"/>
      <c r="N133" s="1"/>
      <c r="O133" s="1"/>
      <c r="P133" s="1"/>
    </row>
    <row r="134" spans="2:16" ht="14.5">
      <c r="B134" s="33"/>
      <c r="C134" s="33"/>
      <c r="D134" s="33"/>
      <c r="E134" s="33"/>
      <c r="N134" s="1"/>
      <c r="O134" s="1"/>
      <c r="P134" s="1"/>
    </row>
    <row r="135" spans="2:16" ht="14.5">
      <c r="B135" s="33"/>
      <c r="C135" s="33"/>
      <c r="D135" s="33"/>
      <c r="E135" s="33"/>
      <c r="N135" s="1"/>
      <c r="O135" s="1"/>
      <c r="P135" s="1"/>
    </row>
    <row r="136" spans="2:16" ht="14.5">
      <c r="B136" s="33"/>
      <c r="C136" s="33"/>
      <c r="D136" s="33"/>
      <c r="E136" s="33"/>
      <c r="N136" s="1"/>
      <c r="O136" s="1"/>
      <c r="P136" s="1"/>
    </row>
    <row r="137" spans="2:16" ht="14.5">
      <c r="B137" s="33"/>
      <c r="C137" s="33"/>
      <c r="D137" s="33"/>
      <c r="E137" s="33"/>
      <c r="N137" s="1"/>
      <c r="O137" s="1"/>
      <c r="P137" s="1"/>
    </row>
    <row r="138" spans="2:16" ht="14.5">
      <c r="B138" s="33"/>
      <c r="C138" s="33"/>
      <c r="D138" s="33"/>
      <c r="E138" s="33"/>
      <c r="N138" s="1"/>
      <c r="O138" s="1"/>
      <c r="P138" s="1"/>
    </row>
    <row r="139" spans="2:16" ht="14.5">
      <c r="B139" s="33"/>
      <c r="C139" s="33"/>
      <c r="D139" s="33"/>
      <c r="E139" s="33"/>
      <c r="N139" s="1"/>
      <c r="O139" s="1"/>
      <c r="P139" s="1"/>
    </row>
    <row r="140" spans="2:16" ht="14.5">
      <c r="B140" s="33"/>
      <c r="C140" s="33"/>
      <c r="D140" s="33"/>
      <c r="E140" s="33"/>
      <c r="N140" s="1"/>
      <c r="O140" s="1"/>
      <c r="P140" s="1"/>
    </row>
    <row r="141" spans="2:16" ht="14.5">
      <c r="B141" s="33"/>
      <c r="C141" s="33"/>
      <c r="D141" s="33"/>
      <c r="E141" s="33"/>
      <c r="N141" s="1"/>
      <c r="O141" s="1"/>
      <c r="P141" s="1"/>
    </row>
    <row r="142" spans="2:16" ht="14.5">
      <c r="B142" s="33"/>
      <c r="C142" s="33"/>
      <c r="D142" s="33"/>
      <c r="E142" s="33"/>
      <c r="N142" s="1"/>
      <c r="O142" s="1"/>
      <c r="P142" s="1"/>
    </row>
    <row r="143" spans="2:16" ht="14.5">
      <c r="B143" s="33"/>
      <c r="C143" s="33"/>
      <c r="D143" s="33"/>
      <c r="E143" s="33"/>
      <c r="N143" s="1"/>
      <c r="O143" s="1"/>
      <c r="P143" s="1"/>
    </row>
    <row r="144" spans="2:16" ht="14.5">
      <c r="B144" s="33"/>
      <c r="C144" s="33"/>
      <c r="D144" s="33"/>
      <c r="E144" s="33"/>
      <c r="N144" s="1"/>
      <c r="O144" s="1"/>
      <c r="P144" s="1"/>
    </row>
    <row r="145" spans="2:16" ht="14.5">
      <c r="B145" s="33"/>
      <c r="C145" s="33"/>
      <c r="D145" s="33"/>
      <c r="E145" s="33"/>
      <c r="N145" s="1"/>
      <c r="O145" s="1"/>
      <c r="P145" s="1"/>
    </row>
    <row r="146" spans="2:16" ht="14.5">
      <c r="B146" s="33"/>
      <c r="C146" s="33"/>
      <c r="D146" s="33"/>
      <c r="E146" s="33"/>
      <c r="N146" s="1"/>
      <c r="O146" s="1"/>
      <c r="P146" s="1"/>
    </row>
    <row r="147" spans="2:16" ht="14.5">
      <c r="B147" s="33"/>
      <c r="C147" s="33"/>
      <c r="D147" s="33"/>
      <c r="E147" s="33"/>
      <c r="N147" s="1"/>
      <c r="O147" s="1"/>
      <c r="P147" s="1"/>
    </row>
    <row r="148" spans="2:16" ht="14.5">
      <c r="B148" s="33"/>
      <c r="C148" s="33"/>
      <c r="D148" s="33"/>
      <c r="E148" s="33"/>
      <c r="N148" s="1"/>
      <c r="O148" s="1"/>
      <c r="P148" s="1"/>
    </row>
    <row r="149" spans="2:16" ht="14.5">
      <c r="B149" s="33"/>
      <c r="C149" s="33"/>
      <c r="D149" s="33"/>
      <c r="E149" s="33"/>
      <c r="N149" s="1"/>
      <c r="O149" s="1"/>
      <c r="P149" s="1"/>
    </row>
    <row r="150" spans="2:16" ht="14.5">
      <c r="B150" s="33"/>
      <c r="C150" s="33"/>
      <c r="D150" s="33"/>
      <c r="E150" s="33"/>
      <c r="N150" s="1"/>
      <c r="O150" s="1"/>
      <c r="P150" s="1"/>
    </row>
    <row r="151" spans="2:16" ht="14.5">
      <c r="B151" s="33"/>
      <c r="C151" s="33"/>
      <c r="D151" s="33"/>
      <c r="E151" s="33"/>
      <c r="N151" s="1"/>
      <c r="O151" s="1"/>
      <c r="P151" s="1"/>
    </row>
    <row r="152" spans="2:16" ht="14.5">
      <c r="B152" s="33"/>
      <c r="C152" s="33"/>
      <c r="D152" s="33"/>
      <c r="E152" s="33"/>
      <c r="N152" s="1"/>
      <c r="O152" s="1"/>
      <c r="P152" s="1"/>
    </row>
    <row r="153" spans="2:16" ht="14.5">
      <c r="B153" s="33"/>
      <c r="C153" s="33"/>
      <c r="D153" s="33"/>
      <c r="E153" s="33"/>
      <c r="N153" s="1"/>
      <c r="O153" s="1"/>
      <c r="P153" s="1"/>
    </row>
    <row r="154" spans="2:16" ht="14.5">
      <c r="B154" s="33"/>
      <c r="C154" s="33"/>
      <c r="D154" s="33"/>
      <c r="E154" s="33"/>
      <c r="N154" s="1"/>
      <c r="O154" s="1"/>
      <c r="P154" s="1"/>
    </row>
    <row r="155" spans="2:16" ht="14.5">
      <c r="B155" s="33"/>
      <c r="C155" s="33"/>
      <c r="D155" s="33"/>
      <c r="E155" s="33"/>
      <c r="N155" s="1"/>
      <c r="O155" s="1"/>
      <c r="P155" s="1"/>
    </row>
    <row r="156" spans="2:16" ht="14.5">
      <c r="B156" s="33"/>
      <c r="C156" s="33"/>
      <c r="D156" s="33"/>
      <c r="E156" s="33"/>
      <c r="N156" s="1"/>
      <c r="O156" s="1"/>
      <c r="P156" s="1"/>
    </row>
    <row r="157" spans="2:16" ht="14.5">
      <c r="B157" s="33"/>
      <c r="C157" s="33"/>
      <c r="D157" s="33"/>
      <c r="E157" s="33"/>
      <c r="N157" s="1"/>
      <c r="O157" s="1"/>
      <c r="P157" s="1"/>
    </row>
    <row r="158" spans="2:16" ht="14.5">
      <c r="B158" s="33"/>
      <c r="C158" s="33"/>
      <c r="D158" s="33"/>
      <c r="E158" s="33"/>
      <c r="N158" s="1"/>
      <c r="O158" s="1"/>
      <c r="P158" s="1"/>
    </row>
    <row r="159" spans="2:16" ht="14.5">
      <c r="B159" s="33"/>
      <c r="C159" s="33"/>
      <c r="D159" s="33"/>
      <c r="E159" s="33"/>
      <c r="N159" s="1"/>
      <c r="O159" s="1"/>
      <c r="P159" s="1"/>
    </row>
    <row r="160" spans="2:16" ht="14.5">
      <c r="B160" s="33"/>
      <c r="C160" s="33"/>
      <c r="D160" s="33"/>
      <c r="E160" s="33"/>
      <c r="N160" s="1"/>
      <c r="O160" s="1"/>
      <c r="P160" s="1"/>
    </row>
    <row r="161" spans="2:16" ht="14.5">
      <c r="B161" s="33"/>
      <c r="C161" s="33"/>
      <c r="D161" s="33"/>
      <c r="E161" s="33"/>
      <c r="N161" s="1"/>
      <c r="O161" s="1"/>
      <c r="P161" s="1"/>
    </row>
    <row r="162" spans="2:16" ht="14.5">
      <c r="B162" s="33"/>
      <c r="C162" s="33"/>
      <c r="D162" s="33"/>
      <c r="E162" s="33"/>
      <c r="N162" s="1"/>
      <c r="O162" s="1"/>
      <c r="P162" s="1"/>
    </row>
    <row r="163" spans="2:16" ht="14.5">
      <c r="B163" s="33"/>
      <c r="C163" s="33"/>
      <c r="D163" s="33"/>
      <c r="E163" s="33"/>
      <c r="N163" s="1"/>
      <c r="O163" s="1"/>
      <c r="P163" s="1"/>
    </row>
    <row r="164" spans="2:16" ht="14.5">
      <c r="B164" s="33"/>
      <c r="C164" s="33"/>
      <c r="D164" s="33"/>
      <c r="E164" s="33"/>
      <c r="N164" s="1"/>
      <c r="O164" s="1"/>
      <c r="P164" s="1"/>
    </row>
    <row r="165" spans="2:16" ht="14.5">
      <c r="B165" s="33"/>
      <c r="C165" s="33"/>
      <c r="D165" s="33"/>
      <c r="E165" s="33"/>
      <c r="N165" s="1"/>
      <c r="O165" s="1"/>
      <c r="P165" s="1"/>
    </row>
    <row r="166" spans="2:16" ht="14.5">
      <c r="B166" s="33"/>
      <c r="C166" s="33"/>
      <c r="D166" s="33"/>
      <c r="E166" s="33"/>
      <c r="N166" s="1"/>
      <c r="O166" s="1"/>
      <c r="P166" s="1"/>
    </row>
    <row r="167" spans="2:16" ht="14.5">
      <c r="B167" s="33"/>
      <c r="C167" s="33"/>
      <c r="D167" s="33"/>
      <c r="E167" s="33"/>
      <c r="N167" s="1"/>
      <c r="O167" s="1"/>
      <c r="P167" s="1"/>
    </row>
    <row r="168" spans="2:16" ht="14.5">
      <c r="B168" s="33"/>
      <c r="C168" s="33"/>
      <c r="D168" s="33"/>
      <c r="E168" s="33"/>
      <c r="N168" s="1"/>
      <c r="O168" s="1"/>
      <c r="P168" s="1"/>
    </row>
    <row r="169" spans="2:16" ht="14.5">
      <c r="B169" s="33"/>
      <c r="C169" s="33"/>
      <c r="D169" s="33"/>
      <c r="E169" s="33"/>
      <c r="N169" s="1"/>
      <c r="O169" s="1"/>
      <c r="P169" s="1"/>
    </row>
    <row r="170" spans="2:16" ht="14.5">
      <c r="B170" s="33"/>
      <c r="C170" s="33"/>
      <c r="D170" s="33"/>
      <c r="E170" s="33"/>
      <c r="N170" s="1"/>
      <c r="O170" s="1"/>
      <c r="P170" s="1"/>
    </row>
    <row r="171" spans="2:16" ht="14.5">
      <c r="B171" s="33"/>
      <c r="C171" s="33"/>
      <c r="D171" s="33"/>
      <c r="E171" s="33"/>
      <c r="N171" s="1"/>
      <c r="O171" s="1"/>
      <c r="P171" s="1"/>
    </row>
    <row r="172" spans="2:16" ht="14.5">
      <c r="B172" s="33"/>
      <c r="C172" s="33"/>
      <c r="D172" s="33"/>
      <c r="E172" s="33"/>
      <c r="N172" s="1"/>
      <c r="O172" s="1"/>
      <c r="P172" s="1"/>
    </row>
    <row r="173" spans="2:16" ht="14.5">
      <c r="B173" s="33"/>
      <c r="C173" s="33"/>
      <c r="D173" s="33"/>
      <c r="E173" s="33"/>
      <c r="N173" s="1"/>
      <c r="O173" s="1"/>
      <c r="P173" s="1"/>
    </row>
    <row r="174" spans="2:16" ht="14.5">
      <c r="B174" s="33"/>
      <c r="C174" s="33"/>
      <c r="D174" s="33"/>
      <c r="E174" s="33"/>
      <c r="N174" s="1"/>
      <c r="O174" s="1"/>
      <c r="P174" s="1"/>
    </row>
    <row r="175" spans="2:16" ht="14.5">
      <c r="B175" s="33"/>
      <c r="C175" s="33"/>
      <c r="D175" s="33"/>
      <c r="E175" s="33"/>
      <c r="N175" s="1"/>
      <c r="O175" s="1"/>
      <c r="P175" s="1"/>
    </row>
    <row r="176" spans="2:16" ht="14.5">
      <c r="B176" s="33"/>
      <c r="C176" s="33"/>
      <c r="D176" s="33"/>
      <c r="E176" s="33"/>
      <c r="N176" s="1"/>
      <c r="O176" s="1"/>
      <c r="P176" s="1"/>
    </row>
    <row r="177" spans="2:16" ht="14.5">
      <c r="B177" s="33"/>
      <c r="C177" s="33"/>
      <c r="D177" s="33"/>
      <c r="E177" s="33"/>
      <c r="N177" s="1"/>
      <c r="O177" s="1"/>
      <c r="P177" s="1"/>
    </row>
    <row r="178" spans="2:16" ht="14.5">
      <c r="B178" s="33"/>
      <c r="C178" s="33"/>
      <c r="D178" s="33"/>
      <c r="E178" s="33"/>
      <c r="N178" s="1"/>
      <c r="O178" s="1"/>
      <c r="P178" s="1"/>
    </row>
    <row r="179" spans="2:16" ht="14.5">
      <c r="B179" s="33"/>
      <c r="C179" s="33"/>
      <c r="D179" s="33"/>
      <c r="E179" s="33"/>
      <c r="N179" s="1"/>
      <c r="O179" s="1"/>
      <c r="P179" s="1"/>
    </row>
    <row r="180" spans="2:16" ht="14.5">
      <c r="B180" s="33"/>
      <c r="C180" s="33"/>
      <c r="D180" s="33"/>
      <c r="E180" s="33"/>
      <c r="N180" s="1"/>
      <c r="O180" s="1"/>
      <c r="P180" s="1"/>
    </row>
    <row r="181" spans="2:16" ht="14.5">
      <c r="B181" s="33"/>
      <c r="C181" s="33"/>
      <c r="D181" s="33"/>
      <c r="E181" s="33"/>
      <c r="N181" s="1"/>
      <c r="O181" s="1"/>
      <c r="P181" s="1"/>
    </row>
    <row r="182" spans="2:16" ht="14.5">
      <c r="B182" s="33"/>
      <c r="C182" s="33"/>
      <c r="D182" s="33"/>
      <c r="E182" s="33"/>
      <c r="N182" s="1"/>
      <c r="O182" s="1"/>
      <c r="P182" s="1"/>
    </row>
    <row r="183" spans="2:16" ht="14.5">
      <c r="B183" s="33"/>
      <c r="C183" s="33"/>
      <c r="D183" s="33"/>
      <c r="E183" s="33"/>
      <c r="N183" s="1"/>
      <c r="O183" s="1"/>
      <c r="P183" s="1"/>
    </row>
    <row r="184" spans="2:16" ht="14.5">
      <c r="B184" s="33"/>
      <c r="C184" s="33"/>
      <c r="D184" s="33"/>
      <c r="E184" s="33"/>
      <c r="N184" s="1"/>
      <c r="O184" s="1"/>
      <c r="P184" s="1"/>
    </row>
    <row r="185" spans="2:16" ht="14.5">
      <c r="B185" s="33"/>
      <c r="C185" s="33"/>
      <c r="D185" s="33"/>
      <c r="E185" s="33"/>
      <c r="N185" s="1"/>
      <c r="O185" s="1"/>
      <c r="P185" s="1"/>
    </row>
    <row r="186" spans="2:16" ht="14.5">
      <c r="B186" s="33"/>
      <c r="C186" s="33"/>
      <c r="D186" s="33"/>
      <c r="E186" s="33"/>
      <c r="N186" s="1"/>
      <c r="O186" s="1"/>
      <c r="P186" s="1"/>
    </row>
    <row r="187" spans="2:16" ht="14.5">
      <c r="B187" s="33"/>
      <c r="C187" s="33"/>
      <c r="D187" s="33"/>
      <c r="E187" s="33"/>
      <c r="N187" s="1"/>
      <c r="O187" s="1"/>
      <c r="P187" s="1"/>
    </row>
    <row r="188" spans="2:16" ht="14.5">
      <c r="B188" s="33"/>
      <c r="C188" s="33"/>
      <c r="D188" s="33"/>
      <c r="E188" s="33"/>
      <c r="N188" s="1"/>
      <c r="O188" s="1"/>
      <c r="P188" s="1"/>
    </row>
    <row r="189" spans="2:16" ht="14.5">
      <c r="B189" s="33"/>
      <c r="C189" s="33"/>
      <c r="D189" s="33"/>
      <c r="E189" s="33"/>
      <c r="N189" s="1"/>
      <c r="O189" s="1"/>
      <c r="P189" s="1"/>
    </row>
    <row r="190" spans="2:16" ht="14.5">
      <c r="B190" s="33"/>
      <c r="C190" s="33"/>
      <c r="D190" s="33"/>
      <c r="E190" s="33"/>
      <c r="N190" s="1"/>
      <c r="O190" s="1"/>
      <c r="P190" s="1"/>
    </row>
    <row r="191" spans="2:16" ht="14.5">
      <c r="B191" s="33"/>
      <c r="C191" s="33"/>
      <c r="D191" s="33"/>
      <c r="E191" s="33"/>
      <c r="N191" s="1"/>
      <c r="O191" s="1"/>
      <c r="P191" s="1"/>
    </row>
    <row r="192" spans="2:16" ht="14.5">
      <c r="B192" s="33"/>
      <c r="C192" s="33"/>
      <c r="D192" s="33"/>
      <c r="E192" s="33"/>
      <c r="N192" s="1"/>
      <c r="O192" s="1"/>
      <c r="P192" s="1"/>
    </row>
    <row r="193" spans="2:16" ht="14.5">
      <c r="B193" s="33"/>
      <c r="C193" s="33"/>
      <c r="D193" s="33"/>
      <c r="E193" s="33"/>
      <c r="N193" s="1"/>
      <c r="O193" s="1"/>
      <c r="P193" s="1"/>
    </row>
    <row r="194" spans="2:16" ht="14.5">
      <c r="B194" s="33"/>
      <c r="C194" s="33"/>
      <c r="D194" s="33"/>
      <c r="E194" s="33"/>
      <c r="N194" s="1"/>
      <c r="O194" s="1"/>
      <c r="P194" s="1"/>
    </row>
    <row r="195" spans="2:16" ht="14.5">
      <c r="B195" s="33"/>
      <c r="C195" s="33"/>
      <c r="D195" s="33"/>
      <c r="E195" s="33"/>
      <c r="N195" s="1"/>
      <c r="O195" s="1"/>
      <c r="P195" s="1"/>
    </row>
    <row r="196" spans="2:16" ht="14.5">
      <c r="B196" s="33"/>
      <c r="C196" s="33"/>
      <c r="D196" s="33"/>
      <c r="E196" s="33"/>
      <c r="N196" s="1"/>
      <c r="O196" s="1"/>
      <c r="P196" s="1"/>
    </row>
    <row r="197" spans="2:16" ht="14.5">
      <c r="B197" s="33"/>
      <c r="C197" s="33"/>
      <c r="D197" s="33"/>
      <c r="E197" s="33"/>
      <c r="N197" s="1"/>
      <c r="O197" s="1"/>
      <c r="P197" s="1"/>
    </row>
    <row r="198" spans="2:16" ht="14.5">
      <c r="B198" s="33"/>
      <c r="C198" s="33"/>
      <c r="D198" s="33"/>
      <c r="E198" s="33"/>
      <c r="N198" s="1"/>
      <c r="O198" s="1"/>
      <c r="P198" s="1"/>
    </row>
    <row r="199" spans="2:16" ht="14.5">
      <c r="B199" s="33"/>
      <c r="C199" s="33"/>
      <c r="D199" s="33"/>
      <c r="E199" s="33"/>
      <c r="N199" s="1"/>
      <c r="O199" s="1"/>
      <c r="P199" s="1"/>
    </row>
    <row r="200" spans="2:16" ht="14.5">
      <c r="B200" s="33"/>
      <c r="C200" s="33"/>
      <c r="D200" s="33"/>
      <c r="E200" s="33"/>
      <c r="N200" s="1"/>
      <c r="O200" s="1"/>
      <c r="P200" s="1"/>
    </row>
    <row r="201" spans="2:16" ht="14.5">
      <c r="B201" s="33"/>
      <c r="C201" s="33"/>
      <c r="D201" s="33"/>
      <c r="E201" s="33"/>
      <c r="N201" s="1"/>
      <c r="O201" s="1"/>
      <c r="P201" s="1"/>
    </row>
    <row r="202" spans="2:16" ht="14.5">
      <c r="B202" s="33"/>
      <c r="C202" s="33"/>
      <c r="D202" s="33"/>
      <c r="E202" s="33"/>
      <c r="N202" s="1"/>
      <c r="O202" s="1"/>
      <c r="P202" s="1"/>
    </row>
    <row r="203" spans="2:16" ht="14.5">
      <c r="B203" s="33"/>
      <c r="C203" s="33"/>
      <c r="D203" s="33"/>
      <c r="E203" s="33"/>
      <c r="N203" s="1"/>
      <c r="O203" s="1"/>
      <c r="P203" s="1"/>
    </row>
    <row r="204" spans="2:16" ht="14.5">
      <c r="B204" s="33"/>
      <c r="C204" s="33"/>
      <c r="D204" s="33"/>
      <c r="E204" s="33"/>
      <c r="N204" s="1"/>
      <c r="O204" s="1"/>
      <c r="P204" s="1"/>
    </row>
    <row r="205" spans="2:16" ht="14.5">
      <c r="B205" s="33"/>
      <c r="C205" s="33"/>
      <c r="D205" s="33"/>
      <c r="E205" s="33"/>
      <c r="N205" s="1"/>
      <c r="O205" s="1"/>
      <c r="P205" s="1"/>
    </row>
    <row r="206" spans="2:16" ht="14.5">
      <c r="B206" s="33"/>
      <c r="C206" s="33"/>
      <c r="D206" s="33"/>
      <c r="E206" s="33"/>
      <c r="N206" s="1"/>
      <c r="O206" s="1"/>
      <c r="P206" s="1"/>
    </row>
    <row r="207" spans="2:16" ht="14.5">
      <c r="B207" s="33"/>
      <c r="C207" s="33"/>
      <c r="D207" s="33"/>
      <c r="E207" s="33"/>
      <c r="N207" s="1"/>
      <c r="O207" s="1"/>
      <c r="P207" s="1"/>
    </row>
    <row r="208" spans="2:16" ht="14.5">
      <c r="B208" s="33"/>
      <c r="C208" s="33"/>
      <c r="D208" s="33"/>
      <c r="E208" s="33"/>
      <c r="N208" s="1"/>
      <c r="O208" s="1"/>
      <c r="P208" s="1"/>
    </row>
    <row r="209" spans="2:16" ht="14.5">
      <c r="B209" s="33"/>
      <c r="C209" s="33"/>
      <c r="D209" s="33"/>
      <c r="E209" s="33"/>
      <c r="N209" s="1"/>
      <c r="O209" s="1"/>
      <c r="P209" s="1"/>
    </row>
    <row r="210" spans="2:16" ht="14.5">
      <c r="B210" s="33"/>
      <c r="C210" s="33"/>
      <c r="D210" s="33"/>
      <c r="E210" s="33"/>
      <c r="N210" s="1"/>
      <c r="O210" s="1"/>
      <c r="P210" s="1"/>
    </row>
    <row r="211" spans="2:16" ht="14.5">
      <c r="B211" s="33"/>
      <c r="C211" s="33"/>
      <c r="D211" s="33"/>
      <c r="E211" s="33"/>
      <c r="N211" s="1"/>
      <c r="O211" s="1"/>
      <c r="P211" s="1"/>
    </row>
    <row r="212" spans="2:16" ht="14.5">
      <c r="B212" s="33"/>
      <c r="C212" s="33"/>
      <c r="D212" s="33"/>
      <c r="E212" s="33"/>
      <c r="N212" s="1"/>
      <c r="O212" s="1"/>
      <c r="P212" s="1"/>
    </row>
    <row r="213" spans="2:16" ht="14.5">
      <c r="B213" s="33"/>
      <c r="C213" s="33"/>
      <c r="D213" s="33"/>
      <c r="E213" s="33"/>
      <c r="N213" s="1"/>
      <c r="O213" s="1"/>
      <c r="P213" s="1"/>
    </row>
    <row r="214" spans="2:16" ht="14.5">
      <c r="B214" s="33"/>
      <c r="C214" s="33"/>
      <c r="D214" s="33"/>
      <c r="E214" s="33"/>
      <c r="N214" s="1"/>
      <c r="O214" s="1"/>
      <c r="P214" s="1"/>
    </row>
    <row r="215" spans="2:16" ht="14.5">
      <c r="B215" s="33"/>
      <c r="C215" s="33"/>
      <c r="D215" s="33"/>
      <c r="E215" s="33"/>
      <c r="N215" s="1"/>
      <c r="O215" s="1"/>
      <c r="P215" s="1"/>
    </row>
    <row r="216" spans="2:16" ht="14.5">
      <c r="B216" s="33"/>
      <c r="C216" s="33"/>
      <c r="D216" s="33"/>
      <c r="E216" s="33"/>
      <c r="N216" s="1"/>
      <c r="O216" s="1"/>
      <c r="P216" s="1"/>
    </row>
    <row r="217" spans="2:16" ht="14.5">
      <c r="B217" s="33"/>
      <c r="C217" s="33"/>
      <c r="D217" s="33"/>
      <c r="E217" s="33"/>
      <c r="N217" s="1"/>
      <c r="O217" s="1"/>
      <c r="P217" s="1"/>
    </row>
    <row r="218" spans="2:16" ht="14.5">
      <c r="B218" s="33"/>
      <c r="C218" s="33"/>
      <c r="D218" s="33"/>
      <c r="E218" s="33"/>
      <c r="N218" s="1"/>
      <c r="O218" s="1"/>
      <c r="P218" s="1"/>
    </row>
    <row r="219" spans="2:16" ht="14.5">
      <c r="B219" s="33"/>
      <c r="C219" s="33"/>
      <c r="D219" s="33"/>
      <c r="E219" s="33"/>
      <c r="N219" s="1"/>
      <c r="O219" s="1"/>
      <c r="P219" s="1"/>
    </row>
    <row r="220" spans="2:16" ht="14.5">
      <c r="B220" s="33"/>
      <c r="C220" s="33"/>
      <c r="D220" s="33"/>
      <c r="E220" s="33"/>
      <c r="N220" s="1"/>
      <c r="O220" s="1"/>
      <c r="P220" s="1"/>
    </row>
    <row r="221" spans="2:16" ht="14.5">
      <c r="B221" s="33"/>
      <c r="C221" s="33"/>
      <c r="D221" s="33"/>
      <c r="E221" s="33"/>
      <c r="N221" s="1"/>
      <c r="O221" s="1"/>
      <c r="P221" s="1"/>
    </row>
    <row r="222" spans="2:16" ht="14.5">
      <c r="B222" s="33"/>
      <c r="C222" s="33"/>
      <c r="D222" s="33"/>
      <c r="E222" s="33"/>
      <c r="N222" s="1"/>
      <c r="O222" s="1"/>
      <c r="P222" s="1"/>
    </row>
    <row r="223" spans="2:16" ht="14.5">
      <c r="B223" s="33"/>
      <c r="C223" s="33"/>
      <c r="D223" s="33"/>
      <c r="E223" s="33"/>
      <c r="N223" s="1"/>
      <c r="O223" s="1"/>
      <c r="P223" s="1"/>
    </row>
    <row r="224" spans="2:16" ht="14.5">
      <c r="B224" s="33"/>
      <c r="C224" s="33"/>
      <c r="D224" s="33"/>
      <c r="E224" s="33"/>
      <c r="N224" s="1"/>
      <c r="O224" s="1"/>
      <c r="P224" s="1"/>
    </row>
    <row r="225" spans="2:16" ht="14.5">
      <c r="B225" s="33"/>
      <c r="C225" s="33"/>
      <c r="D225" s="33"/>
      <c r="E225" s="33"/>
      <c r="N225" s="1"/>
      <c r="O225" s="1"/>
      <c r="P225" s="1"/>
    </row>
    <row r="226" spans="2:16" ht="14.5">
      <c r="B226" s="33"/>
      <c r="C226" s="33"/>
      <c r="D226" s="33"/>
      <c r="E226" s="33"/>
      <c r="N226" s="1"/>
      <c r="O226" s="1"/>
      <c r="P226" s="1"/>
    </row>
    <row r="227" spans="2:16" ht="14.5">
      <c r="B227" s="33"/>
      <c r="C227" s="33"/>
      <c r="D227" s="33"/>
      <c r="E227" s="33"/>
      <c r="N227" s="1"/>
      <c r="O227" s="1"/>
      <c r="P227" s="1"/>
    </row>
    <row r="228" spans="2:16" ht="14.5">
      <c r="B228" s="33"/>
      <c r="C228" s="33"/>
      <c r="D228" s="33"/>
      <c r="E228" s="33"/>
      <c r="N228" s="1"/>
      <c r="O228" s="1"/>
      <c r="P228" s="1"/>
    </row>
    <row r="229" spans="2:16" ht="14.5">
      <c r="B229" s="33"/>
      <c r="C229" s="33"/>
      <c r="D229" s="33"/>
      <c r="E229" s="33"/>
      <c r="N229" s="1"/>
      <c r="O229" s="1"/>
      <c r="P229" s="1"/>
    </row>
    <row r="230" spans="2:16" ht="14.5">
      <c r="B230" s="33"/>
      <c r="C230" s="33"/>
      <c r="D230" s="33"/>
      <c r="E230" s="33"/>
      <c r="N230" s="1"/>
      <c r="O230" s="1"/>
      <c r="P230" s="1"/>
    </row>
    <row r="231" spans="2:16" ht="14.5">
      <c r="B231" s="33"/>
      <c r="C231" s="33"/>
      <c r="D231" s="33"/>
      <c r="E231" s="33"/>
      <c r="N231" s="1"/>
      <c r="O231" s="1"/>
      <c r="P231" s="1"/>
    </row>
    <row r="232" spans="2:16" ht="14.5">
      <c r="B232" s="33"/>
      <c r="C232" s="33"/>
      <c r="D232" s="33"/>
      <c r="E232" s="33"/>
      <c r="N232" s="1"/>
      <c r="O232" s="1"/>
      <c r="P232" s="1"/>
    </row>
    <row r="233" spans="2:16" ht="14.5">
      <c r="B233" s="33"/>
      <c r="C233" s="33"/>
      <c r="D233" s="33"/>
      <c r="E233" s="33"/>
      <c r="N233" s="1"/>
      <c r="O233" s="1"/>
      <c r="P233" s="1"/>
    </row>
    <row r="234" spans="2:16" ht="14.5">
      <c r="B234" s="33"/>
      <c r="C234" s="33"/>
      <c r="D234" s="33"/>
      <c r="E234" s="33"/>
      <c r="N234" s="1"/>
      <c r="O234" s="1"/>
      <c r="P234" s="1"/>
    </row>
    <row r="235" spans="2:16" ht="14.5">
      <c r="B235" s="33"/>
      <c r="C235" s="33"/>
      <c r="D235" s="33"/>
      <c r="E235" s="33"/>
      <c r="N235" s="1"/>
      <c r="O235" s="1"/>
      <c r="P235" s="1"/>
    </row>
    <row r="236" spans="2:16" ht="14.5">
      <c r="B236" s="33"/>
      <c r="C236" s="33"/>
      <c r="D236" s="33"/>
      <c r="E236" s="33"/>
      <c r="N236" s="1"/>
      <c r="O236" s="1"/>
      <c r="P236" s="1"/>
    </row>
    <row r="237" spans="2:16" ht="14.5">
      <c r="B237" s="33"/>
      <c r="C237" s="33"/>
      <c r="D237" s="33"/>
      <c r="E237" s="33"/>
      <c r="N237" s="1"/>
      <c r="O237" s="1"/>
      <c r="P237" s="1"/>
    </row>
    <row r="238" spans="2:16" ht="14.5">
      <c r="B238" s="33"/>
      <c r="C238" s="33"/>
      <c r="D238" s="33"/>
      <c r="E238" s="33"/>
      <c r="N238" s="1"/>
      <c r="O238" s="1"/>
      <c r="P238" s="1"/>
    </row>
    <row r="239" spans="2:16" ht="14.5">
      <c r="B239" s="33"/>
      <c r="C239" s="33"/>
      <c r="D239" s="33"/>
      <c r="E239" s="33"/>
      <c r="N239" s="1"/>
      <c r="O239" s="1"/>
      <c r="P239" s="1"/>
    </row>
    <row r="240" spans="2:16" ht="14.5">
      <c r="B240" s="33"/>
      <c r="C240" s="33"/>
      <c r="D240" s="33"/>
      <c r="E240" s="33"/>
      <c r="N240" s="1"/>
      <c r="O240" s="1"/>
      <c r="P240" s="1"/>
    </row>
    <row r="241" spans="2:16" ht="14.5">
      <c r="B241" s="33"/>
      <c r="C241" s="33"/>
      <c r="D241" s="33"/>
      <c r="E241" s="33"/>
      <c r="N241" s="1"/>
      <c r="O241" s="1"/>
      <c r="P241" s="1"/>
    </row>
    <row r="242" spans="2:16" ht="14.5">
      <c r="B242" s="33"/>
      <c r="C242" s="33"/>
      <c r="D242" s="33"/>
      <c r="E242" s="33"/>
      <c r="N242" s="1"/>
      <c r="O242" s="1"/>
      <c r="P242" s="1"/>
    </row>
    <row r="243" spans="2:16" ht="14.5">
      <c r="B243" s="33"/>
      <c r="C243" s="33"/>
      <c r="D243" s="33"/>
      <c r="E243" s="33"/>
      <c r="N243" s="1"/>
      <c r="O243" s="1"/>
      <c r="P243" s="1"/>
    </row>
    <row r="244" spans="2:16" ht="14.5">
      <c r="B244" s="33"/>
      <c r="C244" s="33"/>
      <c r="D244" s="33"/>
      <c r="E244" s="33"/>
      <c r="N244" s="1"/>
      <c r="O244" s="1"/>
      <c r="P244" s="1"/>
    </row>
    <row r="245" spans="2:16" ht="14.5">
      <c r="B245" s="33"/>
      <c r="C245" s="33"/>
      <c r="D245" s="33"/>
      <c r="E245" s="33"/>
      <c r="N245" s="1"/>
      <c r="O245" s="1"/>
      <c r="P245" s="1"/>
    </row>
    <row r="246" spans="2:16" ht="14.5">
      <c r="B246" s="33"/>
      <c r="C246" s="33"/>
      <c r="D246" s="33"/>
      <c r="E246" s="33"/>
      <c r="N246" s="1"/>
      <c r="O246" s="1"/>
      <c r="P246" s="1"/>
    </row>
    <row r="247" spans="2:16" ht="14.5">
      <c r="B247" s="33"/>
      <c r="C247" s="33"/>
      <c r="D247" s="33"/>
      <c r="E247" s="33"/>
      <c r="N247" s="1"/>
      <c r="O247" s="1"/>
      <c r="P247" s="1"/>
    </row>
    <row r="248" spans="2:16" ht="14.5">
      <c r="B248" s="33"/>
      <c r="C248" s="33"/>
      <c r="D248" s="33"/>
      <c r="E248" s="33"/>
      <c r="N248" s="1"/>
      <c r="O248" s="1"/>
      <c r="P248" s="1"/>
    </row>
    <row r="249" spans="2:16" ht="14.5">
      <c r="B249" s="33"/>
      <c r="C249" s="33"/>
      <c r="D249" s="33"/>
      <c r="E249" s="33"/>
      <c r="N249" s="1"/>
      <c r="O249" s="1"/>
      <c r="P249" s="1"/>
    </row>
    <row r="250" spans="2:16" ht="14.5">
      <c r="B250" s="33"/>
      <c r="C250" s="33"/>
      <c r="D250" s="33"/>
      <c r="E250" s="33"/>
      <c r="N250" s="1"/>
      <c r="O250" s="1"/>
      <c r="P250" s="1"/>
    </row>
    <row r="251" spans="2:16" ht="14.5">
      <c r="B251" s="33"/>
      <c r="C251" s="33"/>
      <c r="D251" s="33"/>
      <c r="E251" s="33"/>
      <c r="N251" s="1"/>
      <c r="O251" s="1"/>
      <c r="P251" s="1"/>
    </row>
    <row r="252" spans="2:16" ht="14.5">
      <c r="B252" s="33"/>
      <c r="C252" s="33"/>
      <c r="D252" s="33"/>
      <c r="E252" s="33"/>
      <c r="N252" s="1"/>
      <c r="O252" s="1"/>
      <c r="P252" s="1"/>
    </row>
    <row r="253" spans="2:16" ht="14.5">
      <c r="B253" s="33"/>
      <c r="C253" s="33"/>
      <c r="D253" s="33"/>
      <c r="E253" s="33"/>
      <c r="N253" s="1"/>
      <c r="O253" s="1"/>
      <c r="P253" s="1"/>
    </row>
    <row r="254" spans="2:16" ht="14.5">
      <c r="B254" s="33"/>
      <c r="C254" s="33"/>
      <c r="D254" s="33"/>
      <c r="E254" s="33"/>
      <c r="N254" s="1"/>
      <c r="O254" s="1"/>
      <c r="P254" s="1"/>
    </row>
    <row r="255" spans="2:16" ht="14.5">
      <c r="B255" s="33"/>
      <c r="C255" s="33"/>
      <c r="D255" s="33"/>
      <c r="E255" s="33"/>
      <c r="N255" s="1"/>
      <c r="O255" s="1"/>
      <c r="P255" s="1"/>
    </row>
    <row r="256" spans="2:16" ht="14.5">
      <c r="B256" s="33"/>
      <c r="C256" s="33"/>
      <c r="D256" s="33"/>
      <c r="E256" s="33"/>
      <c r="N256" s="1"/>
      <c r="O256" s="1"/>
      <c r="P256" s="1"/>
    </row>
    <row r="257" spans="2:16" ht="14.5">
      <c r="B257" s="33"/>
      <c r="C257" s="33"/>
      <c r="D257" s="33"/>
      <c r="E257" s="33"/>
      <c r="N257" s="1"/>
      <c r="O257" s="1"/>
      <c r="P257" s="1"/>
    </row>
    <row r="258" spans="2:16" ht="14.5">
      <c r="B258" s="33"/>
      <c r="C258" s="33"/>
      <c r="D258" s="33"/>
      <c r="E258" s="33"/>
      <c r="N258" s="1"/>
      <c r="O258" s="1"/>
      <c r="P258" s="1"/>
    </row>
    <row r="259" spans="2:16" ht="14.5">
      <c r="B259" s="33"/>
      <c r="C259" s="33"/>
      <c r="D259" s="33"/>
      <c r="E259" s="33"/>
      <c r="N259" s="1"/>
      <c r="O259" s="1"/>
      <c r="P259" s="1"/>
    </row>
    <row r="260" spans="2:16" ht="14.5">
      <c r="B260" s="33"/>
      <c r="C260" s="33"/>
      <c r="D260" s="33"/>
      <c r="E260" s="33"/>
      <c r="N260" s="1"/>
      <c r="O260" s="1"/>
      <c r="P260" s="1"/>
    </row>
    <row r="261" spans="2:16" ht="14.5">
      <c r="B261" s="33"/>
      <c r="C261" s="33"/>
      <c r="D261" s="33"/>
      <c r="E261" s="33"/>
      <c r="N261" s="1"/>
      <c r="O261" s="1"/>
      <c r="P261" s="1"/>
    </row>
    <row r="262" spans="2:16" ht="14.5">
      <c r="B262" s="33"/>
      <c r="C262" s="33"/>
      <c r="D262" s="33"/>
      <c r="E262" s="33"/>
      <c r="N262" s="1"/>
      <c r="O262" s="1"/>
      <c r="P262" s="1"/>
    </row>
    <row r="263" spans="2:16" ht="14.5">
      <c r="B263" s="33"/>
      <c r="C263" s="33"/>
      <c r="D263" s="33"/>
      <c r="E263" s="33"/>
      <c r="N263" s="1"/>
      <c r="O263" s="1"/>
      <c r="P263" s="1"/>
    </row>
    <row r="264" spans="2:16" ht="14.5">
      <c r="B264" s="33"/>
      <c r="C264" s="33"/>
      <c r="D264" s="33"/>
      <c r="E264" s="33"/>
      <c r="N264" s="1"/>
      <c r="O264" s="1"/>
      <c r="P264" s="1"/>
    </row>
    <row r="265" spans="2:16" ht="14.5">
      <c r="B265" s="33"/>
      <c r="C265" s="33"/>
      <c r="D265" s="33"/>
      <c r="E265" s="33"/>
      <c r="N265" s="1"/>
      <c r="O265" s="1"/>
      <c r="P265" s="1"/>
    </row>
    <row r="266" spans="2:16" ht="14.5">
      <c r="B266" s="33"/>
      <c r="C266" s="33"/>
      <c r="D266" s="33"/>
      <c r="E266" s="33"/>
      <c r="N266" s="1"/>
      <c r="O266" s="1"/>
      <c r="P266" s="1"/>
    </row>
    <row r="267" spans="2:16" ht="14.5">
      <c r="B267" s="33"/>
      <c r="C267" s="33"/>
      <c r="D267" s="33"/>
      <c r="E267" s="33"/>
      <c r="N267" s="1"/>
      <c r="O267" s="1"/>
      <c r="P267" s="1"/>
    </row>
    <row r="268" spans="2:16" ht="14.5">
      <c r="B268" s="33"/>
      <c r="C268" s="33"/>
      <c r="D268" s="33"/>
      <c r="E268" s="33"/>
      <c r="N268" s="1"/>
      <c r="O268" s="1"/>
      <c r="P268" s="1"/>
    </row>
    <row r="269" spans="2:16" ht="14.5">
      <c r="B269" s="33"/>
      <c r="C269" s="33"/>
      <c r="D269" s="33"/>
      <c r="E269" s="33"/>
      <c r="N269" s="1"/>
      <c r="O269" s="1"/>
      <c r="P269" s="1"/>
    </row>
    <row r="270" spans="2:16" ht="14.5">
      <c r="B270" s="33"/>
      <c r="C270" s="33"/>
      <c r="D270" s="33"/>
      <c r="E270" s="33"/>
      <c r="N270" s="1"/>
      <c r="O270" s="1"/>
      <c r="P270" s="1"/>
    </row>
    <row r="271" spans="2:16" ht="14.5">
      <c r="B271" s="33"/>
      <c r="C271" s="33"/>
      <c r="D271" s="33"/>
      <c r="E271" s="33"/>
      <c r="N271" s="1"/>
      <c r="O271" s="1"/>
      <c r="P271" s="1"/>
    </row>
    <row r="272" spans="2:16" ht="14.5">
      <c r="B272" s="33"/>
      <c r="C272" s="33"/>
      <c r="D272" s="33"/>
      <c r="E272" s="33"/>
      <c r="N272" s="1"/>
      <c r="O272" s="1"/>
      <c r="P272" s="1"/>
    </row>
    <row r="273" spans="2:16" ht="14.5">
      <c r="B273" s="33"/>
      <c r="C273" s="33"/>
      <c r="D273" s="33"/>
      <c r="E273" s="33"/>
      <c r="N273" s="1"/>
      <c r="O273" s="1"/>
      <c r="P273" s="1"/>
    </row>
    <row r="274" spans="2:16" ht="14.5">
      <c r="B274" s="33"/>
      <c r="C274" s="33"/>
      <c r="D274" s="33"/>
      <c r="E274" s="33"/>
      <c r="N274" s="1"/>
      <c r="O274" s="1"/>
      <c r="P274" s="1"/>
    </row>
    <row r="275" spans="2:16" ht="14.5">
      <c r="B275" s="33"/>
      <c r="C275" s="33"/>
      <c r="D275" s="33"/>
      <c r="E275" s="33"/>
      <c r="N275" s="1"/>
      <c r="O275" s="1"/>
      <c r="P275" s="1"/>
    </row>
    <row r="276" spans="2:16" ht="14.5">
      <c r="B276" s="33"/>
      <c r="C276" s="33"/>
      <c r="D276" s="33"/>
      <c r="E276" s="33"/>
      <c r="N276" s="1"/>
      <c r="O276" s="1"/>
      <c r="P276" s="1"/>
    </row>
    <row r="277" spans="2:16" ht="14.5">
      <c r="B277" s="33"/>
      <c r="C277" s="33"/>
      <c r="D277" s="33"/>
      <c r="E277" s="33"/>
      <c r="N277" s="1"/>
      <c r="O277" s="1"/>
      <c r="P277" s="1"/>
    </row>
    <row r="278" spans="2:16" ht="14.5">
      <c r="B278" s="33"/>
      <c r="C278" s="33"/>
      <c r="D278" s="33"/>
      <c r="E278" s="33"/>
      <c r="N278" s="1"/>
      <c r="O278" s="1"/>
      <c r="P278" s="1"/>
    </row>
    <row r="279" spans="2:16" ht="14.5">
      <c r="B279" s="33"/>
      <c r="C279" s="33"/>
      <c r="D279" s="33"/>
      <c r="E279" s="33"/>
      <c r="N279" s="1"/>
      <c r="O279" s="1"/>
      <c r="P279" s="1"/>
    </row>
    <row r="280" spans="2:16" ht="14.5">
      <c r="B280" s="33"/>
      <c r="C280" s="33"/>
      <c r="D280" s="33"/>
      <c r="E280" s="33"/>
      <c r="N280" s="1"/>
      <c r="O280" s="1"/>
      <c r="P280" s="1"/>
    </row>
    <row r="281" spans="2:16" ht="14.5">
      <c r="B281" s="33"/>
      <c r="C281" s="33"/>
      <c r="D281" s="33"/>
      <c r="E281" s="33"/>
      <c r="N281" s="1"/>
      <c r="O281" s="1"/>
      <c r="P281" s="1"/>
    </row>
    <row r="282" spans="2:16" ht="14.5">
      <c r="B282" s="33"/>
      <c r="C282" s="33"/>
      <c r="D282" s="33"/>
      <c r="E282" s="33"/>
      <c r="N282" s="1"/>
      <c r="O282" s="1"/>
      <c r="P282" s="1"/>
    </row>
    <row r="283" spans="2:16" ht="14.5">
      <c r="B283" s="33"/>
      <c r="C283" s="33"/>
      <c r="D283" s="33"/>
      <c r="E283" s="33"/>
      <c r="N283" s="1"/>
      <c r="O283" s="1"/>
      <c r="P283" s="1"/>
    </row>
    <row r="284" spans="2:16" ht="14.5">
      <c r="B284" s="33"/>
      <c r="C284" s="33"/>
      <c r="D284" s="33"/>
      <c r="E284" s="33"/>
      <c r="N284" s="1"/>
      <c r="O284" s="1"/>
      <c r="P284" s="1"/>
    </row>
    <row r="285" spans="2:16" ht="14.5">
      <c r="B285" s="33"/>
      <c r="C285" s="33"/>
      <c r="D285" s="33"/>
      <c r="E285" s="33"/>
      <c r="N285" s="1"/>
      <c r="O285" s="1"/>
      <c r="P285" s="1"/>
    </row>
    <row r="286" spans="2:16" ht="14.5">
      <c r="B286" s="33"/>
      <c r="C286" s="33"/>
      <c r="D286" s="33"/>
      <c r="E286" s="33"/>
      <c r="N286" s="1"/>
      <c r="O286" s="1"/>
      <c r="P286" s="1"/>
    </row>
    <row r="287" spans="2:16" ht="14.5">
      <c r="B287" s="33"/>
      <c r="C287" s="33"/>
      <c r="D287" s="33"/>
      <c r="E287" s="33"/>
      <c r="N287" s="1"/>
      <c r="O287" s="1"/>
      <c r="P287" s="1"/>
    </row>
    <row r="288" spans="2:16" ht="14.5">
      <c r="B288" s="33"/>
      <c r="C288" s="33"/>
      <c r="D288" s="33"/>
      <c r="E288" s="33"/>
      <c r="N288" s="1"/>
      <c r="O288" s="1"/>
      <c r="P288" s="1"/>
    </row>
    <row r="289" spans="2:16" ht="14.5">
      <c r="B289" s="33"/>
      <c r="C289" s="33"/>
      <c r="D289" s="33"/>
      <c r="E289" s="33"/>
      <c r="N289" s="1"/>
      <c r="O289" s="1"/>
      <c r="P289" s="1"/>
    </row>
    <row r="290" spans="2:16" ht="14.5">
      <c r="B290" s="33"/>
      <c r="C290" s="33"/>
      <c r="D290" s="33"/>
      <c r="E290" s="33"/>
      <c r="N290" s="1"/>
      <c r="O290" s="1"/>
      <c r="P290" s="1"/>
    </row>
    <row r="291" spans="2:16" ht="14.5">
      <c r="B291" s="33"/>
      <c r="C291" s="33"/>
      <c r="D291" s="33"/>
      <c r="E291" s="33"/>
      <c r="N291" s="1"/>
      <c r="O291" s="1"/>
      <c r="P291" s="1"/>
    </row>
    <row r="292" spans="2:16" ht="14.5">
      <c r="B292" s="33"/>
      <c r="C292" s="33"/>
      <c r="D292" s="33"/>
      <c r="E292" s="33"/>
      <c r="N292" s="1"/>
      <c r="O292" s="1"/>
      <c r="P292" s="1"/>
    </row>
    <row r="293" spans="2:16" ht="14.5">
      <c r="B293" s="33"/>
      <c r="C293" s="33"/>
      <c r="D293" s="33"/>
      <c r="E293" s="33"/>
      <c r="N293" s="1"/>
      <c r="O293" s="1"/>
      <c r="P293" s="1"/>
    </row>
    <row r="294" spans="2:16" ht="14.5">
      <c r="B294" s="33"/>
      <c r="C294" s="33"/>
      <c r="D294" s="33"/>
      <c r="E294" s="33"/>
      <c r="N294" s="1"/>
      <c r="O294" s="1"/>
      <c r="P294" s="1"/>
    </row>
    <row r="295" spans="2:16" ht="14.5">
      <c r="B295" s="33"/>
      <c r="C295" s="33"/>
      <c r="D295" s="33"/>
      <c r="E295" s="33"/>
      <c r="N295" s="1"/>
      <c r="O295" s="1"/>
      <c r="P295" s="1"/>
    </row>
    <row r="296" spans="2:16" ht="14.5">
      <c r="B296" s="33"/>
      <c r="C296" s="33"/>
      <c r="D296" s="33"/>
      <c r="E296" s="33"/>
      <c r="N296" s="1"/>
      <c r="O296" s="1"/>
      <c r="P296" s="1"/>
    </row>
    <row r="297" spans="2:16" ht="14.5">
      <c r="B297" s="33"/>
      <c r="C297" s="33"/>
      <c r="D297" s="33"/>
      <c r="E297" s="33"/>
      <c r="N297" s="1"/>
      <c r="O297" s="1"/>
      <c r="P297" s="1"/>
    </row>
    <row r="298" spans="2:16" ht="14.5">
      <c r="B298" s="33"/>
      <c r="C298" s="33"/>
      <c r="D298" s="33"/>
      <c r="E298" s="33"/>
      <c r="N298" s="1"/>
      <c r="O298" s="1"/>
      <c r="P298" s="1"/>
    </row>
    <row r="299" spans="2:16" ht="14.5">
      <c r="B299" s="33"/>
      <c r="C299" s="33"/>
      <c r="D299" s="33"/>
      <c r="E299" s="33"/>
      <c r="N299" s="1"/>
      <c r="O299" s="1"/>
      <c r="P299" s="1"/>
    </row>
    <row r="300" spans="2:16" ht="14.5">
      <c r="B300" s="33"/>
      <c r="C300" s="33"/>
      <c r="D300" s="33"/>
      <c r="E300" s="33"/>
      <c r="N300" s="1"/>
      <c r="O300" s="1"/>
      <c r="P300" s="1"/>
    </row>
    <row r="301" spans="2:16" ht="14.5">
      <c r="B301" s="33"/>
      <c r="C301" s="33"/>
      <c r="D301" s="33"/>
      <c r="E301" s="33"/>
      <c r="N301" s="1"/>
      <c r="O301" s="1"/>
      <c r="P301" s="1"/>
    </row>
    <row r="302" spans="2:16" ht="14.5">
      <c r="B302" s="33"/>
      <c r="C302" s="33"/>
      <c r="D302" s="33"/>
      <c r="E302" s="33"/>
      <c r="N302" s="1"/>
      <c r="O302" s="1"/>
      <c r="P302" s="1"/>
    </row>
    <row r="303" spans="2:16" ht="14.5">
      <c r="B303" s="33"/>
      <c r="C303" s="33"/>
      <c r="D303" s="33"/>
      <c r="E303" s="33"/>
      <c r="N303" s="1"/>
      <c r="O303" s="1"/>
      <c r="P303" s="1"/>
    </row>
    <row r="304" spans="2:16" ht="14.5">
      <c r="B304" s="33"/>
      <c r="C304" s="33"/>
      <c r="D304" s="33"/>
      <c r="E304" s="33"/>
      <c r="N304" s="1"/>
      <c r="O304" s="1"/>
      <c r="P304" s="1"/>
    </row>
    <row r="305" spans="2:16" ht="14.5">
      <c r="B305" s="33"/>
      <c r="C305" s="33"/>
      <c r="D305" s="33"/>
      <c r="E305" s="33"/>
      <c r="N305" s="1"/>
      <c r="O305" s="1"/>
      <c r="P305" s="1"/>
    </row>
    <row r="306" spans="2:16" ht="14.5">
      <c r="B306" s="33"/>
      <c r="C306" s="33"/>
      <c r="D306" s="33"/>
      <c r="E306" s="33"/>
      <c r="N306" s="1"/>
      <c r="O306" s="1"/>
      <c r="P306" s="1"/>
    </row>
    <row r="307" spans="2:16" ht="14.5">
      <c r="B307" s="33"/>
      <c r="C307" s="33"/>
      <c r="D307" s="33"/>
      <c r="E307" s="33"/>
      <c r="N307" s="1"/>
      <c r="O307" s="1"/>
      <c r="P307" s="1"/>
    </row>
    <row r="308" spans="2:16" ht="14.5">
      <c r="B308" s="33"/>
      <c r="C308" s="33"/>
      <c r="D308" s="33"/>
      <c r="E308" s="33"/>
      <c r="N308" s="1"/>
      <c r="O308" s="1"/>
      <c r="P308" s="1"/>
    </row>
    <row r="309" spans="2:16" ht="14.5">
      <c r="B309" s="33"/>
      <c r="C309" s="33"/>
      <c r="D309" s="33"/>
      <c r="E309" s="33"/>
      <c r="N309" s="1"/>
      <c r="O309" s="1"/>
      <c r="P309" s="1"/>
    </row>
    <row r="310" spans="2:16" ht="14.5">
      <c r="B310" s="33"/>
      <c r="C310" s="33"/>
      <c r="D310" s="33"/>
      <c r="E310" s="33"/>
      <c r="N310" s="1"/>
      <c r="O310" s="1"/>
      <c r="P310" s="1"/>
    </row>
    <row r="311" spans="2:16" ht="14.5">
      <c r="B311" s="33"/>
      <c r="C311" s="33"/>
      <c r="D311" s="33"/>
      <c r="E311" s="33"/>
      <c r="N311" s="1"/>
      <c r="O311" s="1"/>
      <c r="P311" s="1"/>
    </row>
    <row r="312" spans="2:16" ht="14.5">
      <c r="B312" s="33"/>
      <c r="C312" s="33"/>
      <c r="D312" s="33"/>
      <c r="E312" s="33"/>
      <c r="N312" s="1"/>
      <c r="O312" s="1"/>
      <c r="P312" s="1"/>
    </row>
    <row r="313" spans="2:16" ht="14.5">
      <c r="B313" s="33"/>
      <c r="C313" s="33"/>
      <c r="D313" s="33"/>
      <c r="E313" s="33"/>
      <c r="N313" s="1"/>
      <c r="O313" s="1"/>
      <c r="P313" s="1"/>
    </row>
    <row r="314" spans="2:16" ht="14.5">
      <c r="B314" s="33"/>
      <c r="C314" s="33"/>
      <c r="D314" s="33"/>
      <c r="E314" s="33"/>
      <c r="N314" s="1"/>
      <c r="O314" s="1"/>
      <c r="P314" s="1"/>
    </row>
    <row r="315" spans="2:16" ht="14.5">
      <c r="B315" s="33"/>
      <c r="C315" s="33"/>
      <c r="D315" s="33"/>
      <c r="E315" s="33"/>
      <c r="N315" s="1"/>
      <c r="O315" s="1"/>
      <c r="P315" s="1"/>
    </row>
    <row r="316" spans="2:16" ht="14.5">
      <c r="B316" s="33"/>
      <c r="C316" s="33"/>
      <c r="D316" s="33"/>
      <c r="E316" s="33"/>
      <c r="N316" s="1"/>
      <c r="O316" s="1"/>
      <c r="P316" s="1"/>
    </row>
    <row r="317" spans="2:16" ht="14.5">
      <c r="B317" s="33"/>
      <c r="C317" s="33"/>
      <c r="D317" s="33"/>
      <c r="E317" s="33"/>
      <c r="N317" s="1"/>
      <c r="O317" s="1"/>
      <c r="P317" s="1"/>
    </row>
    <row r="318" spans="2:16" ht="14.5">
      <c r="B318" s="33"/>
      <c r="C318" s="33"/>
      <c r="D318" s="33"/>
      <c r="E318" s="33"/>
      <c r="N318" s="1"/>
      <c r="O318" s="1"/>
      <c r="P318" s="1"/>
    </row>
    <row r="319" spans="2:16" ht="14.5">
      <c r="B319" s="33"/>
      <c r="C319" s="33"/>
      <c r="D319" s="33"/>
      <c r="E319" s="33"/>
      <c r="N319" s="1"/>
      <c r="O319" s="1"/>
      <c r="P319" s="1"/>
    </row>
    <row r="320" spans="2:16" ht="14.5">
      <c r="B320" s="33"/>
      <c r="C320" s="33"/>
      <c r="D320" s="33"/>
      <c r="E320" s="33"/>
      <c r="N320" s="1"/>
      <c r="O320" s="1"/>
      <c r="P320" s="1"/>
    </row>
    <row r="321" spans="2:16" ht="14.5">
      <c r="B321" s="33"/>
      <c r="C321" s="33"/>
      <c r="D321" s="33"/>
      <c r="E321" s="33"/>
      <c r="N321" s="1"/>
      <c r="O321" s="1"/>
      <c r="P321" s="1"/>
    </row>
    <row r="322" spans="2:16" ht="14.5">
      <c r="B322" s="33"/>
      <c r="C322" s="33"/>
      <c r="D322" s="33"/>
      <c r="E322" s="33"/>
      <c r="N322" s="1"/>
      <c r="O322" s="1"/>
      <c r="P322" s="1"/>
    </row>
    <row r="323" spans="2:16" ht="14.5">
      <c r="B323" s="33"/>
      <c r="C323" s="33"/>
      <c r="D323" s="33"/>
      <c r="E323" s="33"/>
      <c r="N323" s="1"/>
      <c r="O323" s="1"/>
      <c r="P323" s="1"/>
    </row>
    <row r="324" spans="2:16" ht="14.5">
      <c r="B324" s="33"/>
      <c r="C324" s="33"/>
      <c r="D324" s="33"/>
      <c r="E324" s="33"/>
      <c r="N324" s="1"/>
      <c r="O324" s="1"/>
      <c r="P324" s="1"/>
    </row>
    <row r="325" spans="2:16" ht="14.5">
      <c r="B325" s="33"/>
      <c r="C325" s="33"/>
      <c r="D325" s="33"/>
      <c r="E325" s="33"/>
      <c r="N325" s="1"/>
      <c r="O325" s="1"/>
      <c r="P325" s="1"/>
    </row>
    <row r="326" spans="2:16" ht="14.5">
      <c r="B326" s="33"/>
      <c r="C326" s="33"/>
      <c r="D326" s="33"/>
      <c r="E326" s="33"/>
      <c r="N326" s="1"/>
      <c r="O326" s="1"/>
      <c r="P326" s="1"/>
    </row>
    <row r="327" spans="2:16" ht="14.5">
      <c r="B327" s="33"/>
      <c r="C327" s="33"/>
      <c r="D327" s="33"/>
      <c r="E327" s="33"/>
      <c r="N327" s="1"/>
      <c r="O327" s="1"/>
      <c r="P327" s="1"/>
    </row>
    <row r="328" spans="2:16" ht="14.5">
      <c r="B328" s="33"/>
      <c r="C328" s="33"/>
      <c r="D328" s="33"/>
      <c r="E328" s="33"/>
      <c r="N328" s="1"/>
      <c r="O328" s="1"/>
      <c r="P328" s="1"/>
    </row>
    <row r="329" spans="2:16" ht="14.5">
      <c r="B329" s="33"/>
      <c r="C329" s="33"/>
      <c r="D329" s="33"/>
      <c r="E329" s="33"/>
      <c r="N329" s="1"/>
      <c r="O329" s="1"/>
      <c r="P329" s="1"/>
    </row>
    <row r="330" spans="2:16" ht="14.5">
      <c r="B330" s="33"/>
      <c r="C330" s="33"/>
      <c r="D330" s="33"/>
      <c r="E330" s="33"/>
      <c r="N330" s="1"/>
      <c r="O330" s="1"/>
      <c r="P330" s="1"/>
    </row>
    <row r="331" spans="2:16" ht="14.5">
      <c r="B331" s="33"/>
      <c r="C331" s="33"/>
      <c r="D331" s="33"/>
      <c r="E331" s="33"/>
      <c r="N331" s="1"/>
      <c r="O331" s="1"/>
      <c r="P331" s="1"/>
    </row>
    <row r="332" spans="2:16" ht="14.5">
      <c r="B332" s="33"/>
      <c r="C332" s="33"/>
      <c r="D332" s="33"/>
      <c r="E332" s="33"/>
      <c r="N332" s="1"/>
      <c r="O332" s="1"/>
      <c r="P332" s="1"/>
    </row>
    <row r="333" spans="2:16" ht="14.5">
      <c r="B333" s="33"/>
      <c r="C333" s="33"/>
      <c r="D333" s="33"/>
      <c r="E333" s="33"/>
      <c r="N333" s="1"/>
      <c r="O333" s="1"/>
      <c r="P333" s="1"/>
    </row>
    <row r="334" spans="2:16" ht="14.5">
      <c r="B334" s="33"/>
      <c r="C334" s="33"/>
      <c r="D334" s="33"/>
      <c r="E334" s="33"/>
      <c r="N334" s="1"/>
      <c r="O334" s="1"/>
      <c r="P334" s="1"/>
    </row>
    <row r="335" spans="2:16" ht="14.5">
      <c r="B335" s="33"/>
      <c r="C335" s="33"/>
      <c r="D335" s="33"/>
      <c r="E335" s="33"/>
      <c r="N335" s="1"/>
      <c r="O335" s="1"/>
      <c r="P335" s="1"/>
    </row>
    <row r="336" spans="2:16" ht="14.5">
      <c r="B336" s="33"/>
      <c r="C336" s="33"/>
      <c r="D336" s="33"/>
      <c r="E336" s="33"/>
      <c r="N336" s="1"/>
      <c r="O336" s="1"/>
      <c r="P336" s="1"/>
    </row>
    <row r="337" spans="2:16" ht="14.5">
      <c r="B337" s="33"/>
      <c r="C337" s="33"/>
      <c r="D337" s="33"/>
      <c r="E337" s="33"/>
      <c r="N337" s="1"/>
      <c r="O337" s="1"/>
      <c r="P337" s="1"/>
    </row>
    <row r="338" spans="2:16" ht="14.5">
      <c r="B338" s="33"/>
      <c r="C338" s="33"/>
      <c r="D338" s="33"/>
      <c r="E338" s="33"/>
      <c r="N338" s="1"/>
      <c r="O338" s="1"/>
      <c r="P338" s="1"/>
    </row>
    <row r="339" spans="2:16" ht="14.5">
      <c r="B339" s="33"/>
      <c r="C339" s="33"/>
      <c r="D339" s="33"/>
      <c r="E339" s="33"/>
      <c r="N339" s="1"/>
      <c r="O339" s="1"/>
      <c r="P339" s="1"/>
    </row>
    <row r="340" spans="2:16" ht="14.5">
      <c r="B340" s="33"/>
      <c r="C340" s="33"/>
      <c r="D340" s="33"/>
      <c r="E340" s="33"/>
      <c r="N340" s="1"/>
      <c r="O340" s="1"/>
      <c r="P340" s="1"/>
    </row>
    <row r="341" spans="2:16" ht="14.5">
      <c r="B341" s="33"/>
      <c r="C341" s="33"/>
      <c r="D341" s="33"/>
      <c r="E341" s="33"/>
      <c r="N341" s="1"/>
      <c r="O341" s="1"/>
      <c r="P341" s="1"/>
    </row>
    <row r="342" spans="2:16" ht="14.5">
      <c r="B342" s="33"/>
      <c r="C342" s="33"/>
      <c r="D342" s="33"/>
      <c r="E342" s="33"/>
      <c r="N342" s="1"/>
      <c r="O342" s="1"/>
      <c r="P342" s="1"/>
    </row>
    <row r="343" spans="2:16" ht="14.5">
      <c r="B343" s="33"/>
      <c r="C343" s="33"/>
      <c r="D343" s="33"/>
      <c r="E343" s="33"/>
      <c r="N343" s="1"/>
      <c r="O343" s="1"/>
      <c r="P343" s="1"/>
    </row>
    <row r="344" spans="2:16" ht="14.5">
      <c r="B344" s="33"/>
      <c r="C344" s="33"/>
      <c r="D344" s="33"/>
      <c r="E344" s="33"/>
      <c r="N344" s="1"/>
      <c r="O344" s="1"/>
      <c r="P344" s="1"/>
    </row>
    <row r="345" spans="2:16" ht="14.5">
      <c r="B345" s="33"/>
      <c r="C345" s="33"/>
      <c r="D345" s="33"/>
      <c r="E345" s="33"/>
      <c r="N345" s="1"/>
      <c r="O345" s="1"/>
      <c r="P345" s="1"/>
    </row>
    <row r="346" spans="2:16" ht="14.5">
      <c r="B346" s="33"/>
      <c r="C346" s="33"/>
      <c r="D346" s="33"/>
      <c r="E346" s="33"/>
      <c r="N346" s="1"/>
      <c r="O346" s="1"/>
      <c r="P346" s="1"/>
    </row>
    <row r="347" spans="2:16" ht="14.5">
      <c r="B347" s="33"/>
      <c r="C347" s="33"/>
      <c r="D347" s="33"/>
      <c r="E347" s="33"/>
      <c r="N347" s="1"/>
      <c r="O347" s="1"/>
      <c r="P347" s="1"/>
    </row>
    <row r="348" spans="2:16" ht="14.5">
      <c r="B348" s="33"/>
      <c r="C348" s="33"/>
      <c r="D348" s="33"/>
      <c r="E348" s="33"/>
      <c r="N348" s="1"/>
      <c r="O348" s="1"/>
      <c r="P348" s="1"/>
    </row>
    <row r="349" spans="2:16" ht="14.5">
      <c r="B349" s="33"/>
      <c r="C349" s="33"/>
      <c r="D349" s="33"/>
      <c r="E349" s="33"/>
      <c r="N349" s="1"/>
      <c r="O349" s="1"/>
      <c r="P349" s="1"/>
    </row>
    <row r="350" spans="2:16" ht="14.5">
      <c r="B350" s="33"/>
      <c r="C350" s="33"/>
      <c r="D350" s="33"/>
      <c r="E350" s="33"/>
      <c r="N350" s="1"/>
      <c r="O350" s="1"/>
      <c r="P350" s="1"/>
    </row>
    <row r="351" spans="2:16" ht="14.5">
      <c r="B351" s="33"/>
      <c r="C351" s="33"/>
      <c r="D351" s="33"/>
      <c r="E351" s="33"/>
      <c r="N351" s="1"/>
      <c r="O351" s="1"/>
      <c r="P351" s="1"/>
    </row>
    <row r="352" spans="2:16" ht="14.5">
      <c r="B352" s="33"/>
      <c r="C352" s="33"/>
      <c r="D352" s="33"/>
      <c r="E352" s="33"/>
      <c r="N352" s="1"/>
      <c r="O352" s="1"/>
      <c r="P352" s="1"/>
    </row>
    <row r="353" spans="2:16" ht="14.5">
      <c r="B353" s="33"/>
      <c r="C353" s="33"/>
      <c r="D353" s="33"/>
      <c r="E353" s="33"/>
      <c r="N353" s="1"/>
      <c r="O353" s="1"/>
      <c r="P353" s="1"/>
    </row>
    <row r="354" spans="2:16" ht="14.5">
      <c r="B354" s="33"/>
      <c r="C354" s="33"/>
      <c r="D354" s="33"/>
      <c r="E354" s="33"/>
      <c r="N354" s="1"/>
      <c r="O354" s="1"/>
      <c r="P354" s="1"/>
    </row>
    <row r="355" spans="2:16" ht="14.5">
      <c r="B355" s="33"/>
      <c r="C355" s="33"/>
      <c r="D355" s="33"/>
      <c r="E355" s="33"/>
      <c r="N355" s="1"/>
      <c r="O355" s="1"/>
      <c r="P355" s="1"/>
    </row>
    <row r="356" spans="2:16" ht="14.5">
      <c r="B356" s="33"/>
      <c r="C356" s="33"/>
      <c r="D356" s="33"/>
      <c r="E356" s="33"/>
      <c r="N356" s="1"/>
      <c r="O356" s="1"/>
      <c r="P356" s="1"/>
    </row>
    <row r="357" spans="2:16" ht="14.5">
      <c r="B357" s="33"/>
      <c r="C357" s="33"/>
      <c r="D357" s="33"/>
      <c r="E357" s="33"/>
      <c r="N357" s="1"/>
      <c r="O357" s="1"/>
      <c r="P357" s="1"/>
    </row>
    <row r="358" spans="2:16" ht="14.5">
      <c r="B358" s="33"/>
      <c r="C358" s="33"/>
      <c r="D358" s="33"/>
      <c r="E358" s="33"/>
      <c r="N358" s="1"/>
      <c r="O358" s="1"/>
      <c r="P358" s="1"/>
    </row>
    <row r="359" spans="2:16" ht="14.5">
      <c r="B359" s="33"/>
      <c r="C359" s="33"/>
      <c r="D359" s="33"/>
      <c r="E359" s="33"/>
      <c r="N359" s="1"/>
      <c r="O359" s="1"/>
      <c r="P359" s="1"/>
    </row>
    <row r="360" spans="2:16" ht="14.5">
      <c r="B360" s="33"/>
      <c r="C360" s="33"/>
      <c r="D360" s="33"/>
      <c r="E360" s="33"/>
      <c r="N360" s="1"/>
      <c r="O360" s="1"/>
      <c r="P360" s="1"/>
    </row>
    <row r="361" spans="2:16" ht="14.5">
      <c r="B361" s="33"/>
      <c r="C361" s="33"/>
      <c r="D361" s="33"/>
      <c r="E361" s="33"/>
      <c r="N361" s="1"/>
      <c r="O361" s="1"/>
      <c r="P361" s="1"/>
    </row>
    <row r="362" spans="2:16" ht="14.5">
      <c r="B362" s="33"/>
      <c r="C362" s="33"/>
      <c r="D362" s="33"/>
      <c r="E362" s="33"/>
      <c r="N362" s="1"/>
      <c r="O362" s="1"/>
      <c r="P362" s="1"/>
    </row>
    <row r="363" spans="2:16" ht="14.5">
      <c r="B363" s="33"/>
      <c r="C363" s="33"/>
      <c r="D363" s="33"/>
      <c r="E363" s="33"/>
      <c r="N363" s="1"/>
      <c r="O363" s="1"/>
      <c r="P363" s="1"/>
    </row>
    <row r="364" spans="2:16" ht="14.5">
      <c r="B364" s="33"/>
      <c r="C364" s="33"/>
      <c r="D364" s="33"/>
      <c r="E364" s="33"/>
      <c r="N364" s="1"/>
      <c r="O364" s="1"/>
      <c r="P364" s="1"/>
    </row>
    <row r="365" spans="2:16" ht="14.5">
      <c r="B365" s="33"/>
      <c r="C365" s="33"/>
      <c r="D365" s="33"/>
      <c r="E365" s="33"/>
      <c r="N365" s="1"/>
      <c r="O365" s="1"/>
      <c r="P365" s="1"/>
    </row>
    <row r="366" spans="2:16" ht="14.5">
      <c r="B366" s="33"/>
      <c r="C366" s="33"/>
      <c r="D366" s="33"/>
      <c r="E366" s="33"/>
      <c r="N366" s="1"/>
      <c r="O366" s="1"/>
      <c r="P366" s="1"/>
    </row>
    <row r="367" spans="2:16" ht="14.5">
      <c r="B367" s="33"/>
      <c r="C367" s="33"/>
      <c r="D367" s="33"/>
      <c r="E367" s="33"/>
      <c r="N367" s="1"/>
      <c r="O367" s="1"/>
      <c r="P367" s="1"/>
    </row>
    <row r="368" spans="2:16" ht="14.5">
      <c r="B368" s="33"/>
      <c r="C368" s="33"/>
      <c r="D368" s="33"/>
      <c r="E368" s="33"/>
      <c r="N368" s="1"/>
      <c r="O368" s="1"/>
      <c r="P368" s="1"/>
    </row>
    <row r="369" spans="2:16" ht="14.5">
      <c r="B369" s="33"/>
      <c r="C369" s="33"/>
      <c r="D369" s="33"/>
      <c r="E369" s="33"/>
      <c r="N369" s="1"/>
      <c r="O369" s="1"/>
      <c r="P369" s="1"/>
    </row>
    <row r="370" spans="2:16" ht="14.5">
      <c r="B370" s="33"/>
      <c r="C370" s="33"/>
      <c r="D370" s="33"/>
      <c r="E370" s="33"/>
      <c r="N370" s="1"/>
      <c r="O370" s="1"/>
      <c r="P370" s="1"/>
    </row>
    <row r="371" spans="2:16" ht="14.5">
      <c r="B371" s="33"/>
      <c r="C371" s="33"/>
      <c r="D371" s="33"/>
      <c r="E371" s="33"/>
      <c r="N371" s="1"/>
      <c r="O371" s="1"/>
      <c r="P371" s="1"/>
    </row>
    <row r="372" spans="2:16" ht="14.5">
      <c r="B372" s="33"/>
      <c r="C372" s="33"/>
      <c r="D372" s="33"/>
      <c r="E372" s="33"/>
      <c r="N372" s="1"/>
      <c r="O372" s="1"/>
      <c r="P372" s="1"/>
    </row>
    <row r="373" spans="2:16" ht="14.5">
      <c r="B373" s="33"/>
      <c r="C373" s="33"/>
      <c r="D373" s="33"/>
      <c r="E373" s="33"/>
      <c r="N373" s="1"/>
      <c r="O373" s="1"/>
      <c r="P373" s="1"/>
    </row>
    <row r="374" spans="2:16" ht="14.5">
      <c r="B374" s="33"/>
      <c r="C374" s="33"/>
      <c r="D374" s="33"/>
      <c r="E374" s="33"/>
      <c r="N374" s="1"/>
      <c r="O374" s="1"/>
      <c r="P374" s="1"/>
    </row>
    <row r="375" spans="2:16" ht="14.5">
      <c r="B375" s="33"/>
      <c r="C375" s="33"/>
      <c r="D375" s="33"/>
      <c r="E375" s="33"/>
      <c r="N375" s="1"/>
      <c r="O375" s="1"/>
      <c r="P375" s="1"/>
    </row>
    <row r="376" spans="2:16" ht="14.5">
      <c r="B376" s="33"/>
      <c r="C376" s="33"/>
      <c r="D376" s="33"/>
      <c r="E376" s="33"/>
      <c r="N376" s="1"/>
      <c r="O376" s="1"/>
      <c r="P376" s="1"/>
    </row>
    <row r="377" spans="2:16" ht="14.5">
      <c r="B377" s="33"/>
      <c r="C377" s="33"/>
      <c r="D377" s="33"/>
      <c r="E377" s="33"/>
      <c r="N377" s="1"/>
      <c r="O377" s="1"/>
      <c r="P377" s="1"/>
    </row>
    <row r="378" spans="2:16" ht="14.5">
      <c r="B378" s="33"/>
      <c r="C378" s="33"/>
      <c r="D378" s="33"/>
      <c r="E378" s="33"/>
      <c r="N378" s="1"/>
      <c r="O378" s="1"/>
      <c r="P378" s="1"/>
    </row>
    <row r="379" spans="2:16" ht="14.5">
      <c r="B379" s="33"/>
      <c r="C379" s="33"/>
      <c r="D379" s="33"/>
      <c r="E379" s="33"/>
      <c r="N379" s="1"/>
      <c r="O379" s="1"/>
      <c r="P379" s="1"/>
    </row>
    <row r="380" spans="2:16" ht="14.5">
      <c r="B380" s="33"/>
      <c r="C380" s="33"/>
      <c r="D380" s="33"/>
      <c r="E380" s="33"/>
      <c r="N380" s="1"/>
      <c r="O380" s="1"/>
      <c r="P380" s="1"/>
    </row>
    <row r="381" spans="2:16" ht="14.5">
      <c r="B381" s="33"/>
      <c r="C381" s="33"/>
      <c r="D381" s="33"/>
      <c r="E381" s="33"/>
      <c r="N381" s="1"/>
      <c r="O381" s="1"/>
      <c r="P381" s="1"/>
    </row>
    <row r="382" spans="2:16" ht="14.5">
      <c r="B382" s="33"/>
      <c r="C382" s="33"/>
      <c r="D382" s="33"/>
      <c r="E382" s="33"/>
      <c r="N382" s="1"/>
      <c r="O382" s="1"/>
      <c r="P382" s="1"/>
    </row>
    <row r="383" spans="2:16" ht="14.5">
      <c r="B383" s="33"/>
      <c r="C383" s="33"/>
      <c r="D383" s="33"/>
      <c r="E383" s="33"/>
      <c r="N383" s="1"/>
      <c r="O383" s="1"/>
      <c r="P383" s="1"/>
    </row>
    <row r="384" spans="2:16" ht="14.5">
      <c r="B384" s="33"/>
      <c r="C384" s="33"/>
      <c r="D384" s="33"/>
      <c r="E384" s="33"/>
      <c r="N384" s="1"/>
      <c r="O384" s="1"/>
      <c r="P384" s="1"/>
    </row>
    <row r="385" spans="2:16" ht="14.5">
      <c r="B385" s="33"/>
      <c r="C385" s="33"/>
      <c r="D385" s="33"/>
      <c r="E385" s="33"/>
      <c r="N385" s="1"/>
      <c r="O385" s="1"/>
      <c r="P385" s="1"/>
    </row>
    <row r="386" spans="2:16" ht="14.5">
      <c r="B386" s="33"/>
      <c r="C386" s="33"/>
      <c r="D386" s="33"/>
      <c r="E386" s="33"/>
      <c r="N386" s="1"/>
      <c r="O386" s="1"/>
      <c r="P386" s="1"/>
    </row>
    <row r="387" spans="2:16" ht="14.5">
      <c r="B387" s="33"/>
      <c r="C387" s="33"/>
      <c r="D387" s="33"/>
      <c r="E387" s="33"/>
      <c r="N387" s="1"/>
      <c r="O387" s="1"/>
      <c r="P387" s="1"/>
    </row>
    <row r="388" spans="2:16" ht="14.5">
      <c r="B388" s="33"/>
      <c r="C388" s="33"/>
      <c r="D388" s="33"/>
      <c r="E388" s="33"/>
      <c r="N388" s="1"/>
      <c r="O388" s="1"/>
      <c r="P388" s="1"/>
    </row>
    <row r="389" spans="2:16" ht="14.5">
      <c r="B389" s="33"/>
      <c r="C389" s="33"/>
      <c r="D389" s="33"/>
      <c r="E389" s="33"/>
      <c r="N389" s="1"/>
      <c r="O389" s="1"/>
      <c r="P389" s="1"/>
    </row>
    <row r="390" spans="2:16" ht="14.5">
      <c r="B390" s="33"/>
      <c r="C390" s="33"/>
      <c r="D390" s="33"/>
      <c r="E390" s="33"/>
      <c r="N390" s="1"/>
      <c r="O390" s="1"/>
      <c r="P390" s="1"/>
    </row>
    <row r="391" spans="2:16" ht="14.5">
      <c r="B391" s="33"/>
      <c r="C391" s="33"/>
      <c r="D391" s="33"/>
      <c r="E391" s="33"/>
      <c r="N391" s="1"/>
      <c r="O391" s="1"/>
      <c r="P391" s="1"/>
    </row>
    <row r="392" spans="2:16" ht="14.5">
      <c r="B392" s="33"/>
      <c r="C392" s="33"/>
      <c r="D392" s="33"/>
      <c r="E392" s="33"/>
      <c r="N392" s="1"/>
      <c r="O392" s="1"/>
      <c r="P392" s="1"/>
    </row>
    <row r="393" spans="2:16" ht="14.5">
      <c r="B393" s="33"/>
      <c r="C393" s="33"/>
      <c r="D393" s="33"/>
      <c r="E393" s="33"/>
      <c r="N393" s="1"/>
      <c r="O393" s="1"/>
      <c r="P393" s="1"/>
    </row>
    <row r="394" spans="2:16" ht="14.5">
      <c r="B394" s="33"/>
      <c r="C394" s="33"/>
      <c r="D394" s="33"/>
      <c r="E394" s="33"/>
      <c r="N394" s="1"/>
      <c r="O394" s="1"/>
      <c r="P394" s="1"/>
    </row>
    <row r="395" spans="2:16" ht="14.5">
      <c r="B395" s="33"/>
      <c r="C395" s="33"/>
      <c r="D395" s="33"/>
      <c r="E395" s="33"/>
      <c r="N395" s="1"/>
      <c r="O395" s="1"/>
      <c r="P395" s="1"/>
    </row>
    <row r="396" spans="2:16" ht="14.5">
      <c r="B396" s="33"/>
      <c r="C396" s="33"/>
      <c r="D396" s="33"/>
      <c r="E396" s="33"/>
      <c r="N396" s="1"/>
      <c r="O396" s="1"/>
      <c r="P396" s="1"/>
    </row>
    <row r="397" spans="2:16" ht="14.5">
      <c r="B397" s="33"/>
      <c r="C397" s="33"/>
      <c r="D397" s="33"/>
      <c r="E397" s="33"/>
      <c r="N397" s="1"/>
      <c r="O397" s="1"/>
      <c r="P397" s="1"/>
    </row>
    <row r="398" spans="2:16" ht="14.5">
      <c r="B398" s="33"/>
      <c r="C398" s="33"/>
      <c r="D398" s="33"/>
      <c r="E398" s="33"/>
      <c r="N398" s="1"/>
      <c r="O398" s="1"/>
      <c r="P398" s="1"/>
    </row>
    <row r="399" spans="2:16" ht="14.5">
      <c r="B399" s="33"/>
      <c r="C399" s="33"/>
      <c r="D399" s="33"/>
      <c r="E399" s="33"/>
      <c r="N399" s="1"/>
      <c r="O399" s="1"/>
      <c r="P399" s="1"/>
    </row>
    <row r="400" spans="2:16" ht="14.5">
      <c r="B400" s="33"/>
      <c r="C400" s="33"/>
      <c r="D400" s="33"/>
      <c r="E400" s="33"/>
      <c r="N400" s="1"/>
      <c r="O400" s="1"/>
      <c r="P400" s="1"/>
    </row>
    <row r="401" spans="2:16" ht="14.5">
      <c r="B401" s="33"/>
      <c r="C401" s="33"/>
      <c r="D401" s="33"/>
      <c r="E401" s="33"/>
      <c r="N401" s="1"/>
      <c r="O401" s="1"/>
      <c r="P401" s="1"/>
    </row>
    <row r="402" spans="2:16" ht="14.5">
      <c r="B402" s="33"/>
      <c r="C402" s="33"/>
      <c r="D402" s="33"/>
      <c r="E402" s="33"/>
      <c r="N402" s="1"/>
      <c r="O402" s="1"/>
      <c r="P402" s="1"/>
    </row>
    <row r="403" spans="2:16" ht="14.5">
      <c r="B403" s="33"/>
      <c r="C403" s="33"/>
      <c r="D403" s="33"/>
      <c r="E403" s="33"/>
      <c r="N403" s="1"/>
      <c r="O403" s="1"/>
      <c r="P403" s="1"/>
    </row>
    <row r="404" spans="2:16" ht="14.5">
      <c r="B404" s="33"/>
      <c r="C404" s="33"/>
      <c r="D404" s="33"/>
      <c r="E404" s="33"/>
      <c r="N404" s="1"/>
      <c r="O404" s="1"/>
      <c r="P404" s="1"/>
    </row>
    <row r="405" spans="2:16" ht="14.5">
      <c r="B405" s="33"/>
      <c r="C405" s="33"/>
      <c r="D405" s="33"/>
      <c r="E405" s="33"/>
      <c r="N405" s="1"/>
      <c r="O405" s="1"/>
      <c r="P405" s="1"/>
    </row>
    <row r="406" spans="2:16" ht="14.5">
      <c r="B406" s="33"/>
      <c r="C406" s="33"/>
      <c r="D406" s="33"/>
      <c r="E406" s="33"/>
      <c r="N406" s="1"/>
      <c r="O406" s="1"/>
      <c r="P406" s="1"/>
    </row>
    <row r="407" spans="2:16" ht="14.5">
      <c r="B407" s="33"/>
      <c r="C407" s="33"/>
      <c r="D407" s="33"/>
      <c r="E407" s="33"/>
      <c r="N407" s="1"/>
      <c r="O407" s="1"/>
      <c r="P407" s="1"/>
    </row>
    <row r="408" spans="2:16" ht="14.5">
      <c r="B408" s="33"/>
      <c r="C408" s="33"/>
      <c r="D408" s="33"/>
      <c r="E408" s="33"/>
      <c r="N408" s="1"/>
      <c r="O408" s="1"/>
      <c r="P408" s="1"/>
    </row>
    <row r="409" spans="2:16" ht="14.5">
      <c r="B409" s="33"/>
      <c r="C409" s="33"/>
      <c r="D409" s="33"/>
      <c r="E409" s="33"/>
      <c r="N409" s="1"/>
      <c r="O409" s="1"/>
      <c r="P409" s="1"/>
    </row>
    <row r="410" spans="2:16" ht="14.5">
      <c r="B410" s="33"/>
      <c r="C410" s="33"/>
      <c r="D410" s="33"/>
      <c r="E410" s="33"/>
      <c r="N410" s="1"/>
      <c r="O410" s="1"/>
      <c r="P410" s="1"/>
    </row>
    <row r="411" spans="2:16" ht="14.5">
      <c r="B411" s="33"/>
      <c r="C411" s="33"/>
      <c r="D411" s="33"/>
      <c r="E411" s="33"/>
      <c r="N411" s="1"/>
      <c r="O411" s="1"/>
      <c r="P411" s="1"/>
    </row>
    <row r="412" spans="2:16" ht="14.5">
      <c r="B412" s="33"/>
      <c r="C412" s="33"/>
      <c r="D412" s="33"/>
      <c r="E412" s="33"/>
      <c r="N412" s="1"/>
      <c r="O412" s="1"/>
      <c r="P412" s="1"/>
    </row>
    <row r="413" spans="2:16" ht="14.5">
      <c r="B413" s="33"/>
      <c r="C413" s="33"/>
      <c r="D413" s="33"/>
      <c r="E413" s="33"/>
      <c r="N413" s="1"/>
      <c r="O413" s="1"/>
      <c r="P413" s="1"/>
    </row>
    <row r="414" spans="2:16" ht="14.5">
      <c r="B414" s="33"/>
      <c r="C414" s="33"/>
      <c r="D414" s="33"/>
      <c r="E414" s="33"/>
      <c r="N414" s="1"/>
      <c r="O414" s="1"/>
      <c r="P414" s="1"/>
    </row>
    <row r="415" spans="2:16" ht="14.5">
      <c r="B415" s="33"/>
      <c r="C415" s="33"/>
      <c r="D415" s="33"/>
      <c r="E415" s="33"/>
      <c r="N415" s="1"/>
      <c r="O415" s="1"/>
      <c r="P415" s="1"/>
    </row>
    <row r="416" spans="2:16" ht="14.5">
      <c r="B416" s="33"/>
      <c r="C416" s="33"/>
      <c r="D416" s="33"/>
      <c r="E416" s="33"/>
      <c r="N416" s="1"/>
      <c r="O416" s="1"/>
      <c r="P416" s="1"/>
    </row>
    <row r="417" spans="2:16" ht="14.5">
      <c r="B417" s="33"/>
      <c r="C417" s="33"/>
      <c r="D417" s="33"/>
      <c r="E417" s="33"/>
      <c r="N417" s="1"/>
      <c r="O417" s="1"/>
      <c r="P417" s="1"/>
    </row>
    <row r="418" spans="2:16" ht="14.5">
      <c r="B418" s="33"/>
      <c r="C418" s="33"/>
      <c r="D418" s="33"/>
      <c r="E418" s="33"/>
      <c r="N418" s="1"/>
      <c r="O418" s="1"/>
      <c r="P418" s="1"/>
    </row>
    <row r="419" spans="2:16" ht="14.5">
      <c r="B419" s="33"/>
      <c r="C419" s="33"/>
      <c r="D419" s="33"/>
      <c r="E419" s="33"/>
      <c r="N419" s="1"/>
      <c r="O419" s="1"/>
      <c r="P419" s="1"/>
    </row>
    <row r="420" spans="2:16" ht="14.5">
      <c r="B420" s="33"/>
      <c r="C420" s="33"/>
      <c r="D420" s="33"/>
      <c r="E420" s="33"/>
      <c r="N420" s="1"/>
      <c r="O420" s="1"/>
      <c r="P420" s="1"/>
    </row>
    <row r="421" spans="2:16" ht="14.5">
      <c r="B421" s="33"/>
      <c r="C421" s="33"/>
      <c r="D421" s="33"/>
      <c r="E421" s="33"/>
      <c r="N421" s="1"/>
      <c r="O421" s="1"/>
      <c r="P421" s="1"/>
    </row>
    <row r="422" spans="2:16" ht="14.5">
      <c r="B422" s="33"/>
      <c r="C422" s="33"/>
      <c r="D422" s="33"/>
      <c r="E422" s="33"/>
      <c r="N422" s="1"/>
      <c r="O422" s="1"/>
      <c r="P422" s="1"/>
    </row>
    <row r="423" spans="2:16" ht="14.5">
      <c r="B423" s="33"/>
      <c r="C423" s="33"/>
      <c r="D423" s="33"/>
      <c r="E423" s="33"/>
      <c r="N423" s="1"/>
      <c r="O423" s="1"/>
      <c r="P423" s="1"/>
    </row>
    <row r="424" spans="2:16" ht="14.5">
      <c r="B424" s="33"/>
      <c r="C424" s="33"/>
      <c r="D424" s="33"/>
      <c r="E424" s="33"/>
      <c r="N424" s="1"/>
      <c r="O424" s="1"/>
      <c r="P424" s="1"/>
    </row>
    <row r="425" spans="2:16" ht="14.5">
      <c r="B425" s="33"/>
      <c r="C425" s="33"/>
      <c r="D425" s="33"/>
      <c r="E425" s="33"/>
      <c r="N425" s="1"/>
      <c r="O425" s="1"/>
      <c r="P425" s="1"/>
    </row>
    <row r="426" spans="2:16" ht="14.5">
      <c r="B426" s="33"/>
      <c r="C426" s="33"/>
      <c r="D426" s="33"/>
      <c r="E426" s="33"/>
      <c r="N426" s="1"/>
      <c r="O426" s="1"/>
      <c r="P426" s="1"/>
    </row>
    <row r="427" spans="2:16" ht="14.5">
      <c r="B427" s="33"/>
      <c r="C427" s="33"/>
      <c r="D427" s="33"/>
      <c r="E427" s="33"/>
      <c r="N427" s="1"/>
      <c r="O427" s="1"/>
      <c r="P427" s="1"/>
    </row>
    <row r="428" spans="2:16" ht="14.5">
      <c r="B428" s="33"/>
      <c r="C428" s="33"/>
      <c r="D428" s="33"/>
      <c r="E428" s="33"/>
      <c r="N428" s="1"/>
      <c r="O428" s="1"/>
      <c r="P428" s="1"/>
    </row>
    <row r="429" spans="2:16" ht="14.5">
      <c r="B429" s="33"/>
      <c r="C429" s="33"/>
      <c r="D429" s="33"/>
      <c r="E429" s="33"/>
      <c r="N429" s="1"/>
      <c r="O429" s="1"/>
      <c r="P429" s="1"/>
    </row>
    <row r="430" spans="2:16" ht="14.5">
      <c r="B430" s="33"/>
      <c r="C430" s="33"/>
      <c r="D430" s="33"/>
      <c r="E430" s="33"/>
      <c r="N430" s="1"/>
      <c r="O430" s="1"/>
      <c r="P430" s="1"/>
    </row>
    <row r="431" spans="2:16" ht="14.5">
      <c r="B431" s="33"/>
      <c r="C431" s="33"/>
      <c r="D431" s="33"/>
      <c r="E431" s="33"/>
      <c r="N431" s="1"/>
      <c r="O431" s="1"/>
      <c r="P431" s="1"/>
    </row>
    <row r="432" spans="2:16" ht="14.5">
      <c r="B432" s="33"/>
      <c r="C432" s="33"/>
      <c r="D432" s="33"/>
      <c r="E432" s="33"/>
      <c r="N432" s="1"/>
      <c r="O432" s="1"/>
      <c r="P432" s="1"/>
    </row>
    <row r="433" spans="2:16" ht="14.5">
      <c r="B433" s="33"/>
      <c r="C433" s="33"/>
      <c r="D433" s="33"/>
      <c r="E433" s="33"/>
      <c r="N433" s="1"/>
      <c r="O433" s="1"/>
      <c r="P433" s="1"/>
    </row>
    <row r="434" spans="2:16" ht="14.5">
      <c r="B434" s="33"/>
      <c r="C434" s="33"/>
      <c r="D434" s="33"/>
      <c r="E434" s="33"/>
      <c r="N434" s="1"/>
      <c r="O434" s="1"/>
      <c r="P434" s="1"/>
    </row>
    <row r="435" spans="2:16" ht="14.5">
      <c r="B435" s="33"/>
      <c r="C435" s="33"/>
      <c r="D435" s="33"/>
      <c r="E435" s="33"/>
      <c r="N435" s="1"/>
      <c r="O435" s="1"/>
      <c r="P435" s="1"/>
    </row>
    <row r="436" spans="2:16" ht="14.5">
      <c r="B436" s="33"/>
      <c r="C436" s="33"/>
      <c r="D436" s="33"/>
      <c r="E436" s="33"/>
      <c r="N436" s="1"/>
      <c r="O436" s="1"/>
      <c r="P436" s="1"/>
    </row>
    <row r="437" spans="2:16" ht="14.5">
      <c r="B437" s="33"/>
      <c r="C437" s="33"/>
      <c r="D437" s="33"/>
      <c r="E437" s="33"/>
      <c r="N437" s="1"/>
      <c r="O437" s="1"/>
      <c r="P437" s="1"/>
    </row>
    <row r="438" spans="2:16" ht="14.5">
      <c r="B438" s="33"/>
      <c r="C438" s="33"/>
      <c r="D438" s="33"/>
      <c r="E438" s="33"/>
      <c r="N438" s="1"/>
      <c r="O438" s="1"/>
      <c r="P438" s="1"/>
    </row>
    <row r="439" spans="2:16" ht="14.5">
      <c r="B439" s="33"/>
      <c r="C439" s="33"/>
      <c r="D439" s="33"/>
      <c r="E439" s="33"/>
      <c r="N439" s="1"/>
      <c r="O439" s="1"/>
      <c r="P439" s="1"/>
    </row>
    <row r="440" spans="2:16" ht="14.5">
      <c r="B440" s="33"/>
      <c r="C440" s="33"/>
      <c r="D440" s="33"/>
      <c r="E440" s="33"/>
      <c r="N440" s="1"/>
      <c r="O440" s="1"/>
      <c r="P440" s="1"/>
    </row>
    <row r="441" spans="2:16" ht="14.5">
      <c r="B441" s="33"/>
      <c r="C441" s="33"/>
      <c r="D441" s="33"/>
      <c r="E441" s="33"/>
      <c r="N441" s="1"/>
      <c r="O441" s="1"/>
      <c r="P441" s="1"/>
    </row>
    <row r="442" spans="2:16" ht="14.5">
      <c r="B442" s="33"/>
      <c r="C442" s="33"/>
      <c r="D442" s="33"/>
      <c r="E442" s="33"/>
      <c r="N442" s="1"/>
      <c r="O442" s="1"/>
      <c r="P442" s="1"/>
    </row>
    <row r="443" spans="2:16" ht="14.5">
      <c r="B443" s="33"/>
      <c r="C443" s="33"/>
      <c r="D443" s="33"/>
      <c r="E443" s="33"/>
      <c r="N443" s="1"/>
      <c r="O443" s="1"/>
      <c r="P443" s="1"/>
    </row>
    <row r="444" spans="2:16" ht="14.5">
      <c r="B444" s="33"/>
      <c r="C444" s="33"/>
      <c r="D444" s="33"/>
      <c r="E444" s="33"/>
      <c r="N444" s="1"/>
      <c r="O444" s="1"/>
      <c r="P444" s="1"/>
    </row>
    <row r="445" spans="2:16" ht="14.5">
      <c r="B445" s="33"/>
      <c r="C445" s="33"/>
      <c r="D445" s="33"/>
      <c r="E445" s="33"/>
      <c r="N445" s="1"/>
      <c r="O445" s="1"/>
      <c r="P445" s="1"/>
    </row>
    <row r="446" spans="2:16" ht="14.5">
      <c r="B446" s="33"/>
      <c r="C446" s="33"/>
      <c r="D446" s="33"/>
      <c r="E446" s="33"/>
      <c r="N446" s="1"/>
      <c r="O446" s="1"/>
      <c r="P446" s="1"/>
    </row>
    <row r="447" spans="2:16" ht="14.5">
      <c r="B447" s="33"/>
      <c r="C447" s="33"/>
      <c r="D447" s="33"/>
      <c r="E447" s="33"/>
      <c r="N447" s="1"/>
      <c r="O447" s="1"/>
      <c r="P447" s="1"/>
    </row>
    <row r="448" spans="2:16" ht="14.5">
      <c r="B448" s="33"/>
      <c r="C448" s="33"/>
      <c r="D448" s="33"/>
      <c r="E448" s="33"/>
      <c r="N448" s="1"/>
      <c r="O448" s="1"/>
      <c r="P448" s="1"/>
    </row>
    <row r="449" spans="2:16" ht="14.5">
      <c r="B449" s="33"/>
      <c r="C449" s="33"/>
      <c r="D449" s="33"/>
      <c r="E449" s="33"/>
      <c r="N449" s="1"/>
      <c r="O449" s="1"/>
      <c r="P449" s="1"/>
    </row>
    <row r="450" spans="2:16" ht="14.5">
      <c r="B450" s="33"/>
      <c r="C450" s="33"/>
      <c r="D450" s="33"/>
      <c r="E450" s="33"/>
      <c r="N450" s="1"/>
      <c r="O450" s="1"/>
      <c r="P450" s="1"/>
    </row>
    <row r="451" spans="2:16" ht="14.5">
      <c r="B451" s="33"/>
      <c r="C451" s="33"/>
      <c r="D451" s="33"/>
      <c r="E451" s="33"/>
      <c r="N451" s="1"/>
      <c r="O451" s="1"/>
      <c r="P451" s="1"/>
    </row>
    <row r="452" spans="2:16" ht="14.5">
      <c r="B452" s="33"/>
      <c r="C452" s="33"/>
      <c r="D452" s="33"/>
      <c r="E452" s="33"/>
      <c r="N452" s="1"/>
      <c r="O452" s="1"/>
      <c r="P452" s="1"/>
    </row>
    <row r="453" spans="2:16" ht="14.5">
      <c r="B453" s="33"/>
      <c r="C453" s="33"/>
      <c r="D453" s="33"/>
      <c r="E453" s="33"/>
      <c r="N453" s="1"/>
      <c r="O453" s="1"/>
      <c r="P453" s="1"/>
    </row>
    <row r="454" spans="2:16" ht="14.5">
      <c r="B454" s="33"/>
      <c r="C454" s="33"/>
      <c r="D454" s="33"/>
      <c r="E454" s="33"/>
      <c r="N454" s="1"/>
      <c r="O454" s="1"/>
      <c r="P454" s="1"/>
    </row>
    <row r="455" spans="2:16" ht="14.5">
      <c r="B455" s="33"/>
      <c r="C455" s="33"/>
      <c r="D455" s="33"/>
      <c r="E455" s="33"/>
      <c r="N455" s="1"/>
      <c r="O455" s="1"/>
      <c r="P455" s="1"/>
    </row>
    <row r="456" spans="2:16" ht="14.5">
      <c r="B456" s="33"/>
      <c r="C456" s="33"/>
      <c r="D456" s="33"/>
      <c r="E456" s="33"/>
      <c r="N456" s="1"/>
      <c r="O456" s="1"/>
      <c r="P456" s="1"/>
    </row>
    <row r="457" spans="2:16" ht="14.5">
      <c r="B457" s="33"/>
      <c r="C457" s="33"/>
      <c r="D457" s="33"/>
      <c r="E457" s="33"/>
      <c r="N457" s="1"/>
      <c r="O457" s="1"/>
      <c r="P457" s="1"/>
    </row>
    <row r="458" spans="2:16" ht="14.5">
      <c r="B458" s="33"/>
      <c r="C458" s="33"/>
      <c r="D458" s="33"/>
      <c r="E458" s="33"/>
      <c r="N458" s="1"/>
      <c r="O458" s="1"/>
      <c r="P458" s="1"/>
    </row>
    <row r="459" spans="2:16" ht="14.5">
      <c r="B459" s="33"/>
      <c r="C459" s="33"/>
      <c r="D459" s="33"/>
      <c r="E459" s="33"/>
      <c r="N459" s="1"/>
      <c r="O459" s="1"/>
      <c r="P459" s="1"/>
    </row>
    <row r="460" spans="2:16" ht="14.5">
      <c r="B460" s="33"/>
      <c r="C460" s="33"/>
      <c r="D460" s="33"/>
      <c r="E460" s="33"/>
      <c r="N460" s="1"/>
      <c r="O460" s="1"/>
      <c r="P460" s="1"/>
    </row>
    <row r="461" spans="2:16" ht="14.5">
      <c r="B461" s="33"/>
      <c r="C461" s="33"/>
      <c r="D461" s="33"/>
      <c r="E461" s="33"/>
      <c r="N461" s="1"/>
      <c r="O461" s="1"/>
      <c r="P461" s="1"/>
    </row>
    <row r="462" spans="2:16" ht="14.5">
      <c r="B462" s="33"/>
      <c r="C462" s="33"/>
      <c r="D462" s="33"/>
      <c r="E462" s="33"/>
      <c r="N462" s="1"/>
      <c r="O462" s="1"/>
      <c r="P462" s="1"/>
    </row>
    <row r="463" spans="2:16" ht="14.5">
      <c r="B463" s="33"/>
      <c r="C463" s="33"/>
      <c r="D463" s="33"/>
      <c r="E463" s="33"/>
      <c r="N463" s="1"/>
      <c r="O463" s="1"/>
      <c r="P463" s="1"/>
    </row>
    <row r="464" spans="2:16" ht="14.5">
      <c r="B464" s="33"/>
      <c r="C464" s="33"/>
      <c r="D464" s="33"/>
      <c r="E464" s="33"/>
      <c r="N464" s="1"/>
      <c r="O464" s="1"/>
      <c r="P464" s="1"/>
    </row>
    <row r="465" spans="2:16" ht="14.5">
      <c r="B465" s="33"/>
      <c r="C465" s="33"/>
      <c r="D465" s="33"/>
      <c r="E465" s="33"/>
      <c r="N465" s="1"/>
      <c r="O465" s="1"/>
      <c r="P465" s="1"/>
    </row>
    <row r="466" spans="2:16" ht="14.5">
      <c r="B466" s="33"/>
      <c r="C466" s="33"/>
      <c r="D466" s="33"/>
      <c r="E466" s="33"/>
      <c r="N466" s="1"/>
      <c r="O466" s="1"/>
      <c r="P466" s="1"/>
    </row>
    <row r="467" spans="2:16" ht="14.5">
      <c r="B467" s="33"/>
      <c r="C467" s="33"/>
      <c r="D467" s="33"/>
      <c r="E467" s="33"/>
      <c r="N467" s="1"/>
      <c r="O467" s="1"/>
      <c r="P467" s="1"/>
    </row>
    <row r="468" spans="2:16" ht="14.5">
      <c r="B468" s="33"/>
      <c r="C468" s="33"/>
      <c r="D468" s="33"/>
      <c r="E468" s="33"/>
      <c r="N468" s="1"/>
      <c r="O468" s="1"/>
      <c r="P468" s="1"/>
    </row>
    <row r="469" spans="2:16" ht="14.5">
      <c r="B469" s="33"/>
      <c r="C469" s="33"/>
      <c r="D469" s="33"/>
      <c r="E469" s="33"/>
      <c r="N469" s="1"/>
      <c r="O469" s="1"/>
      <c r="P469" s="1"/>
    </row>
    <row r="470" spans="2:16" ht="14.5">
      <c r="B470" s="33"/>
      <c r="C470" s="33"/>
      <c r="D470" s="33"/>
      <c r="E470" s="33"/>
      <c r="N470" s="1"/>
      <c r="O470" s="1"/>
      <c r="P470" s="1"/>
    </row>
    <row r="471" spans="2:16" ht="14.5">
      <c r="B471" s="33"/>
      <c r="C471" s="33"/>
      <c r="D471" s="33"/>
      <c r="E471" s="33"/>
      <c r="N471" s="1"/>
      <c r="O471" s="1"/>
      <c r="P471" s="1"/>
    </row>
    <row r="472" spans="2:16" ht="14.5">
      <c r="B472" s="33"/>
      <c r="C472" s="33"/>
      <c r="D472" s="33"/>
      <c r="E472" s="33"/>
      <c r="N472" s="1"/>
      <c r="O472" s="1"/>
      <c r="P472" s="1"/>
    </row>
    <row r="473" spans="2:16" ht="14.5">
      <c r="B473" s="33"/>
      <c r="C473" s="33"/>
      <c r="D473" s="33"/>
      <c r="E473" s="33"/>
      <c r="N473" s="1"/>
      <c r="O473" s="1"/>
      <c r="P473" s="1"/>
    </row>
    <row r="474" spans="2:16" ht="14.5">
      <c r="B474" s="33"/>
      <c r="C474" s="33"/>
      <c r="D474" s="33"/>
      <c r="E474" s="33"/>
      <c r="N474" s="1"/>
      <c r="O474" s="1"/>
      <c r="P474" s="1"/>
    </row>
    <row r="475" spans="2:16" ht="14.5">
      <c r="B475" s="33"/>
      <c r="C475" s="33"/>
      <c r="D475" s="33"/>
      <c r="E475" s="33"/>
      <c r="N475" s="1"/>
      <c r="O475" s="1"/>
      <c r="P475" s="1"/>
    </row>
    <row r="476" spans="2:16" ht="14.5">
      <c r="B476" s="33"/>
      <c r="C476" s="33"/>
      <c r="D476" s="33"/>
      <c r="E476" s="33"/>
      <c r="N476" s="1"/>
      <c r="O476" s="1"/>
      <c r="P476" s="1"/>
    </row>
    <row r="477" spans="2:16" ht="14.5">
      <c r="B477" s="33"/>
      <c r="C477" s="33"/>
      <c r="D477" s="33"/>
      <c r="E477" s="33"/>
      <c r="N477" s="1"/>
      <c r="O477" s="1"/>
      <c r="P477" s="1"/>
    </row>
    <row r="478" spans="2:16" ht="14.5">
      <c r="B478" s="33"/>
      <c r="C478" s="33"/>
      <c r="D478" s="33"/>
      <c r="E478" s="33"/>
      <c r="N478" s="1"/>
      <c r="O478" s="1"/>
      <c r="P478" s="1"/>
    </row>
    <row r="479" spans="2:16" ht="14.5">
      <c r="B479" s="33"/>
      <c r="C479" s="33"/>
      <c r="D479" s="33"/>
      <c r="E479" s="33"/>
      <c r="N479" s="1"/>
      <c r="O479" s="1"/>
      <c r="P479" s="1"/>
    </row>
    <row r="480" spans="2:16" ht="14.5">
      <c r="B480" s="33"/>
      <c r="C480" s="33"/>
      <c r="D480" s="33"/>
      <c r="E480" s="33"/>
      <c r="N480" s="1"/>
      <c r="O480" s="1"/>
      <c r="P480" s="1"/>
    </row>
    <row r="481" spans="2:16" ht="14.5">
      <c r="B481" s="33"/>
      <c r="C481" s="33"/>
      <c r="D481" s="33"/>
      <c r="E481" s="33"/>
      <c r="N481" s="1"/>
      <c r="O481" s="1"/>
      <c r="P481" s="1"/>
    </row>
    <row r="482" spans="2:16" ht="14.5">
      <c r="B482" s="33"/>
      <c r="C482" s="33"/>
      <c r="D482" s="33"/>
      <c r="E482" s="33"/>
      <c r="N482" s="1"/>
      <c r="O482" s="1"/>
      <c r="P482" s="1"/>
    </row>
    <row r="483" spans="2:16" ht="14.5">
      <c r="B483" s="33"/>
      <c r="C483" s="33"/>
      <c r="D483" s="33"/>
      <c r="E483" s="33"/>
      <c r="N483" s="1"/>
      <c r="O483" s="1"/>
      <c r="P483" s="1"/>
    </row>
    <row r="484" spans="2:16" ht="14.5">
      <c r="B484" s="33"/>
      <c r="C484" s="33"/>
      <c r="D484" s="33"/>
      <c r="E484" s="33"/>
      <c r="N484" s="1"/>
      <c r="O484" s="1"/>
      <c r="P484" s="1"/>
    </row>
    <row r="485" spans="2:16" ht="14.5">
      <c r="B485" s="33"/>
      <c r="C485" s="33"/>
      <c r="D485" s="33"/>
      <c r="E485" s="33"/>
      <c r="N485" s="1"/>
      <c r="O485" s="1"/>
      <c r="P485" s="1"/>
    </row>
    <row r="486" spans="2:16" ht="14.5">
      <c r="B486" s="33"/>
      <c r="C486" s="33"/>
      <c r="D486" s="33"/>
      <c r="E486" s="33"/>
      <c r="N486" s="1"/>
      <c r="O486" s="1"/>
      <c r="P486" s="1"/>
    </row>
    <row r="487" spans="2:16" ht="14.5">
      <c r="B487" s="33"/>
      <c r="C487" s="33"/>
      <c r="D487" s="33"/>
      <c r="E487" s="33"/>
      <c r="N487" s="1"/>
      <c r="O487" s="1"/>
      <c r="P487" s="1"/>
    </row>
    <row r="488" spans="2:16" ht="14.5">
      <c r="B488" s="33"/>
      <c r="C488" s="33"/>
      <c r="D488" s="33"/>
      <c r="E488" s="33"/>
      <c r="N488" s="1"/>
      <c r="O488" s="1"/>
      <c r="P488" s="1"/>
    </row>
    <row r="489" spans="2:16" ht="14.5">
      <c r="B489" s="33"/>
      <c r="C489" s="33"/>
      <c r="D489" s="33"/>
      <c r="E489" s="33"/>
      <c r="N489" s="1"/>
      <c r="O489" s="1"/>
      <c r="P489" s="1"/>
    </row>
    <row r="490" spans="2:16" ht="14.5">
      <c r="B490" s="33"/>
      <c r="C490" s="33"/>
      <c r="D490" s="33"/>
      <c r="E490" s="33"/>
      <c r="N490" s="1"/>
      <c r="O490" s="1"/>
      <c r="P490" s="1"/>
    </row>
    <row r="491" spans="2:16" ht="14.5">
      <c r="B491" s="33"/>
      <c r="C491" s="33"/>
      <c r="D491" s="33"/>
      <c r="E491" s="33"/>
      <c r="N491" s="1"/>
      <c r="O491" s="1"/>
      <c r="P491" s="1"/>
    </row>
    <row r="492" spans="2:16" ht="14.5">
      <c r="B492" s="33"/>
      <c r="C492" s="33"/>
      <c r="D492" s="33"/>
      <c r="E492" s="33"/>
      <c r="N492" s="1"/>
      <c r="O492" s="1"/>
      <c r="P492" s="1"/>
    </row>
    <row r="493" spans="2:16" ht="14.5">
      <c r="B493" s="33"/>
      <c r="C493" s="33"/>
      <c r="D493" s="33"/>
      <c r="E493" s="33"/>
      <c r="N493" s="1"/>
      <c r="O493" s="1"/>
      <c r="P493" s="1"/>
    </row>
    <row r="494" spans="2:16" ht="14.5">
      <c r="B494" s="33"/>
      <c r="C494" s="33"/>
      <c r="D494" s="33"/>
      <c r="E494" s="33"/>
      <c r="N494" s="1"/>
      <c r="O494" s="1"/>
      <c r="P494" s="1"/>
    </row>
    <row r="495" spans="2:16" ht="14.5">
      <c r="B495" s="33"/>
      <c r="C495" s="33"/>
      <c r="D495" s="33"/>
      <c r="E495" s="33"/>
      <c r="N495" s="1"/>
      <c r="O495" s="1"/>
      <c r="P495" s="1"/>
    </row>
    <row r="496" spans="2:16" ht="14.5">
      <c r="B496" s="33"/>
      <c r="C496" s="33"/>
      <c r="D496" s="33"/>
      <c r="E496" s="33"/>
      <c r="N496" s="1"/>
      <c r="O496" s="1"/>
      <c r="P496" s="1"/>
    </row>
    <row r="497" spans="2:16" ht="14.5">
      <c r="B497" s="33"/>
      <c r="C497" s="33"/>
      <c r="D497" s="33"/>
      <c r="E497" s="33"/>
      <c r="N497" s="1"/>
      <c r="O497" s="1"/>
      <c r="P497" s="1"/>
    </row>
    <row r="498" spans="2:16" ht="14.5">
      <c r="B498" s="33"/>
      <c r="C498" s="33"/>
      <c r="D498" s="33"/>
      <c r="E498" s="33"/>
      <c r="N498" s="1"/>
      <c r="O498" s="1"/>
      <c r="P498" s="1"/>
    </row>
    <row r="499" spans="2:16" ht="14.5">
      <c r="B499" s="33"/>
      <c r="C499" s="33"/>
      <c r="D499" s="33"/>
      <c r="E499" s="33"/>
      <c r="N499" s="1"/>
      <c r="O499" s="1"/>
      <c r="P499" s="1"/>
    </row>
    <row r="500" spans="2:16" ht="14.5">
      <c r="B500" s="33"/>
      <c r="C500" s="33"/>
      <c r="D500" s="33"/>
      <c r="E500" s="33"/>
      <c r="N500" s="1"/>
      <c r="O500" s="1"/>
      <c r="P500" s="1"/>
    </row>
    <row r="501" spans="2:16" ht="14.5">
      <c r="B501" s="33"/>
      <c r="C501" s="33"/>
      <c r="D501" s="33"/>
      <c r="E501" s="33"/>
      <c r="N501" s="1"/>
      <c r="O501" s="1"/>
      <c r="P501" s="1"/>
    </row>
    <row r="502" spans="2:16" ht="14.5">
      <c r="B502" s="33"/>
      <c r="C502" s="33"/>
      <c r="D502" s="33"/>
      <c r="E502" s="33"/>
      <c r="N502" s="1"/>
      <c r="O502" s="1"/>
      <c r="P502" s="1"/>
    </row>
    <row r="503" spans="2:16" ht="14.5">
      <c r="B503" s="33"/>
      <c r="C503" s="33"/>
      <c r="D503" s="33"/>
      <c r="E503" s="33"/>
      <c r="N503" s="1"/>
      <c r="O503" s="1"/>
      <c r="P503" s="1"/>
    </row>
    <row r="504" spans="2:16" ht="14.5">
      <c r="B504" s="33"/>
      <c r="C504" s="33"/>
      <c r="D504" s="33"/>
      <c r="E504" s="33"/>
      <c r="N504" s="1"/>
      <c r="O504" s="1"/>
      <c r="P504" s="1"/>
    </row>
    <row r="505" spans="2:16" ht="14.5">
      <c r="B505" s="33"/>
      <c r="C505" s="33"/>
      <c r="D505" s="33"/>
      <c r="E505" s="33"/>
      <c r="N505" s="1"/>
      <c r="O505" s="1"/>
      <c r="P505" s="1"/>
    </row>
    <row r="506" spans="2:16" ht="14.5">
      <c r="B506" s="33"/>
      <c r="C506" s="33"/>
      <c r="D506" s="33"/>
      <c r="E506" s="33"/>
      <c r="N506" s="1"/>
      <c r="O506" s="1"/>
      <c r="P506" s="1"/>
    </row>
    <row r="507" spans="2:16" ht="14.5">
      <c r="B507" s="33"/>
      <c r="C507" s="33"/>
      <c r="D507" s="33"/>
      <c r="E507" s="33"/>
      <c r="N507" s="1"/>
      <c r="O507" s="1"/>
      <c r="P507" s="1"/>
    </row>
    <row r="508" spans="2:16" ht="14.5">
      <c r="B508" s="33"/>
      <c r="C508" s="33"/>
      <c r="D508" s="33"/>
      <c r="E508" s="33"/>
      <c r="N508" s="1"/>
      <c r="O508" s="1"/>
      <c r="P508" s="1"/>
    </row>
    <row r="509" spans="2:16" ht="14.5">
      <c r="B509" s="33"/>
      <c r="C509" s="33"/>
      <c r="D509" s="33"/>
      <c r="E509" s="33"/>
      <c r="N509" s="1"/>
      <c r="O509" s="1"/>
      <c r="P509" s="1"/>
    </row>
    <row r="510" spans="2:16" ht="14.5">
      <c r="B510" s="33"/>
      <c r="C510" s="33"/>
      <c r="D510" s="33"/>
      <c r="E510" s="33"/>
      <c r="N510" s="1"/>
      <c r="O510" s="1"/>
      <c r="P510" s="1"/>
    </row>
    <row r="511" spans="2:16" ht="14.5">
      <c r="B511" s="33"/>
      <c r="C511" s="33"/>
      <c r="D511" s="33"/>
      <c r="E511" s="33"/>
      <c r="N511" s="1"/>
      <c r="O511" s="1"/>
      <c r="P511" s="1"/>
    </row>
    <row r="512" spans="2:16" ht="14.5">
      <c r="B512" s="33"/>
      <c r="C512" s="33"/>
      <c r="D512" s="33"/>
      <c r="E512" s="33"/>
      <c r="N512" s="1"/>
      <c r="O512" s="1"/>
      <c r="P512" s="1"/>
    </row>
    <row r="513" spans="2:16" ht="14.5">
      <c r="B513" s="33"/>
      <c r="C513" s="33"/>
      <c r="D513" s="33"/>
      <c r="E513" s="33"/>
      <c r="N513" s="1"/>
      <c r="O513" s="1"/>
      <c r="P513" s="1"/>
    </row>
    <row r="514" spans="2:16" ht="14.5">
      <c r="B514" s="33"/>
      <c r="C514" s="33"/>
      <c r="D514" s="33"/>
      <c r="E514" s="33"/>
      <c r="N514" s="1"/>
      <c r="O514" s="1"/>
      <c r="P514" s="1"/>
    </row>
    <row r="515" spans="2:16" ht="14.5">
      <c r="B515" s="33"/>
      <c r="C515" s="33"/>
      <c r="D515" s="33"/>
      <c r="E515" s="33"/>
      <c r="N515" s="1"/>
      <c r="O515" s="1"/>
      <c r="P515" s="1"/>
    </row>
    <row r="516" spans="2:16" ht="14.5">
      <c r="B516" s="33"/>
      <c r="C516" s="33"/>
      <c r="D516" s="33"/>
      <c r="E516" s="33"/>
      <c r="N516" s="1"/>
      <c r="O516" s="1"/>
      <c r="P516" s="1"/>
    </row>
    <row r="517" spans="2:16" ht="14.5">
      <c r="B517" s="33"/>
      <c r="C517" s="33"/>
      <c r="D517" s="33"/>
      <c r="E517" s="33"/>
      <c r="N517" s="1"/>
      <c r="O517" s="1"/>
      <c r="P517" s="1"/>
    </row>
    <row r="518" spans="2:16" ht="14.5">
      <c r="B518" s="33"/>
      <c r="C518" s="33"/>
      <c r="D518" s="33"/>
      <c r="E518" s="33"/>
      <c r="N518" s="1"/>
      <c r="O518" s="1"/>
      <c r="P518" s="1"/>
    </row>
    <row r="519" spans="2:16" ht="14.5">
      <c r="B519" s="33"/>
      <c r="C519" s="33"/>
      <c r="D519" s="33"/>
      <c r="E519" s="33"/>
      <c r="N519" s="1"/>
      <c r="O519" s="1"/>
      <c r="P519" s="1"/>
    </row>
    <row r="520" spans="2:16" ht="14.5">
      <c r="B520" s="33"/>
      <c r="C520" s="33"/>
      <c r="D520" s="33"/>
      <c r="E520" s="33"/>
      <c r="N520" s="1"/>
      <c r="O520" s="1"/>
      <c r="P520" s="1"/>
    </row>
    <row r="521" spans="2:16" ht="14.5">
      <c r="B521" s="33"/>
      <c r="C521" s="33"/>
      <c r="D521" s="33"/>
      <c r="E521" s="33"/>
      <c r="N521" s="1"/>
      <c r="O521" s="1"/>
      <c r="P521" s="1"/>
    </row>
    <row r="522" spans="2:16" ht="14.5">
      <c r="B522" s="33"/>
      <c r="C522" s="33"/>
      <c r="D522" s="33"/>
      <c r="E522" s="33"/>
      <c r="N522" s="1"/>
      <c r="O522" s="1"/>
      <c r="P522" s="1"/>
    </row>
    <row r="523" spans="2:16" ht="14.5">
      <c r="B523" s="33"/>
      <c r="C523" s="33"/>
      <c r="D523" s="33"/>
      <c r="E523" s="33"/>
      <c r="N523" s="1"/>
      <c r="O523" s="1"/>
      <c r="P523" s="1"/>
    </row>
    <row r="524" spans="2:16" ht="14.5">
      <c r="B524" s="33"/>
      <c r="C524" s="33"/>
      <c r="D524" s="33"/>
      <c r="E524" s="33"/>
      <c r="N524" s="1"/>
      <c r="O524" s="1"/>
      <c r="P524" s="1"/>
    </row>
    <row r="525" spans="2:16" ht="14.5">
      <c r="B525" s="33"/>
      <c r="C525" s="33"/>
      <c r="D525" s="33"/>
      <c r="E525" s="33"/>
      <c r="N525" s="1"/>
      <c r="O525" s="1"/>
      <c r="P525" s="1"/>
    </row>
    <row r="526" spans="2:16" ht="14.5">
      <c r="B526" s="33"/>
      <c r="C526" s="33"/>
      <c r="D526" s="33"/>
      <c r="E526" s="33"/>
      <c r="N526" s="1"/>
      <c r="O526" s="1"/>
      <c r="P526" s="1"/>
    </row>
    <row r="527" spans="2:16" ht="14.5">
      <c r="B527" s="33"/>
      <c r="C527" s="33"/>
      <c r="D527" s="33"/>
      <c r="E527" s="33"/>
      <c r="N527" s="1"/>
      <c r="O527" s="1"/>
      <c r="P527" s="1"/>
    </row>
    <row r="528" spans="2:16" ht="14.5">
      <c r="B528" s="33"/>
      <c r="C528" s="33"/>
      <c r="D528" s="33"/>
      <c r="E528" s="33"/>
      <c r="N528" s="1"/>
      <c r="O528" s="1"/>
      <c r="P528" s="1"/>
    </row>
    <row r="529" spans="2:16" ht="14.5">
      <c r="B529" s="33"/>
      <c r="C529" s="33"/>
      <c r="D529" s="33"/>
      <c r="E529" s="33"/>
      <c r="N529" s="1"/>
      <c r="O529" s="1"/>
      <c r="P529" s="1"/>
    </row>
    <row r="530" spans="2:16" ht="14.5">
      <c r="B530" s="33"/>
      <c r="C530" s="33"/>
      <c r="D530" s="33"/>
      <c r="E530" s="33"/>
      <c r="N530" s="1"/>
      <c r="O530" s="1"/>
      <c r="P530" s="1"/>
    </row>
    <row r="531" spans="2:16" ht="14.5">
      <c r="B531" s="33"/>
      <c r="C531" s="33"/>
      <c r="D531" s="33"/>
      <c r="E531" s="33"/>
      <c r="N531" s="1"/>
      <c r="O531" s="1"/>
      <c r="P531" s="1"/>
    </row>
    <row r="532" spans="2:16" ht="14.5">
      <c r="B532" s="33"/>
      <c r="C532" s="33"/>
      <c r="D532" s="33"/>
      <c r="E532" s="33"/>
      <c r="N532" s="1"/>
      <c r="O532" s="1"/>
      <c r="P532" s="1"/>
    </row>
    <row r="533" spans="2:16" ht="14.5">
      <c r="B533" s="33"/>
      <c r="C533" s="33"/>
      <c r="D533" s="33"/>
      <c r="E533" s="33"/>
      <c r="N533" s="1"/>
      <c r="O533" s="1"/>
      <c r="P533" s="1"/>
    </row>
    <row r="534" spans="2:16" ht="14.5">
      <c r="B534" s="33"/>
      <c r="C534" s="33"/>
      <c r="D534" s="33"/>
      <c r="E534" s="33"/>
      <c r="N534" s="1"/>
      <c r="O534" s="1"/>
      <c r="P534" s="1"/>
    </row>
    <row r="535" spans="2:16" ht="14.5">
      <c r="B535" s="33"/>
      <c r="C535" s="33"/>
      <c r="D535" s="33"/>
      <c r="E535" s="33"/>
      <c r="N535" s="1"/>
      <c r="O535" s="1"/>
      <c r="P535" s="1"/>
    </row>
    <row r="536" spans="2:16" ht="14.5">
      <c r="B536" s="33"/>
      <c r="C536" s="33"/>
      <c r="D536" s="33"/>
      <c r="E536" s="33"/>
      <c r="N536" s="1"/>
      <c r="O536" s="1"/>
      <c r="P536" s="1"/>
    </row>
    <row r="537" spans="2:16" ht="14.5">
      <c r="B537" s="33"/>
      <c r="C537" s="33"/>
      <c r="D537" s="33"/>
      <c r="E537" s="33"/>
      <c r="N537" s="1"/>
      <c r="O537" s="1"/>
      <c r="P537" s="1"/>
    </row>
    <row r="538" spans="2:16" ht="14.5">
      <c r="B538" s="33"/>
      <c r="C538" s="33"/>
      <c r="D538" s="33"/>
      <c r="E538" s="33"/>
      <c r="N538" s="1"/>
      <c r="O538" s="1"/>
      <c r="P538" s="1"/>
    </row>
    <row r="539" spans="2:16" ht="14.5">
      <c r="B539" s="33"/>
      <c r="C539" s="33"/>
      <c r="D539" s="33"/>
      <c r="E539" s="33"/>
      <c r="N539" s="1"/>
      <c r="O539" s="1"/>
      <c r="P539" s="1"/>
    </row>
    <row r="540" spans="2:16" ht="14.5">
      <c r="B540" s="33"/>
      <c r="C540" s="33"/>
      <c r="D540" s="33"/>
      <c r="E540" s="33"/>
      <c r="N540" s="1"/>
      <c r="O540" s="1"/>
      <c r="P540" s="1"/>
    </row>
    <row r="541" spans="2:16" ht="14.5">
      <c r="B541" s="33"/>
      <c r="C541" s="33"/>
      <c r="D541" s="33"/>
      <c r="E541" s="33"/>
      <c r="N541" s="1"/>
      <c r="O541" s="1"/>
      <c r="P541" s="1"/>
    </row>
    <row r="542" spans="2:16" ht="14.5">
      <c r="B542" s="33"/>
      <c r="C542" s="33"/>
      <c r="D542" s="33"/>
      <c r="E542" s="33"/>
      <c r="N542" s="1"/>
      <c r="O542" s="1"/>
      <c r="P542" s="1"/>
    </row>
    <row r="543" spans="2:16" ht="14.5">
      <c r="B543" s="33"/>
      <c r="C543" s="33"/>
      <c r="D543" s="33"/>
      <c r="E543" s="33"/>
      <c r="N543" s="1"/>
      <c r="O543" s="1"/>
      <c r="P543" s="1"/>
    </row>
    <row r="544" spans="2:16" ht="14.5">
      <c r="B544" s="33"/>
      <c r="C544" s="33"/>
      <c r="D544" s="33"/>
      <c r="E544" s="33"/>
      <c r="N544" s="1"/>
      <c r="O544" s="1"/>
      <c r="P544" s="1"/>
    </row>
    <row r="545" spans="2:16" ht="14.5">
      <c r="B545" s="33"/>
      <c r="C545" s="33"/>
      <c r="D545" s="33"/>
      <c r="E545" s="33"/>
      <c r="N545" s="1"/>
      <c r="O545" s="1"/>
      <c r="P545" s="1"/>
    </row>
    <row r="546" spans="2:16" ht="14.5">
      <c r="B546" s="33"/>
      <c r="C546" s="33"/>
      <c r="D546" s="33"/>
      <c r="E546" s="33"/>
      <c r="N546" s="1"/>
      <c r="O546" s="1"/>
      <c r="P546" s="1"/>
    </row>
    <row r="547" spans="2:16" ht="14.5">
      <c r="B547" s="33"/>
      <c r="C547" s="33"/>
      <c r="D547" s="33"/>
      <c r="E547" s="33"/>
      <c r="N547" s="1"/>
      <c r="O547" s="1"/>
      <c r="P547" s="1"/>
    </row>
    <row r="548" spans="2:16" ht="14.5">
      <c r="B548" s="33"/>
      <c r="C548" s="33"/>
      <c r="D548" s="33"/>
      <c r="E548" s="33"/>
      <c r="N548" s="1"/>
      <c r="O548" s="1"/>
      <c r="P548" s="1"/>
    </row>
    <row r="549" spans="2:16" ht="14.5">
      <c r="B549" s="33"/>
      <c r="C549" s="33"/>
      <c r="D549" s="33"/>
      <c r="E549" s="33"/>
      <c r="N549" s="1"/>
      <c r="O549" s="1"/>
      <c r="P549" s="1"/>
    </row>
    <row r="550" spans="2:16" ht="14.5">
      <c r="B550" s="33"/>
      <c r="C550" s="33"/>
      <c r="D550" s="33"/>
      <c r="E550" s="33"/>
      <c r="N550" s="1"/>
      <c r="O550" s="1"/>
      <c r="P550" s="1"/>
    </row>
    <row r="551" spans="2:16" ht="14.5">
      <c r="B551" s="33"/>
      <c r="C551" s="33"/>
      <c r="D551" s="33"/>
      <c r="E551" s="33"/>
      <c r="N551" s="1"/>
      <c r="O551" s="1"/>
      <c r="P551" s="1"/>
    </row>
    <row r="552" spans="2:16" ht="14.5">
      <c r="B552" s="33"/>
      <c r="C552" s="33"/>
      <c r="D552" s="33"/>
      <c r="E552" s="33"/>
      <c r="N552" s="1"/>
      <c r="O552" s="1"/>
      <c r="P552" s="1"/>
    </row>
    <row r="553" spans="2:16" ht="14.5">
      <c r="B553" s="33"/>
      <c r="C553" s="33"/>
      <c r="D553" s="33"/>
      <c r="E553" s="33"/>
      <c r="N553" s="1"/>
      <c r="O553" s="1"/>
      <c r="P553" s="1"/>
    </row>
    <row r="554" spans="2:16" ht="14.5">
      <c r="B554" s="33"/>
      <c r="C554" s="33"/>
      <c r="D554" s="33"/>
      <c r="E554" s="33"/>
      <c r="N554" s="1"/>
      <c r="O554" s="1"/>
      <c r="P554" s="1"/>
    </row>
    <row r="555" spans="2:16" ht="14.5">
      <c r="B555" s="33"/>
      <c r="C555" s="33"/>
      <c r="D555" s="33"/>
      <c r="E555" s="33"/>
      <c r="N555" s="1"/>
      <c r="O555" s="1"/>
      <c r="P555" s="1"/>
    </row>
    <row r="556" spans="2:16" ht="14.5">
      <c r="B556" s="33"/>
      <c r="C556" s="33"/>
      <c r="D556" s="33"/>
      <c r="E556" s="33"/>
      <c r="N556" s="1"/>
      <c r="O556" s="1"/>
      <c r="P556" s="1"/>
    </row>
    <row r="557" spans="2:16" ht="14.5">
      <c r="B557" s="33"/>
      <c r="C557" s="33"/>
      <c r="D557" s="33"/>
      <c r="E557" s="33"/>
      <c r="N557" s="1"/>
      <c r="O557" s="1"/>
      <c r="P557" s="1"/>
    </row>
    <row r="558" spans="2:16" ht="14.5">
      <c r="B558" s="33"/>
      <c r="C558" s="33"/>
      <c r="D558" s="33"/>
      <c r="E558" s="33"/>
      <c r="N558" s="1"/>
      <c r="O558" s="1"/>
      <c r="P558" s="1"/>
    </row>
    <row r="559" spans="2:16" ht="14.5">
      <c r="B559" s="33"/>
      <c r="C559" s="33"/>
      <c r="D559" s="33"/>
      <c r="E559" s="33"/>
      <c r="N559" s="1"/>
      <c r="O559" s="1"/>
      <c r="P559" s="1"/>
    </row>
    <row r="560" spans="2:16" ht="14.5">
      <c r="B560" s="33"/>
      <c r="C560" s="33"/>
      <c r="D560" s="33"/>
      <c r="E560" s="33"/>
      <c r="N560" s="1"/>
      <c r="O560" s="1"/>
      <c r="P560" s="1"/>
    </row>
    <row r="561" spans="2:16" ht="14.5">
      <c r="B561" s="33"/>
      <c r="C561" s="33"/>
      <c r="D561" s="33"/>
      <c r="E561" s="33"/>
      <c r="N561" s="1"/>
      <c r="O561" s="1"/>
      <c r="P561" s="1"/>
    </row>
    <row r="562" spans="2:16" ht="14.5">
      <c r="B562" s="33"/>
      <c r="C562" s="33"/>
      <c r="D562" s="33"/>
      <c r="E562" s="33"/>
      <c r="N562" s="1"/>
      <c r="O562" s="1"/>
      <c r="P562" s="1"/>
    </row>
    <row r="563" spans="2:16" ht="14.5">
      <c r="B563" s="33"/>
      <c r="C563" s="33"/>
      <c r="D563" s="33"/>
      <c r="E563" s="33"/>
      <c r="N563" s="1"/>
      <c r="O563" s="1"/>
      <c r="P563" s="1"/>
    </row>
    <row r="564" spans="2:16" ht="14.5">
      <c r="B564" s="33"/>
      <c r="C564" s="33"/>
      <c r="D564" s="33"/>
      <c r="E564" s="33"/>
      <c r="N564" s="1"/>
      <c r="O564" s="1"/>
      <c r="P564" s="1"/>
    </row>
    <row r="565" spans="2:16" ht="14.5">
      <c r="B565" s="33"/>
      <c r="C565" s="33"/>
      <c r="D565" s="33"/>
      <c r="E565" s="33"/>
      <c r="N565" s="1"/>
      <c r="O565" s="1"/>
      <c r="P565" s="1"/>
    </row>
    <row r="566" spans="2:16" ht="14.5">
      <c r="B566" s="33"/>
      <c r="C566" s="33"/>
      <c r="D566" s="33"/>
      <c r="E566" s="33"/>
      <c r="N566" s="1"/>
      <c r="O566" s="1"/>
      <c r="P566" s="1"/>
    </row>
    <row r="567" spans="2:16" ht="14.5">
      <c r="B567" s="33"/>
      <c r="C567" s="33"/>
      <c r="D567" s="33"/>
      <c r="E567" s="33"/>
      <c r="N567" s="1"/>
      <c r="O567" s="1"/>
      <c r="P567" s="1"/>
    </row>
    <row r="568" spans="2:16" ht="14.5">
      <c r="B568" s="33"/>
      <c r="C568" s="33"/>
      <c r="D568" s="33"/>
      <c r="E568" s="33"/>
      <c r="N568" s="1"/>
      <c r="O568" s="1"/>
      <c r="P568" s="1"/>
    </row>
    <row r="569" spans="2:16" ht="14.5">
      <c r="B569" s="33"/>
      <c r="C569" s="33"/>
      <c r="D569" s="33"/>
      <c r="E569" s="33"/>
      <c r="N569" s="1"/>
      <c r="O569" s="1"/>
      <c r="P569" s="1"/>
    </row>
    <row r="570" spans="2:16" ht="14.5">
      <c r="B570" s="33"/>
      <c r="C570" s="33"/>
      <c r="D570" s="33"/>
      <c r="E570" s="33"/>
      <c r="N570" s="1"/>
      <c r="O570" s="1"/>
      <c r="P570" s="1"/>
    </row>
    <row r="571" spans="2:16" ht="14.5">
      <c r="B571" s="33"/>
      <c r="C571" s="33"/>
      <c r="D571" s="33"/>
      <c r="E571" s="33"/>
      <c r="N571" s="1"/>
      <c r="O571" s="1"/>
      <c r="P571" s="1"/>
    </row>
    <row r="572" spans="2:16" ht="14.5">
      <c r="B572" s="33"/>
      <c r="C572" s="33"/>
      <c r="D572" s="33"/>
      <c r="E572" s="33"/>
      <c r="N572" s="1"/>
      <c r="O572" s="1"/>
      <c r="P572" s="1"/>
    </row>
    <row r="573" spans="2:16" ht="14.5">
      <c r="B573" s="33"/>
      <c r="C573" s="33"/>
      <c r="D573" s="33"/>
      <c r="E573" s="33"/>
      <c r="N573" s="1"/>
      <c r="O573" s="1"/>
      <c r="P573" s="1"/>
    </row>
    <row r="574" spans="2:16" ht="14.5">
      <c r="B574" s="33"/>
      <c r="C574" s="33"/>
      <c r="D574" s="33"/>
      <c r="E574" s="33"/>
      <c r="N574" s="1"/>
      <c r="O574" s="1"/>
      <c r="P574" s="1"/>
    </row>
    <row r="575" spans="2:16" ht="14.5">
      <c r="B575" s="33"/>
      <c r="C575" s="33"/>
      <c r="D575" s="33"/>
      <c r="E575" s="33"/>
      <c r="N575" s="1"/>
      <c r="O575" s="1"/>
      <c r="P575" s="1"/>
    </row>
    <row r="576" spans="2:16" ht="14.5">
      <c r="B576" s="33"/>
      <c r="C576" s="33"/>
      <c r="D576" s="33"/>
      <c r="E576" s="33"/>
      <c r="N576" s="1"/>
      <c r="O576" s="1"/>
      <c r="P576" s="1"/>
    </row>
    <row r="577" spans="2:16" ht="14.5">
      <c r="B577" s="33"/>
      <c r="C577" s="33"/>
      <c r="D577" s="33"/>
      <c r="E577" s="33"/>
      <c r="N577" s="1"/>
      <c r="O577" s="1"/>
      <c r="P577" s="1"/>
    </row>
    <row r="578" spans="2:16" ht="14.5">
      <c r="B578" s="33"/>
      <c r="C578" s="33"/>
      <c r="D578" s="33"/>
      <c r="E578" s="33"/>
      <c r="N578" s="1"/>
      <c r="O578" s="1"/>
      <c r="P578" s="1"/>
    </row>
    <row r="579" spans="2:16" ht="14.5">
      <c r="B579" s="33"/>
      <c r="C579" s="33"/>
      <c r="D579" s="33"/>
      <c r="E579" s="33"/>
      <c r="N579" s="1"/>
      <c r="O579" s="1"/>
      <c r="P579" s="1"/>
    </row>
    <row r="580" spans="2:16" ht="14.5">
      <c r="B580" s="33"/>
      <c r="C580" s="33"/>
      <c r="D580" s="33"/>
      <c r="E580" s="33"/>
      <c r="N580" s="1"/>
      <c r="O580" s="1"/>
      <c r="P580" s="1"/>
    </row>
    <row r="581" spans="2:16" ht="14.5">
      <c r="B581" s="33"/>
      <c r="C581" s="33"/>
      <c r="D581" s="33"/>
      <c r="E581" s="33"/>
      <c r="N581" s="1"/>
      <c r="O581" s="1"/>
      <c r="P581" s="1"/>
    </row>
    <row r="582" spans="2:16" ht="14.5">
      <c r="B582" s="33"/>
      <c r="C582" s="33"/>
      <c r="D582" s="33"/>
      <c r="E582" s="33"/>
      <c r="N582" s="1"/>
      <c r="O582" s="1"/>
      <c r="P582" s="1"/>
    </row>
    <row r="583" spans="2:16" ht="14.5">
      <c r="B583" s="33"/>
      <c r="C583" s="33"/>
      <c r="D583" s="33"/>
      <c r="E583" s="33"/>
      <c r="N583" s="1"/>
      <c r="O583" s="1"/>
      <c r="P583" s="1"/>
    </row>
    <row r="584" spans="2:16" ht="14.5">
      <c r="B584" s="33"/>
      <c r="C584" s="33"/>
      <c r="D584" s="33"/>
      <c r="E584" s="33"/>
      <c r="N584" s="1"/>
      <c r="O584" s="1"/>
      <c r="P584" s="1"/>
    </row>
    <row r="585" spans="2:16" ht="14.5">
      <c r="B585" s="33"/>
      <c r="C585" s="33"/>
      <c r="D585" s="33"/>
      <c r="E585" s="33"/>
      <c r="N585" s="1"/>
      <c r="O585" s="1"/>
      <c r="P585" s="1"/>
    </row>
    <row r="586" spans="2:16" ht="14.5">
      <c r="B586" s="33"/>
      <c r="C586" s="33"/>
      <c r="D586" s="33"/>
      <c r="E586" s="33"/>
      <c r="N586" s="1"/>
      <c r="O586" s="1"/>
      <c r="P586" s="1"/>
    </row>
    <row r="587" spans="2:16" ht="14.5">
      <c r="B587" s="33"/>
      <c r="C587" s="33"/>
      <c r="D587" s="33"/>
      <c r="E587" s="33"/>
      <c r="N587" s="1"/>
      <c r="O587" s="1"/>
      <c r="P587" s="1"/>
    </row>
    <row r="588" spans="2:16" ht="14.5">
      <c r="B588" s="33"/>
      <c r="C588" s="33"/>
      <c r="D588" s="33"/>
      <c r="E588" s="33"/>
      <c r="N588" s="1"/>
      <c r="O588" s="1"/>
      <c r="P588" s="1"/>
    </row>
    <row r="589" spans="2:16" ht="14.5">
      <c r="B589" s="33"/>
      <c r="C589" s="33"/>
      <c r="D589" s="33"/>
      <c r="E589" s="33"/>
      <c r="N589" s="1"/>
      <c r="O589" s="1"/>
      <c r="P589" s="1"/>
    </row>
    <row r="590" spans="2:16" ht="14.5">
      <c r="B590" s="33"/>
      <c r="C590" s="33"/>
      <c r="D590" s="33"/>
      <c r="E590" s="33"/>
      <c r="N590" s="1"/>
      <c r="O590" s="1"/>
      <c r="P590" s="1"/>
    </row>
    <row r="591" spans="2:16" ht="14.5">
      <c r="B591" s="33"/>
      <c r="C591" s="33"/>
      <c r="D591" s="33"/>
      <c r="E591" s="33"/>
      <c r="N591" s="1"/>
      <c r="O591" s="1"/>
      <c r="P591" s="1"/>
    </row>
    <row r="592" spans="2:16" ht="14.5">
      <c r="B592" s="33"/>
      <c r="C592" s="33"/>
      <c r="D592" s="33"/>
      <c r="E592" s="33"/>
      <c r="N592" s="1"/>
      <c r="O592" s="1"/>
      <c r="P592" s="1"/>
    </row>
    <row r="593" spans="2:16" ht="14.5">
      <c r="B593" s="33"/>
      <c r="C593" s="33"/>
      <c r="D593" s="33"/>
      <c r="E593" s="33"/>
      <c r="N593" s="1"/>
      <c r="O593" s="1"/>
      <c r="P593" s="1"/>
    </row>
    <row r="594" spans="2:16" ht="14.5">
      <c r="B594" s="33"/>
      <c r="C594" s="33"/>
      <c r="D594" s="33"/>
      <c r="E594" s="33"/>
      <c r="N594" s="1"/>
      <c r="O594" s="1"/>
      <c r="P594" s="1"/>
    </row>
    <row r="595" spans="2:16" ht="14.5">
      <c r="B595" s="33"/>
      <c r="C595" s="33"/>
      <c r="D595" s="33"/>
      <c r="E595" s="33"/>
      <c r="N595" s="1"/>
      <c r="O595" s="1"/>
      <c r="P595" s="1"/>
    </row>
    <row r="596" spans="2:16" ht="14.5">
      <c r="B596" s="33"/>
      <c r="C596" s="33"/>
      <c r="D596" s="33"/>
      <c r="E596" s="33"/>
      <c r="N596" s="1"/>
      <c r="O596" s="1"/>
      <c r="P596" s="1"/>
    </row>
    <row r="597" spans="2:16" ht="14.5">
      <c r="B597" s="33"/>
      <c r="C597" s="33"/>
      <c r="D597" s="33"/>
      <c r="E597" s="33"/>
      <c r="N597" s="1"/>
      <c r="O597" s="1"/>
      <c r="P597" s="1"/>
    </row>
    <row r="598" spans="2:16" ht="14.5">
      <c r="B598" s="33"/>
      <c r="C598" s="33"/>
      <c r="D598" s="33"/>
      <c r="E598" s="33"/>
      <c r="N598" s="1"/>
      <c r="O598" s="1"/>
      <c r="P598" s="1"/>
    </row>
    <row r="599" spans="2:16" ht="14.5">
      <c r="B599" s="33"/>
      <c r="C599" s="33"/>
      <c r="D599" s="33"/>
      <c r="E599" s="33"/>
      <c r="N599" s="1"/>
      <c r="O599" s="1"/>
      <c r="P599" s="1"/>
    </row>
    <row r="600" spans="2:16" ht="14.5">
      <c r="B600" s="33"/>
      <c r="C600" s="33"/>
      <c r="D600" s="33"/>
      <c r="E600" s="33"/>
      <c r="N600" s="1"/>
      <c r="O600" s="1"/>
      <c r="P600" s="1"/>
    </row>
    <row r="601" spans="2:16" ht="14.5">
      <c r="B601" s="33"/>
      <c r="C601" s="33"/>
      <c r="D601" s="33"/>
      <c r="E601" s="33"/>
      <c r="N601" s="1"/>
      <c r="O601" s="1"/>
      <c r="P601" s="1"/>
    </row>
    <row r="602" spans="2:16" ht="14.5">
      <c r="B602" s="33"/>
      <c r="C602" s="33"/>
      <c r="D602" s="33"/>
      <c r="E602" s="33"/>
      <c r="N602" s="1"/>
      <c r="O602" s="1"/>
      <c r="P602" s="1"/>
    </row>
    <row r="603" spans="2:16" ht="14.5">
      <c r="B603" s="33"/>
      <c r="C603" s="33"/>
      <c r="D603" s="33"/>
      <c r="E603" s="33"/>
      <c r="N603" s="1"/>
      <c r="O603" s="1"/>
      <c r="P603" s="1"/>
    </row>
    <row r="604" spans="2:16" ht="14.5">
      <c r="B604" s="33"/>
      <c r="C604" s="33"/>
      <c r="D604" s="33"/>
      <c r="E604" s="33"/>
      <c r="N604" s="1"/>
      <c r="O604" s="1"/>
      <c r="P604" s="1"/>
    </row>
    <row r="605" spans="2:16" ht="14.5">
      <c r="B605" s="33"/>
      <c r="C605" s="33"/>
      <c r="D605" s="33"/>
      <c r="E605" s="33"/>
      <c r="N605" s="1"/>
      <c r="O605" s="1"/>
      <c r="P605" s="1"/>
    </row>
    <row r="606" spans="2:16" ht="14.5">
      <c r="B606" s="33"/>
      <c r="C606" s="33"/>
      <c r="D606" s="33"/>
      <c r="E606" s="33"/>
      <c r="N606" s="1"/>
      <c r="O606" s="1"/>
      <c r="P606" s="1"/>
    </row>
    <row r="607" spans="2:16" ht="14.5">
      <c r="B607" s="33"/>
      <c r="C607" s="33"/>
      <c r="D607" s="33"/>
      <c r="E607" s="33"/>
      <c r="N607" s="1"/>
      <c r="O607" s="1"/>
      <c r="P607" s="1"/>
    </row>
    <row r="608" spans="2:16" ht="14.5">
      <c r="B608" s="33"/>
      <c r="C608" s="33"/>
      <c r="D608" s="33"/>
      <c r="E608" s="33"/>
      <c r="N608" s="1"/>
      <c r="O608" s="1"/>
      <c r="P608" s="1"/>
    </row>
    <row r="609" spans="2:16" ht="14.5">
      <c r="B609" s="33"/>
      <c r="C609" s="33"/>
      <c r="D609" s="33"/>
      <c r="E609" s="33"/>
      <c r="N609" s="1"/>
      <c r="O609" s="1"/>
      <c r="P609" s="1"/>
    </row>
    <row r="610" spans="2:16" ht="14.5">
      <c r="B610" s="33"/>
      <c r="C610" s="33"/>
      <c r="D610" s="33"/>
      <c r="E610" s="33"/>
      <c r="N610" s="1"/>
      <c r="O610" s="1"/>
      <c r="P610" s="1"/>
    </row>
    <row r="611" spans="2:16" ht="14.5">
      <c r="B611" s="33"/>
      <c r="C611" s="33"/>
      <c r="D611" s="33"/>
      <c r="E611" s="33"/>
      <c r="N611" s="1"/>
      <c r="O611" s="1"/>
      <c r="P611" s="1"/>
    </row>
    <row r="612" spans="2:16" ht="14.5">
      <c r="B612" s="33"/>
      <c r="C612" s="33"/>
      <c r="D612" s="33"/>
      <c r="E612" s="33"/>
      <c r="N612" s="1"/>
      <c r="O612" s="1"/>
      <c r="P612" s="1"/>
    </row>
    <row r="613" spans="2:16" ht="14.5">
      <c r="B613" s="33"/>
      <c r="C613" s="33"/>
      <c r="D613" s="33"/>
      <c r="E613" s="33"/>
      <c r="N613" s="1"/>
      <c r="O613" s="1"/>
      <c r="P613" s="1"/>
    </row>
    <row r="614" spans="2:16" ht="14.5">
      <c r="B614" s="33"/>
      <c r="C614" s="33"/>
      <c r="D614" s="33"/>
      <c r="E614" s="33"/>
      <c r="N614" s="1"/>
      <c r="O614" s="1"/>
      <c r="P614" s="1"/>
    </row>
    <row r="615" spans="2:16" ht="14.5">
      <c r="B615" s="33"/>
      <c r="C615" s="33"/>
      <c r="D615" s="33"/>
      <c r="E615" s="33"/>
      <c r="N615" s="1"/>
      <c r="O615" s="1"/>
      <c r="P615" s="1"/>
    </row>
    <row r="616" spans="2:16" ht="14.5">
      <c r="B616" s="33"/>
      <c r="C616" s="33"/>
      <c r="D616" s="33"/>
      <c r="E616" s="33"/>
      <c r="N616" s="1"/>
      <c r="O616" s="1"/>
      <c r="P616" s="1"/>
    </row>
    <row r="617" spans="2:16" ht="14.5">
      <c r="B617" s="33"/>
      <c r="C617" s="33"/>
      <c r="D617" s="33"/>
      <c r="E617" s="33"/>
      <c r="N617" s="1"/>
      <c r="O617" s="1"/>
      <c r="P617" s="1"/>
    </row>
    <row r="618" spans="2:16" ht="14.5">
      <c r="B618" s="33"/>
      <c r="C618" s="33"/>
      <c r="D618" s="33"/>
      <c r="E618" s="33"/>
      <c r="N618" s="1"/>
      <c r="O618" s="1"/>
      <c r="P618" s="1"/>
    </row>
    <row r="619" spans="2:16" ht="14.5">
      <c r="B619" s="33"/>
      <c r="C619" s="33"/>
      <c r="D619" s="33"/>
      <c r="E619" s="33"/>
      <c r="N619" s="1"/>
      <c r="O619" s="1"/>
      <c r="P619" s="1"/>
    </row>
    <row r="620" spans="2:16" ht="14.5">
      <c r="B620" s="33"/>
      <c r="C620" s="33"/>
      <c r="D620" s="33"/>
      <c r="E620" s="33"/>
      <c r="N620" s="1"/>
      <c r="O620" s="1"/>
      <c r="P620" s="1"/>
    </row>
    <row r="621" spans="2:16" ht="14.5">
      <c r="B621" s="33"/>
      <c r="C621" s="33"/>
      <c r="D621" s="33"/>
      <c r="E621" s="33"/>
      <c r="N621" s="1"/>
      <c r="O621" s="1"/>
      <c r="P621" s="1"/>
    </row>
    <row r="622" spans="2:16" ht="14.5">
      <c r="B622" s="33"/>
      <c r="C622" s="33"/>
      <c r="D622" s="33"/>
      <c r="E622" s="33"/>
      <c r="N622" s="1"/>
      <c r="O622" s="1"/>
      <c r="P622" s="1"/>
    </row>
    <row r="623" spans="2:16" ht="14.5">
      <c r="B623" s="33"/>
      <c r="C623" s="33"/>
      <c r="D623" s="33"/>
      <c r="E623" s="33"/>
      <c r="N623" s="1"/>
      <c r="O623" s="1"/>
      <c r="P623" s="1"/>
    </row>
    <row r="624" spans="2:16" ht="14.5">
      <c r="B624" s="33"/>
      <c r="C624" s="33"/>
      <c r="D624" s="33"/>
      <c r="E624" s="33"/>
      <c r="N624" s="1"/>
      <c r="O624" s="1"/>
      <c r="P624" s="1"/>
    </row>
    <row r="625" spans="2:16" ht="14.5">
      <c r="B625" s="33"/>
      <c r="C625" s="33"/>
      <c r="D625" s="33"/>
      <c r="E625" s="33"/>
      <c r="N625" s="1"/>
      <c r="O625" s="1"/>
      <c r="P625" s="1"/>
    </row>
    <row r="626" spans="2:16" ht="14.5">
      <c r="B626" s="33"/>
      <c r="C626" s="33"/>
      <c r="D626" s="33"/>
      <c r="E626" s="33"/>
      <c r="N626" s="1"/>
      <c r="O626" s="1"/>
      <c r="P626" s="1"/>
    </row>
    <row r="627" spans="2:16" ht="14.5">
      <c r="B627" s="33"/>
      <c r="C627" s="33"/>
      <c r="D627" s="33"/>
      <c r="E627" s="33"/>
      <c r="N627" s="1"/>
      <c r="O627" s="1"/>
      <c r="P627" s="1"/>
    </row>
    <row r="628" spans="2:16" ht="14.5">
      <c r="B628" s="33"/>
      <c r="C628" s="33"/>
      <c r="D628" s="33"/>
      <c r="E628" s="33"/>
      <c r="N628" s="1"/>
      <c r="O628" s="1"/>
      <c r="P628" s="1"/>
    </row>
    <row r="629" spans="2:16" ht="14.5">
      <c r="B629" s="33"/>
      <c r="C629" s="33"/>
      <c r="D629" s="33"/>
      <c r="E629" s="33"/>
      <c r="N629" s="1"/>
      <c r="O629" s="1"/>
      <c r="P629" s="1"/>
    </row>
    <row r="630" spans="2:16" ht="14.5">
      <c r="B630" s="33"/>
      <c r="C630" s="33"/>
      <c r="D630" s="33"/>
      <c r="E630" s="33"/>
      <c r="N630" s="1"/>
      <c r="O630" s="1"/>
      <c r="P630" s="1"/>
    </row>
    <row r="631" spans="2:16" ht="14.5">
      <c r="B631" s="33"/>
      <c r="C631" s="33"/>
      <c r="D631" s="33"/>
      <c r="E631" s="33"/>
      <c r="N631" s="1"/>
      <c r="O631" s="1"/>
      <c r="P631" s="1"/>
    </row>
    <row r="632" spans="2:16" ht="14.5">
      <c r="B632" s="33"/>
      <c r="C632" s="33"/>
      <c r="D632" s="33"/>
      <c r="E632" s="33"/>
      <c r="N632" s="1"/>
      <c r="O632" s="1"/>
      <c r="P632" s="1"/>
    </row>
    <row r="633" spans="2:16" ht="14.5">
      <c r="B633" s="33"/>
      <c r="C633" s="33"/>
      <c r="D633" s="33"/>
      <c r="E633" s="33"/>
      <c r="N633" s="1"/>
      <c r="O633" s="1"/>
      <c r="P633" s="1"/>
    </row>
    <row r="634" spans="2:16" ht="14.5">
      <c r="B634" s="33"/>
      <c r="C634" s="33"/>
      <c r="D634" s="33"/>
      <c r="E634" s="33"/>
      <c r="N634" s="1"/>
      <c r="O634" s="1"/>
      <c r="P634" s="1"/>
    </row>
    <row r="635" spans="2:16" ht="14.5">
      <c r="B635" s="33"/>
      <c r="C635" s="33"/>
      <c r="D635" s="33"/>
      <c r="E635" s="33"/>
      <c r="N635" s="1"/>
      <c r="O635" s="1"/>
      <c r="P635" s="1"/>
    </row>
    <row r="636" spans="2:16" ht="14.5">
      <c r="B636" s="33"/>
      <c r="C636" s="33"/>
      <c r="D636" s="33"/>
      <c r="E636" s="33"/>
      <c r="N636" s="1"/>
      <c r="O636" s="1"/>
      <c r="P636" s="1"/>
    </row>
    <row r="637" spans="2:16" ht="14.5">
      <c r="B637" s="33"/>
      <c r="C637" s="33"/>
      <c r="D637" s="33"/>
      <c r="E637" s="33"/>
      <c r="N637" s="1"/>
      <c r="O637" s="1"/>
      <c r="P637" s="1"/>
    </row>
    <row r="638" spans="2:16" ht="14.5">
      <c r="B638" s="33"/>
      <c r="C638" s="33"/>
      <c r="D638" s="33"/>
      <c r="E638" s="33"/>
      <c r="N638" s="1"/>
      <c r="O638" s="1"/>
      <c r="P638" s="1"/>
    </row>
    <row r="639" spans="2:16" ht="14.5">
      <c r="B639" s="33"/>
      <c r="C639" s="33"/>
      <c r="D639" s="33"/>
      <c r="E639" s="33"/>
      <c r="N639" s="1"/>
      <c r="O639" s="1"/>
      <c r="P639" s="1"/>
    </row>
    <row r="640" spans="2:16" ht="14.5">
      <c r="B640" s="33"/>
      <c r="C640" s="33"/>
      <c r="D640" s="33"/>
      <c r="E640" s="33"/>
      <c r="N640" s="1"/>
      <c r="O640" s="1"/>
      <c r="P640" s="1"/>
    </row>
    <row r="641" spans="2:16" ht="14.5">
      <c r="B641" s="33"/>
      <c r="C641" s="33"/>
      <c r="D641" s="33"/>
      <c r="E641" s="33"/>
      <c r="N641" s="1"/>
      <c r="O641" s="1"/>
      <c r="P641" s="1"/>
    </row>
    <row r="642" spans="2:16" ht="14.5">
      <c r="B642" s="33"/>
      <c r="C642" s="33"/>
      <c r="D642" s="33"/>
      <c r="E642" s="33"/>
      <c r="N642" s="1"/>
      <c r="O642" s="1"/>
      <c r="P642" s="1"/>
    </row>
    <row r="643" spans="2:16" ht="14.5">
      <c r="B643" s="33"/>
      <c r="C643" s="33"/>
      <c r="D643" s="33"/>
      <c r="E643" s="33"/>
      <c r="N643" s="1"/>
      <c r="O643" s="1"/>
      <c r="P643" s="1"/>
    </row>
    <row r="644" spans="2:16" ht="14.5">
      <c r="B644" s="33"/>
      <c r="C644" s="33"/>
      <c r="D644" s="33"/>
      <c r="E644" s="33"/>
      <c r="N644" s="1"/>
      <c r="O644" s="1"/>
      <c r="P644" s="1"/>
    </row>
    <row r="645" spans="2:16" ht="14.5">
      <c r="B645" s="33"/>
      <c r="C645" s="33"/>
      <c r="D645" s="33"/>
      <c r="E645" s="33"/>
      <c r="N645" s="1"/>
      <c r="O645" s="1"/>
      <c r="P645" s="1"/>
    </row>
    <row r="646" spans="2:16" ht="14.5">
      <c r="B646" s="33"/>
      <c r="C646" s="33"/>
      <c r="D646" s="33"/>
      <c r="E646" s="33"/>
      <c r="N646" s="1"/>
      <c r="O646" s="1"/>
      <c r="P646" s="1"/>
    </row>
    <row r="647" spans="2:16" ht="14.5">
      <c r="B647" s="33"/>
      <c r="C647" s="33"/>
      <c r="D647" s="33"/>
      <c r="E647" s="33"/>
      <c r="N647" s="1"/>
      <c r="O647" s="1"/>
      <c r="P647" s="1"/>
    </row>
    <row r="648" spans="2:16" ht="14.5">
      <c r="B648" s="33"/>
      <c r="C648" s="33"/>
      <c r="D648" s="33"/>
      <c r="E648" s="33"/>
      <c r="N648" s="1"/>
      <c r="O648" s="1"/>
      <c r="P648" s="1"/>
    </row>
    <row r="649" spans="2:16" ht="14.5">
      <c r="B649" s="33"/>
      <c r="C649" s="33"/>
      <c r="D649" s="33"/>
      <c r="E649" s="33"/>
      <c r="N649" s="1"/>
      <c r="O649" s="1"/>
      <c r="P649" s="1"/>
    </row>
    <row r="650" spans="2:16" ht="14.5">
      <c r="B650" s="33"/>
      <c r="C650" s="33"/>
      <c r="D650" s="33"/>
      <c r="E650" s="33"/>
      <c r="N650" s="1"/>
      <c r="O650" s="1"/>
      <c r="P650" s="1"/>
    </row>
    <row r="651" spans="2:16" ht="14.5">
      <c r="B651" s="33"/>
      <c r="C651" s="33"/>
      <c r="D651" s="33"/>
      <c r="E651" s="33"/>
      <c r="N651" s="1"/>
      <c r="O651" s="1"/>
      <c r="P651" s="1"/>
    </row>
    <row r="652" spans="2:16" ht="14.5">
      <c r="B652" s="33"/>
      <c r="C652" s="33"/>
      <c r="D652" s="33"/>
      <c r="E652" s="33"/>
      <c r="N652" s="1"/>
      <c r="O652" s="1"/>
      <c r="P652" s="1"/>
    </row>
    <row r="653" spans="2:16" ht="14.5">
      <c r="B653" s="33"/>
      <c r="C653" s="33"/>
      <c r="D653" s="33"/>
      <c r="E653" s="33"/>
      <c r="N653" s="1"/>
      <c r="O653" s="1"/>
      <c r="P653" s="1"/>
    </row>
    <row r="654" spans="2:16" ht="14.5">
      <c r="B654" s="33"/>
      <c r="C654" s="33"/>
      <c r="D654" s="33"/>
      <c r="E654" s="33"/>
      <c r="N654" s="1"/>
      <c r="O654" s="1"/>
      <c r="P654" s="1"/>
    </row>
    <row r="655" spans="2:16" ht="14.5">
      <c r="B655" s="33"/>
      <c r="C655" s="33"/>
      <c r="D655" s="33"/>
      <c r="E655" s="33"/>
      <c r="N655" s="1"/>
      <c r="O655" s="1"/>
      <c r="P655" s="1"/>
    </row>
    <row r="656" spans="2:16" ht="14.5">
      <c r="B656" s="33"/>
      <c r="C656" s="33"/>
      <c r="D656" s="33"/>
      <c r="E656" s="33"/>
      <c r="N656" s="1"/>
      <c r="O656" s="1"/>
      <c r="P656" s="1"/>
    </row>
    <row r="657" spans="2:16" ht="14.5">
      <c r="B657" s="33"/>
      <c r="C657" s="33"/>
      <c r="D657" s="33"/>
      <c r="E657" s="33"/>
      <c r="N657" s="1"/>
      <c r="O657" s="1"/>
      <c r="P657" s="1"/>
    </row>
    <row r="658" spans="2:16" ht="14.5">
      <c r="B658" s="33"/>
      <c r="C658" s="33"/>
      <c r="D658" s="33"/>
      <c r="E658" s="33"/>
      <c r="N658" s="1"/>
      <c r="O658" s="1"/>
      <c r="P658" s="1"/>
    </row>
    <row r="659" spans="2:16" ht="14.5">
      <c r="B659" s="33"/>
      <c r="C659" s="33"/>
      <c r="D659" s="33"/>
      <c r="E659" s="33"/>
      <c r="N659" s="1"/>
      <c r="O659" s="1"/>
      <c r="P659" s="1"/>
    </row>
    <row r="660" spans="2:16" ht="14.5">
      <c r="B660" s="33"/>
      <c r="C660" s="33"/>
      <c r="D660" s="33"/>
      <c r="E660" s="33"/>
      <c r="N660" s="1"/>
      <c r="O660" s="1"/>
      <c r="P660" s="1"/>
    </row>
    <row r="661" spans="2:16" ht="14.5">
      <c r="B661" s="33"/>
      <c r="C661" s="33"/>
      <c r="D661" s="33"/>
      <c r="E661" s="33"/>
      <c r="N661" s="1"/>
      <c r="O661" s="1"/>
      <c r="P661" s="1"/>
    </row>
    <row r="662" spans="2:16" ht="14.5">
      <c r="B662" s="33"/>
      <c r="C662" s="33"/>
      <c r="D662" s="33"/>
      <c r="E662" s="33"/>
      <c r="N662" s="1"/>
      <c r="O662" s="1"/>
      <c r="P662" s="1"/>
    </row>
    <row r="663" spans="2:16" ht="14.5">
      <c r="B663" s="33"/>
      <c r="C663" s="33"/>
      <c r="D663" s="33"/>
      <c r="E663" s="33"/>
      <c r="N663" s="1"/>
      <c r="O663" s="1"/>
      <c r="P663" s="1"/>
    </row>
    <row r="664" spans="2:16" ht="14.5">
      <c r="B664" s="33"/>
      <c r="C664" s="33"/>
      <c r="D664" s="33"/>
      <c r="E664" s="33"/>
      <c r="N664" s="1"/>
      <c r="O664" s="1"/>
      <c r="P664" s="1"/>
    </row>
    <row r="665" spans="2:16" ht="14.5">
      <c r="B665" s="33"/>
      <c r="C665" s="33"/>
      <c r="D665" s="33"/>
      <c r="E665" s="33"/>
      <c r="N665" s="1"/>
      <c r="O665" s="1"/>
      <c r="P665" s="1"/>
    </row>
    <row r="666" spans="2:16" ht="14.5">
      <c r="B666" s="33"/>
      <c r="C666" s="33"/>
      <c r="D666" s="33"/>
      <c r="E666" s="33"/>
      <c r="N666" s="1"/>
      <c r="O666" s="1"/>
      <c r="P666" s="1"/>
    </row>
    <row r="667" spans="2:16" ht="14.5">
      <c r="B667" s="33"/>
      <c r="C667" s="33"/>
      <c r="D667" s="33"/>
      <c r="E667" s="33"/>
      <c r="N667" s="1"/>
      <c r="O667" s="1"/>
      <c r="P667" s="1"/>
    </row>
    <row r="668" spans="2:16" ht="14.5">
      <c r="B668" s="33"/>
      <c r="C668" s="33"/>
      <c r="D668" s="33"/>
      <c r="E668" s="33"/>
      <c r="N668" s="1"/>
      <c r="O668" s="1"/>
      <c r="P668" s="1"/>
    </row>
    <row r="669" spans="2:16" ht="14.5">
      <c r="B669" s="33"/>
      <c r="C669" s="33"/>
      <c r="D669" s="33"/>
      <c r="E669" s="33"/>
      <c r="N669" s="1"/>
      <c r="O669" s="1"/>
      <c r="P669" s="1"/>
    </row>
    <row r="670" spans="2:16" ht="14.5">
      <c r="B670" s="33"/>
      <c r="C670" s="33"/>
      <c r="D670" s="33"/>
      <c r="E670" s="33"/>
      <c r="N670" s="1"/>
      <c r="O670" s="1"/>
      <c r="P670" s="1"/>
    </row>
    <row r="671" spans="2:16" ht="14.5">
      <c r="B671" s="33"/>
      <c r="C671" s="33"/>
      <c r="D671" s="33"/>
      <c r="E671" s="33"/>
      <c r="N671" s="1"/>
      <c r="O671" s="1"/>
      <c r="P671" s="1"/>
    </row>
    <row r="672" spans="2:16" ht="14.5">
      <c r="B672" s="33"/>
      <c r="C672" s="33"/>
      <c r="D672" s="33"/>
      <c r="E672" s="33"/>
      <c r="N672" s="1"/>
      <c r="O672" s="1"/>
      <c r="P672" s="1"/>
    </row>
    <row r="673" spans="2:16" ht="14.5">
      <c r="B673" s="33"/>
      <c r="C673" s="33"/>
      <c r="D673" s="33"/>
      <c r="E673" s="33"/>
      <c r="N673" s="1"/>
      <c r="O673" s="1"/>
      <c r="P673" s="1"/>
    </row>
    <row r="674" spans="2:16" ht="14.5">
      <c r="B674" s="33"/>
      <c r="C674" s="33"/>
      <c r="D674" s="33"/>
      <c r="E674" s="33"/>
      <c r="N674" s="1"/>
      <c r="O674" s="1"/>
      <c r="P674" s="1"/>
    </row>
    <row r="675" spans="2:16" ht="14.5">
      <c r="B675" s="33"/>
      <c r="C675" s="33"/>
      <c r="D675" s="33"/>
      <c r="E675" s="33"/>
      <c r="N675" s="1"/>
      <c r="O675" s="1"/>
      <c r="P675" s="1"/>
    </row>
    <row r="676" spans="2:16" ht="14.5">
      <c r="B676" s="33"/>
      <c r="C676" s="33"/>
      <c r="D676" s="33"/>
      <c r="E676" s="33"/>
      <c r="N676" s="1"/>
      <c r="O676" s="1"/>
      <c r="P676" s="1"/>
    </row>
    <row r="677" spans="2:16" ht="14.5">
      <c r="B677" s="33"/>
      <c r="C677" s="33"/>
      <c r="D677" s="33"/>
      <c r="E677" s="33"/>
      <c r="N677" s="1"/>
      <c r="O677" s="1"/>
      <c r="P677" s="1"/>
    </row>
    <row r="678" spans="2:16" ht="14.5">
      <c r="B678" s="33"/>
      <c r="C678" s="33"/>
      <c r="D678" s="33"/>
      <c r="E678" s="33"/>
      <c r="N678" s="1"/>
      <c r="O678" s="1"/>
      <c r="P678" s="1"/>
    </row>
    <row r="679" spans="2:16" ht="14.5">
      <c r="B679" s="33"/>
      <c r="C679" s="33"/>
      <c r="D679" s="33"/>
      <c r="E679" s="33"/>
      <c r="N679" s="1"/>
      <c r="O679" s="1"/>
      <c r="P679" s="1"/>
    </row>
    <row r="680" spans="2:16" ht="14.5">
      <c r="B680" s="33"/>
      <c r="C680" s="33"/>
      <c r="D680" s="33"/>
      <c r="E680" s="33"/>
      <c r="N680" s="1"/>
      <c r="O680" s="1"/>
      <c r="P680" s="1"/>
    </row>
    <row r="681" spans="2:16" ht="14.5">
      <c r="B681" s="33"/>
      <c r="C681" s="33"/>
      <c r="D681" s="33"/>
      <c r="E681" s="33"/>
      <c r="N681" s="1"/>
      <c r="O681" s="1"/>
      <c r="P681" s="1"/>
    </row>
    <row r="682" spans="2:16" ht="14.5">
      <c r="B682" s="33"/>
      <c r="C682" s="33"/>
      <c r="D682" s="33"/>
      <c r="E682" s="33"/>
      <c r="N682" s="1"/>
      <c r="O682" s="1"/>
      <c r="P682" s="1"/>
    </row>
    <row r="683" spans="2:16" ht="14.5">
      <c r="B683" s="33"/>
      <c r="C683" s="33"/>
      <c r="D683" s="33"/>
      <c r="E683" s="33"/>
      <c r="N683" s="1"/>
      <c r="O683" s="1"/>
      <c r="P683" s="1"/>
    </row>
    <row r="684" spans="2:16" ht="14.5">
      <c r="B684" s="33"/>
      <c r="C684" s="33"/>
      <c r="D684" s="33"/>
      <c r="E684" s="33"/>
      <c r="N684" s="1"/>
      <c r="O684" s="1"/>
      <c r="P684" s="1"/>
    </row>
    <row r="685" spans="2:16" ht="14.5">
      <c r="B685" s="33"/>
      <c r="C685" s="33"/>
      <c r="D685" s="33"/>
      <c r="E685" s="33"/>
      <c r="N685" s="1"/>
      <c r="O685" s="1"/>
      <c r="P685" s="1"/>
    </row>
    <row r="686" spans="2:16" ht="14.5">
      <c r="B686" s="33"/>
      <c r="C686" s="33"/>
      <c r="D686" s="33"/>
      <c r="E686" s="33"/>
      <c r="N686" s="1"/>
      <c r="O686" s="1"/>
      <c r="P686" s="1"/>
    </row>
    <row r="687" spans="2:16" ht="14.5">
      <c r="B687" s="33"/>
      <c r="C687" s="33"/>
      <c r="D687" s="33"/>
      <c r="E687" s="33"/>
      <c r="N687" s="1"/>
      <c r="O687" s="1"/>
      <c r="P687" s="1"/>
    </row>
    <row r="688" spans="2:16" ht="14.5">
      <c r="B688" s="33"/>
      <c r="C688" s="33"/>
      <c r="D688" s="33"/>
      <c r="E688" s="33"/>
      <c r="N688" s="1"/>
      <c r="O688" s="1"/>
      <c r="P688" s="1"/>
    </row>
    <row r="689" spans="2:16" ht="14.5">
      <c r="B689" s="33"/>
      <c r="C689" s="33"/>
      <c r="D689" s="33"/>
      <c r="E689" s="33"/>
      <c r="N689" s="1"/>
      <c r="O689" s="1"/>
      <c r="P689" s="1"/>
    </row>
    <row r="690" spans="2:16" ht="14.5">
      <c r="B690" s="33"/>
      <c r="C690" s="33"/>
      <c r="D690" s="33"/>
      <c r="E690" s="33"/>
      <c r="N690" s="1"/>
      <c r="O690" s="1"/>
      <c r="P690" s="1"/>
    </row>
    <row r="691" spans="2:16" ht="14.5">
      <c r="B691" s="33"/>
      <c r="C691" s="33"/>
      <c r="D691" s="33"/>
      <c r="E691" s="33"/>
      <c r="N691" s="1"/>
      <c r="O691" s="1"/>
      <c r="P691" s="1"/>
    </row>
    <row r="692" spans="2:16" ht="14.5">
      <c r="B692" s="33"/>
      <c r="C692" s="33"/>
      <c r="D692" s="33"/>
      <c r="E692" s="33"/>
      <c r="N692" s="1"/>
      <c r="O692" s="1"/>
      <c r="P692" s="1"/>
    </row>
    <row r="693" spans="2:16" ht="14.5">
      <c r="B693" s="33"/>
      <c r="C693" s="33"/>
      <c r="D693" s="33"/>
      <c r="E693" s="33"/>
      <c r="N693" s="1"/>
      <c r="O693" s="1"/>
      <c r="P693" s="1"/>
    </row>
    <row r="694" spans="2:16" ht="14.5">
      <c r="B694" s="33"/>
      <c r="C694" s="33"/>
      <c r="D694" s="33"/>
      <c r="E694" s="33"/>
      <c r="N694" s="1"/>
      <c r="O694" s="1"/>
      <c r="P694" s="1"/>
    </row>
    <row r="695" spans="2:16" ht="14.5">
      <c r="B695" s="33"/>
      <c r="C695" s="33"/>
      <c r="D695" s="33"/>
      <c r="E695" s="33"/>
      <c r="N695" s="1"/>
      <c r="O695" s="1"/>
      <c r="P695" s="1"/>
    </row>
    <row r="696" spans="2:16" ht="14.5">
      <c r="B696" s="33"/>
      <c r="C696" s="33"/>
      <c r="D696" s="33"/>
      <c r="E696" s="33"/>
      <c r="N696" s="1"/>
      <c r="O696" s="1"/>
      <c r="P696" s="1"/>
    </row>
    <row r="697" spans="2:16" ht="14.5">
      <c r="B697" s="33"/>
      <c r="C697" s="33"/>
      <c r="D697" s="33"/>
      <c r="E697" s="33"/>
      <c r="N697" s="1"/>
      <c r="O697" s="1"/>
      <c r="P697" s="1"/>
    </row>
    <row r="698" spans="2:16" ht="14.5">
      <c r="B698" s="33"/>
      <c r="C698" s="33"/>
      <c r="D698" s="33"/>
      <c r="E698" s="33"/>
      <c r="N698" s="1"/>
      <c r="O698" s="1"/>
      <c r="P698" s="1"/>
    </row>
    <row r="699" spans="2:16" ht="14.5">
      <c r="B699" s="33"/>
      <c r="C699" s="33"/>
      <c r="D699" s="33"/>
      <c r="E699" s="33"/>
      <c r="N699" s="1"/>
      <c r="O699" s="1"/>
      <c r="P699" s="1"/>
    </row>
    <row r="700" spans="2:16" ht="14.5">
      <c r="B700" s="33"/>
      <c r="C700" s="33"/>
      <c r="D700" s="33"/>
      <c r="E700" s="33"/>
      <c r="N700" s="1"/>
      <c r="O700" s="1"/>
      <c r="P700" s="1"/>
    </row>
    <row r="701" spans="2:16" ht="14.5">
      <c r="B701" s="33"/>
      <c r="C701" s="33"/>
      <c r="D701" s="33"/>
      <c r="E701" s="33"/>
      <c r="N701" s="1"/>
      <c r="O701" s="1"/>
      <c r="P701" s="1"/>
    </row>
    <row r="702" spans="2:16" ht="14.5">
      <c r="B702" s="33"/>
      <c r="C702" s="33"/>
      <c r="D702" s="33"/>
      <c r="E702" s="33"/>
      <c r="N702" s="1"/>
      <c r="O702" s="1"/>
      <c r="P702" s="1"/>
    </row>
    <row r="703" spans="2:16" ht="14.5">
      <c r="B703" s="33"/>
      <c r="C703" s="33"/>
      <c r="D703" s="33"/>
      <c r="E703" s="33"/>
      <c r="N703" s="1"/>
      <c r="O703" s="1"/>
      <c r="P703" s="1"/>
    </row>
    <row r="704" spans="2:16" ht="14.5">
      <c r="B704" s="33"/>
      <c r="C704" s="33"/>
      <c r="D704" s="33"/>
      <c r="E704" s="33"/>
      <c r="N704" s="1"/>
      <c r="O704" s="1"/>
      <c r="P704" s="1"/>
    </row>
    <row r="705" spans="2:16" ht="14.5">
      <c r="B705" s="33"/>
      <c r="C705" s="33"/>
      <c r="D705" s="33"/>
      <c r="E705" s="33"/>
      <c r="N705" s="1"/>
      <c r="O705" s="1"/>
      <c r="P705" s="1"/>
    </row>
    <row r="706" spans="2:16" ht="14.5">
      <c r="B706" s="33"/>
      <c r="C706" s="33"/>
      <c r="D706" s="33"/>
      <c r="E706" s="33"/>
      <c r="N706" s="1"/>
      <c r="O706" s="1"/>
      <c r="P706" s="1"/>
    </row>
    <row r="707" spans="2:16" ht="14.5">
      <c r="B707" s="33"/>
      <c r="C707" s="33"/>
      <c r="D707" s="33"/>
      <c r="E707" s="33"/>
      <c r="N707" s="1"/>
      <c r="O707" s="1"/>
      <c r="P707" s="1"/>
    </row>
    <row r="708" spans="2:16" ht="14.5">
      <c r="B708" s="33"/>
      <c r="C708" s="33"/>
      <c r="D708" s="33"/>
      <c r="E708" s="33"/>
      <c r="N708" s="1"/>
      <c r="O708" s="1"/>
      <c r="P708" s="1"/>
    </row>
    <row r="709" spans="2:16" ht="14.5">
      <c r="B709" s="33"/>
      <c r="C709" s="33"/>
      <c r="D709" s="33"/>
      <c r="E709" s="33"/>
      <c r="N709" s="1"/>
      <c r="O709" s="1"/>
      <c r="P709" s="1"/>
    </row>
    <row r="710" spans="2:16" ht="14.5">
      <c r="B710" s="33"/>
      <c r="C710" s="33"/>
      <c r="D710" s="33"/>
      <c r="E710" s="33"/>
      <c r="N710" s="1"/>
      <c r="O710" s="1"/>
      <c r="P710" s="1"/>
    </row>
    <row r="711" spans="2:16" ht="14.5">
      <c r="B711" s="33"/>
      <c r="C711" s="33"/>
      <c r="D711" s="33"/>
      <c r="E711" s="33"/>
      <c r="N711" s="1"/>
      <c r="O711" s="1"/>
      <c r="P711" s="1"/>
    </row>
    <row r="712" spans="2:16" ht="14.5">
      <c r="B712" s="33"/>
      <c r="C712" s="33"/>
      <c r="D712" s="33"/>
      <c r="E712" s="33"/>
      <c r="N712" s="1"/>
      <c r="O712" s="1"/>
      <c r="P712" s="1"/>
    </row>
    <row r="713" spans="2:16" ht="14.5">
      <c r="B713" s="33"/>
      <c r="C713" s="33"/>
      <c r="D713" s="33"/>
      <c r="E713" s="33"/>
      <c r="N713" s="1"/>
      <c r="O713" s="1"/>
      <c r="P713" s="1"/>
    </row>
    <row r="714" spans="2:16" ht="14.5">
      <c r="B714" s="33"/>
      <c r="C714" s="33"/>
      <c r="D714" s="33"/>
      <c r="E714" s="33"/>
      <c r="N714" s="1"/>
      <c r="O714" s="1"/>
      <c r="P714" s="1"/>
    </row>
    <row r="715" spans="2:16" ht="14.5">
      <c r="B715" s="33"/>
      <c r="C715" s="33"/>
      <c r="D715" s="33"/>
      <c r="E715" s="33"/>
      <c r="N715" s="1"/>
      <c r="O715" s="1"/>
      <c r="P715" s="1"/>
    </row>
    <row r="716" spans="2:16" ht="14.5">
      <c r="B716" s="33"/>
      <c r="C716" s="33"/>
      <c r="D716" s="33"/>
      <c r="E716" s="33"/>
      <c r="N716" s="1"/>
      <c r="O716" s="1"/>
      <c r="P716" s="1"/>
    </row>
    <row r="717" spans="2:16" ht="14.5">
      <c r="B717" s="33"/>
      <c r="C717" s="33"/>
      <c r="D717" s="33"/>
      <c r="E717" s="33"/>
      <c r="N717" s="1"/>
      <c r="O717" s="1"/>
      <c r="P717" s="1"/>
    </row>
    <row r="718" spans="2:16" ht="14.5">
      <c r="B718" s="33"/>
      <c r="C718" s="33"/>
      <c r="D718" s="33"/>
      <c r="E718" s="33"/>
      <c r="N718" s="1"/>
      <c r="O718" s="1"/>
      <c r="P718" s="1"/>
    </row>
    <row r="719" spans="2:16" ht="14.5">
      <c r="B719" s="33"/>
      <c r="C719" s="33"/>
      <c r="D719" s="33"/>
      <c r="E719" s="33"/>
      <c r="N719" s="1"/>
      <c r="O719" s="1"/>
      <c r="P719" s="1"/>
    </row>
    <row r="720" spans="2:16" ht="14.5">
      <c r="B720" s="33"/>
      <c r="C720" s="33"/>
      <c r="D720" s="33"/>
      <c r="E720" s="33"/>
      <c r="N720" s="1"/>
      <c r="O720" s="1"/>
      <c r="P720" s="1"/>
    </row>
    <row r="721" spans="2:16" ht="14.5">
      <c r="B721" s="33"/>
      <c r="C721" s="33"/>
      <c r="D721" s="33"/>
      <c r="E721" s="33"/>
      <c r="N721" s="1"/>
      <c r="O721" s="1"/>
      <c r="P721" s="1"/>
    </row>
    <row r="722" spans="2:16" ht="14.5">
      <c r="B722" s="33"/>
      <c r="C722" s="33"/>
      <c r="D722" s="33"/>
      <c r="E722" s="33"/>
      <c r="N722" s="1"/>
      <c r="O722" s="1"/>
      <c r="P722" s="1"/>
    </row>
    <row r="723" spans="2:16" ht="14.5">
      <c r="B723" s="33"/>
      <c r="C723" s="33"/>
      <c r="D723" s="33"/>
      <c r="E723" s="33"/>
      <c r="N723" s="1"/>
      <c r="O723" s="1"/>
      <c r="P723" s="1"/>
    </row>
    <row r="724" spans="2:16" ht="14.5">
      <c r="B724" s="33"/>
      <c r="C724" s="33"/>
      <c r="D724" s="33"/>
      <c r="E724" s="33"/>
      <c r="N724" s="1"/>
      <c r="O724" s="1"/>
      <c r="P724" s="1"/>
    </row>
    <row r="725" spans="2:16" ht="14.5">
      <c r="B725" s="33"/>
      <c r="C725" s="33"/>
      <c r="D725" s="33"/>
      <c r="E725" s="33"/>
      <c r="N725" s="1"/>
      <c r="O725" s="1"/>
      <c r="P725" s="1"/>
    </row>
    <row r="726" spans="2:16" ht="14.5">
      <c r="B726" s="33"/>
      <c r="C726" s="33"/>
      <c r="D726" s="33"/>
      <c r="E726" s="33"/>
      <c r="N726" s="1"/>
      <c r="O726" s="1"/>
      <c r="P726" s="1"/>
    </row>
    <row r="727" spans="2:16" ht="14.5">
      <c r="B727" s="33"/>
      <c r="C727" s="33"/>
      <c r="D727" s="33"/>
      <c r="E727" s="33"/>
      <c r="N727" s="1"/>
      <c r="O727" s="1"/>
      <c r="P727" s="1"/>
    </row>
    <row r="728" spans="2:16" ht="14.5">
      <c r="B728" s="33"/>
      <c r="C728" s="33"/>
      <c r="D728" s="33"/>
      <c r="E728" s="33"/>
      <c r="N728" s="1"/>
      <c r="O728" s="1"/>
      <c r="P728" s="1"/>
    </row>
    <row r="729" spans="2:16" ht="14.5">
      <c r="B729" s="33"/>
      <c r="C729" s="33"/>
      <c r="D729" s="33"/>
      <c r="E729" s="33"/>
      <c r="N729" s="1"/>
      <c r="O729" s="1"/>
      <c r="P729" s="1"/>
    </row>
    <row r="730" spans="2:16" ht="14.5">
      <c r="B730" s="33"/>
      <c r="C730" s="33"/>
      <c r="D730" s="33"/>
      <c r="E730" s="33"/>
      <c r="N730" s="1"/>
      <c r="O730" s="1"/>
      <c r="P730" s="1"/>
    </row>
    <row r="731" spans="2:16" ht="14.5">
      <c r="B731" s="33"/>
      <c r="C731" s="33"/>
      <c r="D731" s="33"/>
      <c r="E731" s="33"/>
      <c r="N731" s="1"/>
      <c r="O731" s="1"/>
      <c r="P731" s="1"/>
    </row>
    <row r="732" spans="2:16" ht="14.5">
      <c r="B732" s="33"/>
      <c r="C732" s="33"/>
      <c r="D732" s="33"/>
      <c r="E732" s="33"/>
      <c r="N732" s="1"/>
      <c r="O732" s="1"/>
      <c r="P732" s="1"/>
    </row>
    <row r="733" spans="2:16" ht="14.5">
      <c r="B733" s="33"/>
      <c r="C733" s="33"/>
      <c r="D733" s="33"/>
      <c r="E733" s="33"/>
      <c r="N733" s="1"/>
      <c r="O733" s="1"/>
      <c r="P733" s="1"/>
    </row>
    <row r="734" spans="2:16" ht="14.5">
      <c r="B734" s="33"/>
      <c r="C734" s="33"/>
      <c r="D734" s="33"/>
      <c r="E734" s="33"/>
      <c r="N734" s="1"/>
      <c r="O734" s="1"/>
      <c r="P734" s="1"/>
    </row>
    <row r="735" spans="2:16" ht="14.5">
      <c r="B735" s="33"/>
      <c r="C735" s="33"/>
      <c r="D735" s="33"/>
      <c r="E735" s="33"/>
      <c r="N735" s="1"/>
      <c r="O735" s="1"/>
      <c r="P735" s="1"/>
    </row>
    <row r="736" spans="2:16" ht="14.5">
      <c r="B736" s="33"/>
      <c r="C736" s="33"/>
      <c r="D736" s="33"/>
      <c r="E736" s="33"/>
      <c r="N736" s="1"/>
      <c r="O736" s="1"/>
      <c r="P736" s="1"/>
    </row>
    <row r="737" spans="2:16" ht="14.5">
      <c r="B737" s="33"/>
      <c r="C737" s="33"/>
      <c r="D737" s="33"/>
      <c r="E737" s="33"/>
      <c r="N737" s="1"/>
      <c r="O737" s="1"/>
      <c r="P737" s="1"/>
    </row>
    <row r="738" spans="2:16" ht="14.5">
      <c r="B738" s="33"/>
      <c r="C738" s="33"/>
      <c r="D738" s="33"/>
      <c r="E738" s="33"/>
      <c r="N738" s="1"/>
      <c r="O738" s="1"/>
      <c r="P738" s="1"/>
    </row>
    <row r="739" spans="2:16" ht="14.5">
      <c r="B739" s="33"/>
      <c r="C739" s="33"/>
      <c r="D739" s="33"/>
      <c r="E739" s="33"/>
      <c r="N739" s="1"/>
      <c r="O739" s="1"/>
      <c r="P739" s="1"/>
    </row>
    <row r="740" spans="2:16" ht="14.5">
      <c r="B740" s="33"/>
      <c r="C740" s="33"/>
      <c r="D740" s="33"/>
      <c r="E740" s="33"/>
      <c r="N740" s="1"/>
      <c r="O740" s="1"/>
      <c r="P740" s="1"/>
    </row>
    <row r="741" spans="2:16" ht="14.5">
      <c r="B741" s="33"/>
      <c r="C741" s="33"/>
      <c r="D741" s="33"/>
      <c r="E741" s="33"/>
      <c r="N741" s="1"/>
      <c r="O741" s="1"/>
      <c r="P741" s="1"/>
    </row>
    <row r="742" spans="2:16" ht="14.5">
      <c r="B742" s="33"/>
      <c r="C742" s="33"/>
      <c r="D742" s="33"/>
      <c r="E742" s="33"/>
      <c r="N742" s="1"/>
      <c r="O742" s="1"/>
      <c r="P742" s="1"/>
    </row>
    <row r="743" spans="2:16" ht="14.5">
      <c r="B743" s="33"/>
      <c r="C743" s="33"/>
      <c r="D743" s="33"/>
      <c r="E743" s="33"/>
      <c r="N743" s="1"/>
      <c r="O743" s="1"/>
      <c r="P743" s="1"/>
    </row>
    <row r="744" spans="2:16" ht="14.5">
      <c r="B744" s="33"/>
      <c r="C744" s="33"/>
      <c r="D744" s="33"/>
      <c r="E744" s="33"/>
      <c r="N744" s="1"/>
      <c r="O744" s="1"/>
      <c r="P744" s="1"/>
    </row>
    <row r="745" spans="2:16" ht="14.5">
      <c r="B745" s="33"/>
      <c r="C745" s="33"/>
      <c r="D745" s="33"/>
      <c r="E745" s="33"/>
      <c r="N745" s="1"/>
      <c r="O745" s="1"/>
      <c r="P745" s="1"/>
    </row>
    <row r="746" spans="2:16" ht="14.5">
      <c r="B746" s="33"/>
      <c r="C746" s="33"/>
      <c r="D746" s="33"/>
      <c r="E746" s="33"/>
      <c r="N746" s="1"/>
      <c r="O746" s="1"/>
      <c r="P746" s="1"/>
    </row>
    <row r="747" spans="2:16" ht="14.5">
      <c r="B747" s="33"/>
      <c r="C747" s="33"/>
      <c r="D747" s="33"/>
      <c r="E747" s="33"/>
      <c r="N747" s="1"/>
      <c r="O747" s="1"/>
      <c r="P747" s="1"/>
    </row>
    <row r="748" spans="2:16" ht="14.5">
      <c r="B748" s="33"/>
      <c r="C748" s="33"/>
      <c r="D748" s="33"/>
      <c r="E748" s="33"/>
      <c r="N748" s="1"/>
      <c r="O748" s="1"/>
      <c r="P748" s="1"/>
    </row>
    <row r="749" spans="2:16" ht="14.5">
      <c r="B749" s="33"/>
      <c r="C749" s="33"/>
      <c r="D749" s="33"/>
      <c r="E749" s="33"/>
      <c r="N749" s="1"/>
      <c r="O749" s="1"/>
      <c r="P749" s="1"/>
    </row>
    <row r="750" spans="2:16" ht="14.5">
      <c r="B750" s="33"/>
      <c r="C750" s="33"/>
      <c r="D750" s="33"/>
      <c r="E750" s="33"/>
      <c r="N750" s="1"/>
      <c r="O750" s="1"/>
      <c r="P750" s="1"/>
    </row>
    <row r="751" spans="2:16" ht="14.5">
      <c r="B751" s="33"/>
      <c r="C751" s="33"/>
      <c r="D751" s="33"/>
      <c r="E751" s="33"/>
      <c r="N751" s="1"/>
      <c r="O751" s="1"/>
      <c r="P751" s="1"/>
    </row>
    <row r="752" spans="2:16" ht="14.5">
      <c r="B752" s="33"/>
      <c r="C752" s="33"/>
      <c r="D752" s="33"/>
      <c r="E752" s="33"/>
      <c r="N752" s="1"/>
      <c r="O752" s="1"/>
      <c r="P752" s="1"/>
    </row>
    <row r="753" spans="2:16" ht="14.5">
      <c r="B753" s="33"/>
      <c r="C753" s="33"/>
      <c r="D753" s="33"/>
      <c r="E753" s="33"/>
      <c r="N753" s="1"/>
      <c r="O753" s="1"/>
      <c r="P753" s="1"/>
    </row>
    <row r="754" spans="2:16" ht="14.5">
      <c r="B754" s="33"/>
      <c r="C754" s="33"/>
      <c r="D754" s="33"/>
      <c r="E754" s="33"/>
      <c r="N754" s="1"/>
      <c r="O754" s="1"/>
      <c r="P754" s="1"/>
    </row>
    <row r="755" spans="2:16" ht="14.5">
      <c r="B755" s="33"/>
      <c r="C755" s="33"/>
      <c r="D755" s="33"/>
      <c r="E755" s="33"/>
      <c r="N755" s="1"/>
      <c r="O755" s="1"/>
      <c r="P755" s="1"/>
    </row>
    <row r="756" spans="2:16" ht="14.5">
      <c r="B756" s="33"/>
      <c r="C756" s="33"/>
      <c r="D756" s="33"/>
      <c r="E756" s="33"/>
      <c r="N756" s="1"/>
      <c r="O756" s="1"/>
      <c r="P756" s="1"/>
    </row>
    <row r="757" spans="2:16" ht="14.5">
      <c r="B757" s="33"/>
      <c r="C757" s="33"/>
      <c r="D757" s="33"/>
      <c r="E757" s="33"/>
      <c r="N757" s="1"/>
      <c r="O757" s="1"/>
      <c r="P757" s="1"/>
    </row>
    <row r="758" spans="2:16" ht="14.5">
      <c r="B758" s="33"/>
      <c r="C758" s="33"/>
      <c r="D758" s="33"/>
      <c r="E758" s="33"/>
      <c r="N758" s="1"/>
      <c r="O758" s="1"/>
      <c r="P758" s="1"/>
    </row>
    <row r="759" spans="2:16" ht="14.5">
      <c r="B759" s="33"/>
      <c r="C759" s="33"/>
      <c r="D759" s="33"/>
      <c r="E759" s="33"/>
      <c r="N759" s="1"/>
      <c r="O759" s="1"/>
      <c r="P759" s="1"/>
    </row>
    <row r="760" spans="2:16" ht="14.5">
      <c r="B760" s="33"/>
      <c r="C760" s="33"/>
      <c r="D760" s="33"/>
      <c r="E760" s="33"/>
      <c r="N760" s="1"/>
      <c r="O760" s="1"/>
      <c r="P760" s="1"/>
    </row>
    <row r="761" spans="2:16" ht="14.5">
      <c r="B761" s="33"/>
      <c r="C761" s="33"/>
      <c r="D761" s="33"/>
      <c r="E761" s="33"/>
      <c r="N761" s="1"/>
      <c r="O761" s="1"/>
      <c r="P761" s="1"/>
    </row>
    <row r="762" spans="2:16" ht="14.5">
      <c r="B762" s="33"/>
      <c r="C762" s="33"/>
      <c r="D762" s="33"/>
      <c r="E762" s="33"/>
      <c r="N762" s="1"/>
      <c r="O762" s="1"/>
      <c r="P762" s="1"/>
    </row>
    <row r="763" spans="2:16" ht="14.5">
      <c r="B763" s="33"/>
      <c r="C763" s="33"/>
      <c r="D763" s="33"/>
      <c r="E763" s="33"/>
      <c r="N763" s="1"/>
      <c r="O763" s="1"/>
      <c r="P763" s="1"/>
    </row>
    <row r="764" spans="2:16" ht="14.5">
      <c r="B764" s="33"/>
      <c r="C764" s="33"/>
      <c r="D764" s="33"/>
      <c r="E764" s="33"/>
      <c r="N764" s="1"/>
      <c r="O764" s="1"/>
      <c r="P764" s="1"/>
    </row>
    <row r="765" spans="2:16" ht="14.5">
      <c r="B765" s="33"/>
      <c r="C765" s="33"/>
      <c r="D765" s="33"/>
      <c r="E765" s="33"/>
      <c r="N765" s="1"/>
      <c r="O765" s="1"/>
      <c r="P765" s="1"/>
    </row>
    <row r="766" spans="2:16" ht="14.5">
      <c r="B766" s="33"/>
      <c r="C766" s="33"/>
      <c r="D766" s="33"/>
      <c r="E766" s="33"/>
      <c r="N766" s="1"/>
      <c r="O766" s="1"/>
      <c r="P766" s="1"/>
    </row>
    <row r="767" spans="2:16" ht="14.5">
      <c r="B767" s="33"/>
      <c r="C767" s="33"/>
      <c r="D767" s="33"/>
      <c r="E767" s="33"/>
      <c r="N767" s="1"/>
      <c r="O767" s="1"/>
      <c r="P767" s="1"/>
    </row>
    <row r="768" spans="2:16" ht="14.5">
      <c r="B768" s="33"/>
      <c r="C768" s="33"/>
      <c r="D768" s="33"/>
      <c r="E768" s="33"/>
      <c r="N768" s="1"/>
      <c r="O768" s="1"/>
      <c r="P768" s="1"/>
    </row>
    <row r="769" spans="2:16" ht="14.5">
      <c r="B769" s="33"/>
      <c r="C769" s="33"/>
      <c r="D769" s="33"/>
      <c r="E769" s="33"/>
      <c r="N769" s="1"/>
      <c r="O769" s="1"/>
      <c r="P769" s="1"/>
    </row>
    <row r="770" spans="2:16" ht="14.5">
      <c r="B770" s="33"/>
      <c r="C770" s="33"/>
      <c r="D770" s="33"/>
      <c r="E770" s="33"/>
      <c r="N770" s="1"/>
      <c r="O770" s="1"/>
      <c r="P770" s="1"/>
    </row>
    <row r="771" spans="2:16" ht="14.5">
      <c r="B771" s="33"/>
      <c r="C771" s="33"/>
      <c r="D771" s="33"/>
      <c r="E771" s="33"/>
      <c r="N771" s="1"/>
      <c r="O771" s="1"/>
      <c r="P771" s="1"/>
    </row>
    <row r="772" spans="2:16" ht="14.5">
      <c r="B772" s="33"/>
      <c r="C772" s="33"/>
      <c r="D772" s="33"/>
      <c r="E772" s="33"/>
      <c r="N772" s="1"/>
      <c r="O772" s="1"/>
      <c r="P772" s="1"/>
    </row>
    <row r="773" spans="2:16" ht="14.5">
      <c r="B773" s="33"/>
      <c r="C773" s="33"/>
      <c r="D773" s="33"/>
      <c r="E773" s="33"/>
      <c r="N773" s="1"/>
      <c r="O773" s="1"/>
      <c r="P773" s="1"/>
    </row>
    <row r="774" spans="2:16" ht="14.5">
      <c r="B774" s="33"/>
      <c r="C774" s="33"/>
      <c r="D774" s="33"/>
      <c r="E774" s="33"/>
      <c r="N774" s="1"/>
      <c r="O774" s="1"/>
      <c r="P774" s="1"/>
    </row>
    <row r="775" spans="2:16" ht="14.5">
      <c r="B775" s="33"/>
      <c r="C775" s="33"/>
      <c r="D775" s="33"/>
      <c r="E775" s="33"/>
      <c r="N775" s="1"/>
      <c r="O775" s="1"/>
      <c r="P775" s="1"/>
    </row>
    <row r="776" spans="2:16" ht="14.5">
      <c r="B776" s="33"/>
      <c r="C776" s="33"/>
      <c r="D776" s="33"/>
      <c r="E776" s="33"/>
      <c r="N776" s="1"/>
      <c r="O776" s="1"/>
      <c r="P776" s="1"/>
    </row>
    <row r="777" spans="2:16" ht="14.5">
      <c r="B777" s="33"/>
      <c r="C777" s="33"/>
      <c r="D777" s="33"/>
      <c r="E777" s="33"/>
      <c r="N777" s="1"/>
      <c r="O777" s="1"/>
      <c r="P777" s="1"/>
    </row>
    <row r="778" spans="2:16" ht="14.5">
      <c r="B778" s="33"/>
      <c r="C778" s="33"/>
      <c r="D778" s="33"/>
      <c r="E778" s="33"/>
      <c r="N778" s="1"/>
      <c r="O778" s="1"/>
      <c r="P778" s="1"/>
    </row>
    <row r="779" spans="2:16" ht="14.5">
      <c r="B779" s="33"/>
      <c r="C779" s="33"/>
      <c r="D779" s="33"/>
      <c r="E779" s="33"/>
      <c r="N779" s="1"/>
      <c r="O779" s="1"/>
      <c r="P779" s="1"/>
    </row>
    <row r="780" spans="2:16" ht="14.5">
      <c r="B780" s="33"/>
      <c r="C780" s="33"/>
      <c r="D780" s="33"/>
      <c r="E780" s="33"/>
      <c r="N780" s="1"/>
      <c r="O780" s="1"/>
      <c r="P780" s="1"/>
    </row>
    <row r="781" spans="2:16" ht="14.5">
      <c r="B781" s="33"/>
      <c r="C781" s="33"/>
      <c r="D781" s="33"/>
      <c r="E781" s="33"/>
      <c r="N781" s="1"/>
      <c r="O781" s="1"/>
      <c r="P781" s="1"/>
    </row>
    <row r="782" spans="2:16" ht="14.5">
      <c r="B782" s="33"/>
      <c r="C782" s="33"/>
      <c r="D782" s="33"/>
      <c r="E782" s="33"/>
      <c r="N782" s="1"/>
      <c r="O782" s="1"/>
      <c r="P782" s="1"/>
    </row>
    <row r="783" spans="2:16" ht="14.5">
      <c r="B783" s="33"/>
      <c r="C783" s="33"/>
      <c r="D783" s="33"/>
      <c r="E783" s="33"/>
      <c r="N783" s="1"/>
      <c r="O783" s="1"/>
      <c r="P783" s="1"/>
    </row>
    <row r="784" spans="2:16" ht="14.5">
      <c r="B784" s="33"/>
      <c r="C784" s="33"/>
      <c r="D784" s="33"/>
      <c r="E784" s="33"/>
      <c r="N784" s="1"/>
      <c r="O784" s="1"/>
      <c r="P784" s="1"/>
    </row>
    <row r="785" spans="2:16" ht="14.5">
      <c r="B785" s="33"/>
      <c r="C785" s="33"/>
      <c r="D785" s="33"/>
      <c r="E785" s="33"/>
      <c r="N785" s="1"/>
      <c r="O785" s="1"/>
      <c r="P785" s="1"/>
    </row>
    <row r="786" spans="2:16" ht="14.5">
      <c r="B786" s="33"/>
      <c r="C786" s="33"/>
      <c r="D786" s="33"/>
      <c r="E786" s="33"/>
      <c r="N786" s="1"/>
      <c r="O786" s="1"/>
      <c r="P786" s="1"/>
    </row>
    <row r="787" spans="2:16" ht="14.5">
      <c r="B787" s="33"/>
      <c r="C787" s="33"/>
      <c r="D787" s="33"/>
      <c r="E787" s="33"/>
      <c r="N787" s="1"/>
      <c r="O787" s="1"/>
      <c r="P787" s="1"/>
    </row>
    <row r="788" spans="2:16" ht="14.5">
      <c r="B788" s="33"/>
      <c r="C788" s="33"/>
      <c r="D788" s="33"/>
      <c r="E788" s="33"/>
      <c r="N788" s="1"/>
      <c r="O788" s="1"/>
      <c r="P788" s="1"/>
    </row>
    <row r="789" spans="2:16" ht="14.5">
      <c r="B789" s="33"/>
      <c r="C789" s="33"/>
      <c r="D789" s="33"/>
      <c r="E789" s="33"/>
      <c r="N789" s="1"/>
      <c r="O789" s="1"/>
      <c r="P789" s="1"/>
    </row>
    <row r="790" spans="2:16" ht="14.5">
      <c r="B790" s="33"/>
      <c r="C790" s="33"/>
      <c r="D790" s="33"/>
      <c r="E790" s="33"/>
      <c r="N790" s="1"/>
      <c r="O790" s="1"/>
      <c r="P790" s="1"/>
    </row>
    <row r="791" spans="2:16" ht="14.5">
      <c r="B791" s="33"/>
      <c r="C791" s="33"/>
      <c r="D791" s="33"/>
      <c r="E791" s="33"/>
      <c r="N791" s="1"/>
      <c r="O791" s="1"/>
      <c r="P791" s="1"/>
    </row>
    <row r="792" spans="2:16" ht="14.5">
      <c r="B792" s="33"/>
      <c r="C792" s="33"/>
      <c r="D792" s="33"/>
      <c r="E792" s="33"/>
      <c r="N792" s="1"/>
      <c r="O792" s="1"/>
      <c r="P792" s="1"/>
    </row>
    <row r="793" spans="2:16" ht="14.5">
      <c r="B793" s="33"/>
      <c r="C793" s="33"/>
      <c r="D793" s="33"/>
      <c r="E793" s="33"/>
      <c r="N793" s="1"/>
      <c r="O793" s="1"/>
      <c r="P793" s="1"/>
    </row>
    <row r="794" spans="2:16" ht="14.5">
      <c r="B794" s="33"/>
      <c r="C794" s="33"/>
      <c r="D794" s="33"/>
      <c r="E794" s="33"/>
      <c r="N794" s="1"/>
      <c r="O794" s="1"/>
      <c r="P794" s="1"/>
    </row>
    <row r="795" spans="2:16" ht="14.5">
      <c r="B795" s="33"/>
      <c r="C795" s="33"/>
      <c r="D795" s="33"/>
      <c r="E795" s="33"/>
      <c r="N795" s="1"/>
      <c r="O795" s="1"/>
      <c r="P795" s="1"/>
    </row>
    <row r="796" spans="2:16" ht="14.5">
      <c r="B796" s="33"/>
      <c r="C796" s="33"/>
      <c r="D796" s="33"/>
      <c r="E796" s="33"/>
      <c r="N796" s="1"/>
      <c r="O796" s="1"/>
      <c r="P796" s="1"/>
    </row>
    <row r="797" spans="2:16" ht="14.5">
      <c r="B797" s="33"/>
      <c r="C797" s="33"/>
      <c r="D797" s="33"/>
      <c r="E797" s="33"/>
      <c r="N797" s="1"/>
      <c r="O797" s="1"/>
      <c r="P797" s="1"/>
    </row>
    <row r="798" spans="2:16" ht="14.5">
      <c r="B798" s="33"/>
      <c r="C798" s="33"/>
      <c r="D798" s="33"/>
      <c r="E798" s="33"/>
      <c r="N798" s="1"/>
      <c r="O798" s="1"/>
      <c r="P798" s="1"/>
    </row>
    <row r="799" spans="2:16" ht="14.5">
      <c r="B799" s="33"/>
      <c r="C799" s="33"/>
      <c r="D799" s="33"/>
      <c r="E799" s="33"/>
      <c r="N799" s="1"/>
      <c r="O799" s="1"/>
      <c r="P799" s="1"/>
    </row>
    <row r="800" spans="2:16" ht="14.5">
      <c r="B800" s="33"/>
      <c r="C800" s="33"/>
      <c r="D800" s="33"/>
      <c r="E800" s="33"/>
      <c r="N800" s="1"/>
      <c r="O800" s="1"/>
      <c r="P800" s="1"/>
    </row>
    <row r="801" spans="2:16" ht="14.5">
      <c r="B801" s="33"/>
      <c r="C801" s="33"/>
      <c r="D801" s="33"/>
      <c r="E801" s="33"/>
      <c r="N801" s="1"/>
      <c r="O801" s="1"/>
      <c r="P801" s="1"/>
    </row>
    <row r="802" spans="2:16" ht="14.5">
      <c r="B802" s="33"/>
      <c r="C802" s="33"/>
      <c r="D802" s="33"/>
      <c r="E802" s="33"/>
      <c r="N802" s="1"/>
      <c r="O802" s="1"/>
      <c r="P802" s="1"/>
    </row>
    <row r="803" spans="2:16" ht="14.5">
      <c r="B803" s="33"/>
      <c r="C803" s="33"/>
      <c r="D803" s="33"/>
      <c r="E803" s="33"/>
      <c r="N803" s="1"/>
      <c r="O803" s="1"/>
      <c r="P803" s="1"/>
    </row>
    <row r="804" spans="2:16" ht="14.5">
      <c r="B804" s="33"/>
      <c r="C804" s="33"/>
      <c r="D804" s="33"/>
      <c r="E804" s="33"/>
      <c r="N804" s="1"/>
      <c r="O804" s="1"/>
      <c r="P804" s="1"/>
    </row>
    <row r="805" spans="2:16" ht="14.5">
      <c r="B805" s="33"/>
      <c r="C805" s="33"/>
      <c r="D805" s="33"/>
      <c r="E805" s="33"/>
      <c r="N805" s="1"/>
      <c r="O805" s="1"/>
      <c r="P805" s="1"/>
    </row>
    <row r="806" spans="2:16" ht="14.5">
      <c r="B806" s="33"/>
      <c r="C806" s="33"/>
      <c r="D806" s="33"/>
      <c r="E806" s="33"/>
      <c r="N806" s="1"/>
      <c r="O806" s="1"/>
      <c r="P806" s="1"/>
    </row>
    <row r="807" spans="2:16" ht="14.5">
      <c r="B807" s="33"/>
      <c r="C807" s="33"/>
      <c r="D807" s="33"/>
      <c r="E807" s="33"/>
      <c r="N807" s="1"/>
      <c r="O807" s="1"/>
      <c r="P807" s="1"/>
    </row>
    <row r="808" spans="2:16" ht="14.5">
      <c r="B808" s="33"/>
      <c r="C808" s="33"/>
      <c r="D808" s="33"/>
      <c r="E808" s="33"/>
      <c r="N808" s="1"/>
      <c r="O808" s="1"/>
      <c r="P808" s="1"/>
    </row>
    <row r="809" spans="2:16" ht="14.5">
      <c r="B809" s="33"/>
      <c r="C809" s="33"/>
      <c r="D809" s="33"/>
      <c r="E809" s="33"/>
      <c r="N809" s="1"/>
      <c r="O809" s="1"/>
      <c r="P809" s="1"/>
    </row>
    <row r="810" spans="2:16" ht="14.5">
      <c r="B810" s="33"/>
      <c r="C810" s="33"/>
      <c r="D810" s="33"/>
      <c r="E810" s="33"/>
      <c r="N810" s="1"/>
      <c r="O810" s="1"/>
      <c r="P810" s="1"/>
    </row>
    <row r="811" spans="2:16" ht="14.5">
      <c r="B811" s="33"/>
      <c r="C811" s="33"/>
      <c r="D811" s="33"/>
      <c r="E811" s="33"/>
      <c r="N811" s="1"/>
      <c r="O811" s="1"/>
      <c r="P811" s="1"/>
    </row>
    <row r="812" spans="2:16" ht="14.5">
      <c r="B812" s="33"/>
      <c r="C812" s="33"/>
      <c r="D812" s="33"/>
      <c r="E812" s="33"/>
      <c r="N812" s="1"/>
      <c r="O812" s="1"/>
      <c r="P812" s="1"/>
    </row>
    <row r="813" spans="2:16" ht="14.5">
      <c r="B813" s="33"/>
      <c r="C813" s="33"/>
      <c r="D813" s="33"/>
      <c r="E813" s="33"/>
      <c r="N813" s="1"/>
      <c r="O813" s="1"/>
      <c r="P813" s="1"/>
    </row>
    <row r="814" spans="2:16" ht="14.5">
      <c r="B814" s="33"/>
      <c r="C814" s="33"/>
      <c r="D814" s="33"/>
      <c r="E814" s="33"/>
      <c r="N814" s="1"/>
      <c r="O814" s="1"/>
      <c r="P814" s="1"/>
    </row>
    <row r="815" spans="2:16" ht="14.5">
      <c r="B815" s="33"/>
      <c r="C815" s="33"/>
      <c r="D815" s="33"/>
      <c r="E815" s="33"/>
      <c r="N815" s="1"/>
      <c r="O815" s="1"/>
      <c r="P815" s="1"/>
    </row>
    <row r="816" spans="2:16" ht="14.5">
      <c r="B816" s="33"/>
      <c r="C816" s="33"/>
      <c r="D816" s="33"/>
      <c r="E816" s="33"/>
      <c r="N816" s="1"/>
      <c r="O816" s="1"/>
      <c r="P816" s="1"/>
    </row>
    <row r="817" spans="2:16" ht="14.5">
      <c r="B817" s="33"/>
      <c r="C817" s="33"/>
      <c r="D817" s="33"/>
      <c r="E817" s="33"/>
      <c r="N817" s="1"/>
      <c r="O817" s="1"/>
      <c r="P817" s="1"/>
    </row>
    <row r="818" spans="2:16" ht="14.5">
      <c r="B818" s="33"/>
      <c r="C818" s="33"/>
      <c r="D818" s="33"/>
      <c r="E818" s="33"/>
      <c r="N818" s="1"/>
      <c r="O818" s="1"/>
      <c r="P818" s="1"/>
    </row>
    <row r="819" spans="2:16" ht="14.5">
      <c r="B819" s="33"/>
      <c r="C819" s="33"/>
      <c r="D819" s="33"/>
      <c r="E819" s="33"/>
      <c r="N819" s="1"/>
      <c r="O819" s="1"/>
      <c r="P819" s="1"/>
    </row>
    <row r="820" spans="2:16" ht="14.5">
      <c r="B820" s="33"/>
      <c r="C820" s="33"/>
      <c r="D820" s="33"/>
      <c r="E820" s="33"/>
      <c r="N820" s="1"/>
      <c r="O820" s="1"/>
      <c r="P820" s="1"/>
    </row>
    <row r="821" spans="2:16" ht="14.5">
      <c r="B821" s="33"/>
      <c r="C821" s="33"/>
      <c r="D821" s="33"/>
      <c r="E821" s="33"/>
      <c r="N821" s="1"/>
      <c r="O821" s="1"/>
      <c r="P821" s="1"/>
    </row>
    <row r="822" spans="2:16" ht="14.5">
      <c r="B822" s="33"/>
      <c r="C822" s="33"/>
      <c r="D822" s="33"/>
      <c r="E822" s="33"/>
      <c r="N822" s="1"/>
      <c r="O822" s="1"/>
      <c r="P822" s="1"/>
    </row>
    <row r="823" spans="2:16" ht="14.5">
      <c r="B823" s="33"/>
      <c r="C823" s="33"/>
      <c r="D823" s="33"/>
      <c r="E823" s="33"/>
      <c r="N823" s="1"/>
      <c r="O823" s="1"/>
      <c r="P823" s="1"/>
    </row>
    <row r="824" spans="2:16" ht="14.5">
      <c r="B824" s="33"/>
      <c r="C824" s="33"/>
      <c r="D824" s="33"/>
      <c r="E824" s="33"/>
      <c r="N824" s="1"/>
      <c r="O824" s="1"/>
      <c r="P824" s="1"/>
    </row>
    <row r="825" spans="2:16" ht="14.5">
      <c r="B825" s="33"/>
      <c r="C825" s="33"/>
      <c r="D825" s="33"/>
      <c r="E825" s="33"/>
      <c r="N825" s="1"/>
      <c r="O825" s="1"/>
      <c r="P825" s="1"/>
    </row>
    <row r="826" spans="2:16" ht="14.5">
      <c r="B826" s="33"/>
      <c r="C826" s="33"/>
      <c r="D826" s="33"/>
      <c r="E826" s="33"/>
      <c r="N826" s="1"/>
      <c r="O826" s="1"/>
      <c r="P826" s="1"/>
    </row>
    <row r="827" spans="2:16" ht="14.5">
      <c r="B827" s="33"/>
      <c r="C827" s="33"/>
      <c r="D827" s="33"/>
      <c r="E827" s="33"/>
      <c r="N827" s="1"/>
      <c r="O827" s="1"/>
      <c r="P827" s="1"/>
    </row>
    <row r="828" spans="2:16" ht="14.5">
      <c r="B828" s="33"/>
      <c r="C828" s="33"/>
      <c r="D828" s="33"/>
      <c r="E828" s="33"/>
      <c r="N828" s="1"/>
      <c r="O828" s="1"/>
      <c r="P828" s="1"/>
    </row>
    <row r="829" spans="2:16" ht="14.5">
      <c r="B829" s="33"/>
      <c r="C829" s="33"/>
      <c r="D829" s="33"/>
      <c r="E829" s="33"/>
      <c r="N829" s="1"/>
      <c r="O829" s="1"/>
      <c r="P829" s="1"/>
    </row>
    <row r="830" spans="2:16" ht="14.5">
      <c r="B830" s="33"/>
      <c r="C830" s="33"/>
      <c r="D830" s="33"/>
      <c r="E830" s="33"/>
      <c r="N830" s="1"/>
      <c r="O830" s="1"/>
      <c r="P830" s="1"/>
    </row>
    <row r="831" spans="2:16" ht="14.5">
      <c r="B831" s="33"/>
      <c r="C831" s="33"/>
      <c r="D831" s="33"/>
      <c r="E831" s="33"/>
      <c r="N831" s="1"/>
      <c r="O831" s="1"/>
      <c r="P831" s="1"/>
    </row>
    <row r="832" spans="2:16" ht="14.5">
      <c r="B832" s="33"/>
      <c r="C832" s="33"/>
      <c r="D832" s="33"/>
      <c r="E832" s="33"/>
      <c r="N832" s="1"/>
      <c r="O832" s="1"/>
      <c r="P832" s="1"/>
    </row>
    <row r="833" spans="2:16" ht="14.5">
      <c r="B833" s="33"/>
      <c r="C833" s="33"/>
      <c r="D833" s="33"/>
      <c r="E833" s="33"/>
      <c r="N833" s="1"/>
      <c r="O833" s="1"/>
      <c r="P833" s="1"/>
    </row>
    <row r="834" spans="2:16" ht="14.5">
      <c r="B834" s="33"/>
      <c r="C834" s="33"/>
      <c r="D834" s="33"/>
      <c r="E834" s="33"/>
      <c r="N834" s="1"/>
      <c r="O834" s="1"/>
      <c r="P834" s="1"/>
    </row>
    <row r="835" spans="2:16" ht="14.5">
      <c r="B835" s="33"/>
      <c r="C835" s="33"/>
      <c r="D835" s="33"/>
      <c r="E835" s="33"/>
      <c r="N835" s="1"/>
      <c r="O835" s="1"/>
      <c r="P835" s="1"/>
    </row>
    <row r="836" spans="2:16" ht="14.5">
      <c r="B836" s="33"/>
      <c r="C836" s="33"/>
      <c r="D836" s="33"/>
      <c r="E836" s="33"/>
      <c r="N836" s="1"/>
      <c r="O836" s="1"/>
      <c r="P836" s="1"/>
    </row>
    <row r="837" spans="2:16" ht="14.5">
      <c r="B837" s="33"/>
      <c r="C837" s="33"/>
      <c r="D837" s="33"/>
      <c r="E837" s="33"/>
      <c r="N837" s="1"/>
      <c r="O837" s="1"/>
      <c r="P837" s="1"/>
    </row>
    <row r="838" spans="2:16" ht="14.5">
      <c r="B838" s="33"/>
      <c r="C838" s="33"/>
      <c r="D838" s="33"/>
      <c r="E838" s="33"/>
      <c r="N838" s="1"/>
      <c r="O838" s="1"/>
      <c r="P838" s="1"/>
    </row>
    <row r="839" spans="2:16" ht="14.5">
      <c r="B839" s="33"/>
      <c r="C839" s="33"/>
      <c r="D839" s="33"/>
      <c r="E839" s="33"/>
      <c r="N839" s="1"/>
      <c r="O839" s="1"/>
      <c r="P839" s="1"/>
    </row>
    <row r="840" spans="2:16" ht="14.5">
      <c r="B840" s="33"/>
      <c r="C840" s="33"/>
      <c r="D840" s="33"/>
      <c r="E840" s="33"/>
      <c r="N840" s="1"/>
      <c r="O840" s="1"/>
      <c r="P840" s="1"/>
    </row>
    <row r="841" spans="2:16" ht="14.5">
      <c r="B841" s="33"/>
      <c r="C841" s="33"/>
      <c r="D841" s="33"/>
      <c r="E841" s="33"/>
      <c r="N841" s="1"/>
      <c r="O841" s="1"/>
      <c r="P841" s="1"/>
    </row>
    <row r="842" spans="2:16" ht="14.5">
      <c r="B842" s="33"/>
      <c r="C842" s="33"/>
      <c r="D842" s="33"/>
      <c r="E842" s="33"/>
      <c r="N842" s="1"/>
      <c r="O842" s="1"/>
      <c r="P842" s="1"/>
    </row>
    <row r="843" spans="2:16" ht="14.5">
      <c r="B843" s="33"/>
      <c r="C843" s="33"/>
      <c r="D843" s="33"/>
      <c r="E843" s="33"/>
      <c r="N843" s="1"/>
      <c r="O843" s="1"/>
      <c r="P843" s="1"/>
    </row>
    <row r="844" spans="2:16" ht="14.5">
      <c r="B844" s="33"/>
      <c r="C844" s="33"/>
      <c r="D844" s="33"/>
      <c r="E844" s="33"/>
      <c r="N844" s="1"/>
      <c r="O844" s="1"/>
      <c r="P844" s="1"/>
    </row>
    <row r="845" spans="2:16" ht="14.5">
      <c r="B845" s="33"/>
      <c r="C845" s="33"/>
      <c r="D845" s="33"/>
      <c r="E845" s="33"/>
      <c r="N845" s="1"/>
      <c r="O845" s="1"/>
      <c r="P845" s="1"/>
    </row>
    <row r="846" spans="2:16" ht="14.5">
      <c r="B846" s="33"/>
      <c r="C846" s="33"/>
      <c r="D846" s="33"/>
      <c r="E846" s="33"/>
      <c r="N846" s="1"/>
      <c r="O846" s="1"/>
      <c r="P846" s="1"/>
    </row>
    <row r="847" spans="2:16" ht="14.5">
      <c r="B847" s="33"/>
      <c r="C847" s="33"/>
      <c r="D847" s="33"/>
      <c r="E847" s="33"/>
      <c r="N847" s="1"/>
      <c r="O847" s="1"/>
      <c r="P847" s="1"/>
    </row>
    <row r="848" spans="2:16" ht="14.5">
      <c r="B848" s="33"/>
      <c r="C848" s="33"/>
      <c r="D848" s="33"/>
      <c r="E848" s="33"/>
      <c r="N848" s="1"/>
      <c r="O848" s="1"/>
      <c r="P848" s="1"/>
    </row>
    <row r="849" spans="2:16" ht="14.5">
      <c r="B849" s="33"/>
      <c r="C849" s="33"/>
      <c r="D849" s="33"/>
      <c r="E849" s="33"/>
      <c r="N849" s="1"/>
      <c r="O849" s="1"/>
      <c r="P849" s="1"/>
    </row>
    <row r="850" spans="2:16" ht="14.5">
      <c r="B850" s="33"/>
      <c r="C850" s="33"/>
      <c r="D850" s="33"/>
      <c r="E850" s="33"/>
      <c r="N850" s="1"/>
      <c r="O850" s="1"/>
      <c r="P850" s="1"/>
    </row>
    <row r="851" spans="2:16" ht="14.5">
      <c r="B851" s="33"/>
      <c r="C851" s="33"/>
      <c r="D851" s="33"/>
      <c r="E851" s="33"/>
      <c r="N851" s="1"/>
      <c r="O851" s="1"/>
      <c r="P851" s="1"/>
    </row>
    <row r="852" spans="2:16" ht="14.5">
      <c r="B852" s="33"/>
      <c r="C852" s="33"/>
      <c r="D852" s="33"/>
      <c r="E852" s="33"/>
      <c r="N852" s="1"/>
      <c r="O852" s="1"/>
      <c r="P852" s="1"/>
    </row>
    <row r="853" spans="2:16" ht="14.5">
      <c r="B853" s="33"/>
      <c r="C853" s="33"/>
      <c r="D853" s="33"/>
      <c r="E853" s="33"/>
      <c r="N853" s="1"/>
      <c r="O853" s="1"/>
      <c r="P853" s="1"/>
    </row>
    <row r="854" spans="2:16" ht="14.5">
      <c r="B854" s="33"/>
      <c r="C854" s="33"/>
      <c r="D854" s="33"/>
      <c r="E854" s="33"/>
      <c r="N854" s="1"/>
      <c r="O854" s="1"/>
      <c r="P854" s="1"/>
    </row>
    <row r="855" spans="2:16" ht="14.5">
      <c r="B855" s="33"/>
      <c r="C855" s="33"/>
      <c r="D855" s="33"/>
      <c r="E855" s="33"/>
      <c r="N855" s="1"/>
      <c r="O855" s="1"/>
      <c r="P855" s="1"/>
    </row>
    <row r="856" spans="2:16" ht="14.5">
      <c r="B856" s="33"/>
      <c r="C856" s="33"/>
      <c r="D856" s="33"/>
      <c r="E856" s="33"/>
      <c r="N856" s="1"/>
      <c r="O856" s="1"/>
      <c r="P856" s="1"/>
    </row>
    <row r="857" spans="2:16" ht="14.5">
      <c r="B857" s="33"/>
      <c r="C857" s="33"/>
      <c r="D857" s="33"/>
      <c r="E857" s="33"/>
      <c r="N857" s="1"/>
      <c r="O857" s="1"/>
      <c r="P857" s="1"/>
    </row>
    <row r="858" spans="2:16" ht="14.5">
      <c r="B858" s="33"/>
      <c r="C858" s="33"/>
      <c r="D858" s="33"/>
      <c r="E858" s="33"/>
      <c r="N858" s="1"/>
      <c r="O858" s="1"/>
      <c r="P858" s="1"/>
    </row>
    <row r="859" spans="2:16" ht="14.5">
      <c r="B859" s="33"/>
      <c r="C859" s="33"/>
      <c r="D859" s="33"/>
      <c r="E859" s="33"/>
      <c r="N859" s="1"/>
      <c r="O859" s="1"/>
      <c r="P859" s="1"/>
    </row>
    <row r="860" spans="2:16" ht="14.5">
      <c r="B860" s="33"/>
      <c r="C860" s="33"/>
      <c r="D860" s="33"/>
      <c r="E860" s="33"/>
      <c r="N860" s="1"/>
      <c r="O860" s="1"/>
      <c r="P860" s="1"/>
    </row>
    <row r="861" spans="2:16" ht="14.5">
      <c r="B861" s="33"/>
      <c r="C861" s="33"/>
      <c r="D861" s="33"/>
      <c r="E861" s="33"/>
      <c r="N861" s="1"/>
      <c r="O861" s="1"/>
      <c r="P861" s="1"/>
    </row>
    <row r="862" spans="2:16" ht="14.5">
      <c r="B862" s="33"/>
      <c r="C862" s="33"/>
      <c r="D862" s="33"/>
      <c r="E862" s="33"/>
      <c r="N862" s="1"/>
      <c r="O862" s="1"/>
      <c r="P862" s="1"/>
    </row>
    <row r="863" spans="2:16" ht="14.5">
      <c r="B863" s="33"/>
      <c r="C863" s="33"/>
      <c r="D863" s="33"/>
      <c r="E863" s="33"/>
      <c r="N863" s="1"/>
      <c r="O863" s="1"/>
      <c r="P863" s="1"/>
    </row>
    <row r="864" spans="2:16" ht="14.5">
      <c r="B864" s="33"/>
      <c r="C864" s="33"/>
      <c r="D864" s="33"/>
      <c r="E864" s="33"/>
      <c r="N864" s="1"/>
      <c r="O864" s="1"/>
      <c r="P864" s="1"/>
    </row>
    <row r="865" spans="2:16" ht="14.5">
      <c r="B865" s="33"/>
      <c r="C865" s="33"/>
      <c r="D865" s="33"/>
      <c r="E865" s="33"/>
      <c r="N865" s="1"/>
      <c r="O865" s="1"/>
      <c r="P865" s="1"/>
    </row>
    <row r="866" spans="2:16" ht="14.5">
      <c r="B866" s="33"/>
      <c r="C866" s="33"/>
      <c r="D866" s="33"/>
      <c r="E866" s="33"/>
      <c r="N866" s="1"/>
      <c r="O866" s="1"/>
      <c r="P866" s="1"/>
    </row>
    <row r="867" spans="2:16" ht="14.5">
      <c r="B867" s="33"/>
      <c r="C867" s="33"/>
      <c r="D867" s="33"/>
      <c r="E867" s="33"/>
      <c r="N867" s="1"/>
      <c r="O867" s="1"/>
      <c r="P867" s="1"/>
    </row>
    <row r="868" spans="2:16" ht="14.5">
      <c r="B868" s="33"/>
      <c r="C868" s="33"/>
      <c r="D868" s="33"/>
      <c r="E868" s="33"/>
      <c r="N868" s="1"/>
      <c r="O868" s="1"/>
      <c r="P868" s="1"/>
    </row>
    <row r="869" spans="2:16" ht="14.5">
      <c r="B869" s="33"/>
      <c r="C869" s="33"/>
      <c r="D869" s="33"/>
      <c r="E869" s="33"/>
      <c r="N869" s="1"/>
      <c r="O869" s="1"/>
      <c r="P869" s="1"/>
    </row>
    <row r="870" spans="2:16" ht="14.5">
      <c r="B870" s="33"/>
      <c r="C870" s="33"/>
      <c r="D870" s="33"/>
      <c r="E870" s="33"/>
      <c r="N870" s="1"/>
      <c r="O870" s="1"/>
      <c r="P870" s="1"/>
    </row>
    <row r="871" spans="2:16" ht="14.5">
      <c r="B871" s="33"/>
      <c r="C871" s="33"/>
      <c r="D871" s="33"/>
      <c r="E871" s="33"/>
      <c r="N871" s="1"/>
      <c r="O871" s="1"/>
      <c r="P871" s="1"/>
    </row>
    <row r="872" spans="2:16" ht="14.5">
      <c r="B872" s="33"/>
      <c r="C872" s="33"/>
      <c r="D872" s="33"/>
      <c r="E872" s="33"/>
      <c r="N872" s="1"/>
      <c r="O872" s="1"/>
      <c r="P872" s="1"/>
    </row>
    <row r="873" spans="2:16" ht="14.5">
      <c r="B873" s="33"/>
      <c r="C873" s="33"/>
      <c r="D873" s="33"/>
      <c r="E873" s="33"/>
      <c r="N873" s="1"/>
      <c r="O873" s="1"/>
      <c r="P873" s="1"/>
    </row>
    <row r="874" spans="2:16" ht="14.5">
      <c r="B874" s="33"/>
      <c r="C874" s="33"/>
      <c r="D874" s="33"/>
      <c r="E874" s="33"/>
      <c r="N874" s="1"/>
      <c r="O874" s="1"/>
      <c r="P874" s="1"/>
    </row>
    <row r="875" spans="2:16" ht="14.5">
      <c r="B875" s="33"/>
      <c r="C875" s="33"/>
      <c r="D875" s="33"/>
      <c r="E875" s="33"/>
      <c r="N875" s="1"/>
      <c r="O875" s="1"/>
      <c r="P875" s="1"/>
    </row>
    <row r="876" spans="2:16" ht="14.5">
      <c r="B876" s="33"/>
      <c r="C876" s="33"/>
      <c r="D876" s="33"/>
      <c r="E876" s="33"/>
      <c r="N876" s="1"/>
      <c r="O876" s="1"/>
      <c r="P876" s="1"/>
    </row>
    <row r="877" spans="2:16" ht="14.5">
      <c r="B877" s="33"/>
      <c r="C877" s="33"/>
      <c r="D877" s="33"/>
      <c r="E877" s="33"/>
      <c r="N877" s="1"/>
      <c r="O877" s="1"/>
      <c r="P877" s="1"/>
    </row>
    <row r="878" spans="2:16" ht="14.5">
      <c r="B878" s="33"/>
      <c r="C878" s="33"/>
      <c r="D878" s="33"/>
      <c r="E878" s="33"/>
      <c r="N878" s="1"/>
      <c r="O878" s="1"/>
      <c r="P878" s="1"/>
    </row>
    <row r="879" spans="2:16" ht="14.5">
      <c r="B879" s="33"/>
      <c r="C879" s="33"/>
      <c r="D879" s="33"/>
      <c r="E879" s="33"/>
      <c r="N879" s="1"/>
      <c r="O879" s="1"/>
      <c r="P879" s="1"/>
    </row>
    <row r="880" spans="2:16" ht="14.5">
      <c r="B880" s="33"/>
      <c r="C880" s="33"/>
      <c r="D880" s="33"/>
      <c r="E880" s="33"/>
      <c r="N880" s="1"/>
      <c r="O880" s="1"/>
      <c r="P880" s="1"/>
    </row>
    <row r="881" spans="2:16" ht="14.5">
      <c r="B881" s="33"/>
      <c r="C881" s="33"/>
      <c r="D881" s="33"/>
      <c r="E881" s="33"/>
      <c r="N881" s="1"/>
      <c r="O881" s="1"/>
      <c r="P881" s="1"/>
    </row>
    <row r="882" spans="2:16" ht="14.5">
      <c r="B882" s="33"/>
      <c r="C882" s="33"/>
      <c r="D882" s="33"/>
      <c r="E882" s="33"/>
      <c r="N882" s="1"/>
      <c r="O882" s="1"/>
      <c r="P882" s="1"/>
    </row>
    <row r="883" spans="2:16" ht="14.5">
      <c r="B883" s="33"/>
      <c r="C883" s="33"/>
      <c r="D883" s="33"/>
      <c r="E883" s="33"/>
      <c r="N883" s="1"/>
      <c r="O883" s="1"/>
      <c r="P883" s="1"/>
    </row>
    <row r="884" spans="2:16" ht="14.5">
      <c r="B884" s="33"/>
      <c r="C884" s="33"/>
      <c r="D884" s="33"/>
      <c r="E884" s="33"/>
      <c r="N884" s="1"/>
      <c r="O884" s="1"/>
      <c r="P884" s="1"/>
    </row>
    <row r="885" spans="2:16" ht="14.5">
      <c r="B885" s="33"/>
      <c r="C885" s="33"/>
      <c r="D885" s="33"/>
      <c r="E885" s="33"/>
      <c r="N885" s="1"/>
      <c r="O885" s="1"/>
      <c r="P885" s="1"/>
    </row>
    <row r="886" spans="2:16" ht="14.5">
      <c r="B886" s="33"/>
      <c r="C886" s="33"/>
      <c r="D886" s="33"/>
      <c r="E886" s="33"/>
      <c r="N886" s="1"/>
      <c r="O886" s="1"/>
      <c r="P886" s="1"/>
    </row>
    <row r="887" spans="2:16" ht="14.5">
      <c r="B887" s="33"/>
      <c r="C887" s="33"/>
      <c r="D887" s="33"/>
      <c r="E887" s="33"/>
      <c r="N887" s="1"/>
      <c r="O887" s="1"/>
      <c r="P887" s="1"/>
    </row>
    <row r="888" spans="2:16" ht="14.5">
      <c r="B888" s="33"/>
      <c r="C888" s="33"/>
      <c r="D888" s="33"/>
      <c r="E888" s="33"/>
      <c r="N888" s="1"/>
      <c r="O888" s="1"/>
      <c r="P888" s="1"/>
    </row>
    <row r="889" spans="2:16" ht="14.5">
      <c r="B889" s="33"/>
      <c r="C889" s="33"/>
      <c r="D889" s="33"/>
      <c r="E889" s="33"/>
      <c r="N889" s="1"/>
      <c r="O889" s="1"/>
      <c r="P889" s="1"/>
    </row>
    <row r="890" spans="2:16" ht="14.5">
      <c r="B890" s="33"/>
      <c r="C890" s="33"/>
      <c r="D890" s="33"/>
      <c r="E890" s="33"/>
      <c r="N890" s="1"/>
      <c r="O890" s="1"/>
      <c r="P890" s="1"/>
    </row>
    <row r="891" spans="2:16" ht="14.5">
      <c r="B891" s="33"/>
      <c r="C891" s="33"/>
      <c r="D891" s="33"/>
      <c r="E891" s="33"/>
      <c r="N891" s="1"/>
      <c r="O891" s="1"/>
      <c r="P891" s="1"/>
    </row>
    <row r="892" spans="2:16" ht="14.5">
      <c r="B892" s="33"/>
      <c r="C892" s="33"/>
      <c r="D892" s="33"/>
      <c r="E892" s="33"/>
      <c r="N892" s="1"/>
      <c r="O892" s="1"/>
      <c r="P892" s="1"/>
    </row>
    <row r="893" spans="2:16" ht="14.5">
      <c r="B893" s="33"/>
      <c r="C893" s="33"/>
      <c r="D893" s="33"/>
      <c r="E893" s="33"/>
      <c r="N893" s="1"/>
      <c r="O893" s="1"/>
      <c r="P893" s="1"/>
    </row>
    <row r="894" spans="2:16" ht="14.5">
      <c r="B894" s="33"/>
      <c r="C894" s="33"/>
      <c r="D894" s="33"/>
      <c r="E894" s="33"/>
      <c r="N894" s="1"/>
      <c r="O894" s="1"/>
      <c r="P894" s="1"/>
    </row>
    <row r="895" spans="2:16" ht="14.5">
      <c r="B895" s="33"/>
      <c r="C895" s="33"/>
      <c r="D895" s="33"/>
      <c r="E895" s="33"/>
      <c r="N895" s="1"/>
      <c r="O895" s="1"/>
      <c r="P895" s="1"/>
    </row>
    <row r="896" spans="2:16" ht="14.5">
      <c r="B896" s="33"/>
      <c r="C896" s="33"/>
      <c r="D896" s="33"/>
      <c r="E896" s="33"/>
      <c r="N896" s="1"/>
      <c r="O896" s="1"/>
      <c r="P896" s="1"/>
    </row>
    <row r="897" spans="2:16" ht="14.5">
      <c r="B897" s="33"/>
      <c r="C897" s="33"/>
      <c r="D897" s="33"/>
      <c r="E897" s="33"/>
      <c r="N897" s="1"/>
      <c r="O897" s="1"/>
      <c r="P897" s="1"/>
    </row>
    <row r="898" spans="2:16" ht="14.5">
      <c r="B898" s="33"/>
      <c r="C898" s="33"/>
      <c r="D898" s="33"/>
      <c r="E898" s="33"/>
      <c r="N898" s="1"/>
      <c r="O898" s="1"/>
      <c r="P898" s="1"/>
    </row>
    <row r="899" spans="2:16" ht="14.5">
      <c r="B899" s="33"/>
      <c r="C899" s="33"/>
      <c r="D899" s="33"/>
      <c r="E899" s="33"/>
      <c r="N899" s="1"/>
      <c r="O899" s="1"/>
      <c r="P899" s="1"/>
    </row>
    <row r="900" spans="2:16" ht="14.5">
      <c r="B900" s="33"/>
      <c r="C900" s="33"/>
      <c r="D900" s="33"/>
      <c r="E900" s="33"/>
      <c r="N900" s="1"/>
      <c r="O900" s="1"/>
      <c r="P900" s="1"/>
    </row>
    <row r="901" spans="2:16" ht="14.5">
      <c r="B901" s="33"/>
      <c r="C901" s="33"/>
      <c r="D901" s="33"/>
      <c r="E901" s="33"/>
      <c r="N901" s="1"/>
      <c r="O901" s="1"/>
      <c r="P901" s="1"/>
    </row>
    <row r="902" spans="2:16" ht="14.5">
      <c r="B902" s="33"/>
      <c r="C902" s="33"/>
      <c r="D902" s="33"/>
      <c r="E902" s="33"/>
      <c r="N902" s="1"/>
      <c r="O902" s="1"/>
      <c r="P902" s="1"/>
    </row>
    <row r="903" spans="2:16" ht="14.5">
      <c r="B903" s="33"/>
      <c r="C903" s="33"/>
      <c r="D903" s="33"/>
      <c r="E903" s="33"/>
      <c r="N903" s="1"/>
      <c r="O903" s="1"/>
      <c r="P903" s="1"/>
    </row>
    <row r="904" spans="2:16" ht="14.5">
      <c r="B904" s="33"/>
      <c r="C904" s="33"/>
      <c r="D904" s="33"/>
      <c r="E904" s="33"/>
      <c r="N904" s="1"/>
      <c r="O904" s="1"/>
      <c r="P904" s="1"/>
    </row>
    <row r="905" spans="2:16" ht="14.5">
      <c r="B905" s="33"/>
      <c r="C905" s="33"/>
      <c r="D905" s="33"/>
      <c r="E905" s="33"/>
      <c r="N905" s="1"/>
      <c r="O905" s="1"/>
      <c r="P905" s="1"/>
    </row>
    <row r="906" spans="2:16" ht="14.5">
      <c r="B906" s="33"/>
      <c r="C906" s="33"/>
      <c r="D906" s="33"/>
      <c r="E906" s="33"/>
      <c r="N906" s="1"/>
      <c r="O906" s="1"/>
      <c r="P906" s="1"/>
    </row>
    <row r="907" spans="2:16" ht="14.5">
      <c r="B907" s="33"/>
      <c r="C907" s="33"/>
      <c r="D907" s="33"/>
      <c r="E907" s="33"/>
      <c r="N907" s="1"/>
      <c r="O907" s="1"/>
      <c r="P907" s="1"/>
    </row>
    <row r="908" spans="2:16" ht="14.5">
      <c r="B908" s="33"/>
      <c r="C908" s="33"/>
      <c r="D908" s="33"/>
      <c r="E908" s="33"/>
      <c r="N908" s="1"/>
      <c r="O908" s="1"/>
      <c r="P908" s="1"/>
    </row>
    <row r="909" spans="2:16" ht="14.5">
      <c r="B909" s="33"/>
      <c r="C909" s="33"/>
      <c r="D909" s="33"/>
      <c r="E909" s="33"/>
      <c r="N909" s="1"/>
      <c r="O909" s="1"/>
      <c r="P909" s="1"/>
    </row>
    <row r="910" spans="2:16" ht="14.5">
      <c r="B910" s="33"/>
      <c r="C910" s="33"/>
      <c r="D910" s="33"/>
      <c r="E910" s="33"/>
      <c r="N910" s="1"/>
      <c r="O910" s="1"/>
      <c r="P910" s="1"/>
    </row>
    <row r="911" spans="2:16" ht="14.5">
      <c r="B911" s="33"/>
      <c r="C911" s="33"/>
      <c r="D911" s="33"/>
      <c r="E911" s="33"/>
      <c r="N911" s="1"/>
      <c r="O911" s="1"/>
      <c r="P911" s="1"/>
    </row>
    <row r="912" spans="2:16" ht="14.5">
      <c r="B912" s="33"/>
      <c r="C912" s="33"/>
      <c r="D912" s="33"/>
      <c r="E912" s="33"/>
      <c r="N912" s="1"/>
      <c r="O912" s="1"/>
      <c r="P912" s="1"/>
    </row>
    <row r="913" spans="2:16" ht="14.5">
      <c r="B913" s="33"/>
      <c r="C913" s="33"/>
      <c r="D913" s="33"/>
      <c r="E913" s="33"/>
      <c r="N913" s="1"/>
      <c r="O913" s="1"/>
      <c r="P913" s="1"/>
    </row>
    <row r="914" spans="2:16" ht="14.5">
      <c r="B914" s="33"/>
      <c r="C914" s="33"/>
      <c r="D914" s="33"/>
      <c r="E914" s="33"/>
      <c r="N914" s="1"/>
      <c r="O914" s="1"/>
      <c r="P914" s="1"/>
    </row>
    <row r="915" spans="2:16" ht="14.5">
      <c r="B915" s="33"/>
      <c r="C915" s="33"/>
      <c r="D915" s="33"/>
      <c r="E915" s="33"/>
      <c r="N915" s="1"/>
      <c r="O915" s="1"/>
      <c r="P915" s="1"/>
    </row>
    <row r="916" spans="2:16" ht="14.5">
      <c r="B916" s="33"/>
      <c r="C916" s="33"/>
      <c r="D916" s="33"/>
      <c r="E916" s="33"/>
      <c r="N916" s="1"/>
      <c r="O916" s="1"/>
      <c r="P916" s="1"/>
    </row>
    <row r="917" spans="2:16" ht="14.5">
      <c r="B917" s="33"/>
      <c r="C917" s="33"/>
      <c r="D917" s="33"/>
      <c r="E917" s="33"/>
      <c r="N917" s="1"/>
      <c r="O917" s="1"/>
      <c r="P917" s="1"/>
    </row>
    <row r="918" spans="2:16" ht="14.5">
      <c r="B918" s="33"/>
      <c r="C918" s="33"/>
      <c r="D918" s="33"/>
      <c r="E918" s="33"/>
      <c r="N918" s="1"/>
      <c r="O918" s="1"/>
      <c r="P918" s="1"/>
    </row>
    <row r="919" spans="2:16" ht="14.5">
      <c r="B919" s="33"/>
      <c r="C919" s="33"/>
      <c r="D919" s="33"/>
      <c r="E919" s="33"/>
      <c r="N919" s="1"/>
      <c r="O919" s="1"/>
      <c r="P919" s="1"/>
    </row>
    <row r="920" spans="2:16" ht="14.5">
      <c r="B920" s="33"/>
      <c r="C920" s="33"/>
      <c r="D920" s="33"/>
      <c r="E920" s="33"/>
      <c r="N920" s="1"/>
      <c r="O920" s="1"/>
      <c r="P920" s="1"/>
    </row>
    <row r="921" spans="2:16" ht="14.5">
      <c r="B921" s="33"/>
      <c r="C921" s="33"/>
      <c r="D921" s="33"/>
      <c r="E921" s="33"/>
      <c r="N921" s="1"/>
      <c r="O921" s="1"/>
      <c r="P921" s="1"/>
    </row>
    <row r="922" spans="2:16" ht="14.5">
      <c r="B922" s="33"/>
      <c r="C922" s="33"/>
      <c r="D922" s="33"/>
      <c r="E922" s="33"/>
      <c r="N922" s="1"/>
      <c r="O922" s="1"/>
      <c r="P922" s="1"/>
    </row>
    <row r="923" spans="2:16" ht="14.5">
      <c r="B923" s="33"/>
      <c r="C923" s="33"/>
      <c r="D923" s="33"/>
      <c r="E923" s="33"/>
      <c r="N923" s="1"/>
      <c r="O923" s="1"/>
      <c r="P923" s="1"/>
    </row>
    <row r="924" spans="2:16" ht="14.5">
      <c r="B924" s="33"/>
      <c r="C924" s="33"/>
      <c r="D924" s="33"/>
      <c r="E924" s="33"/>
      <c r="N924" s="1"/>
      <c r="O924" s="1"/>
      <c r="P924" s="1"/>
    </row>
    <row r="925" spans="2:16" ht="14.5">
      <c r="B925" s="33"/>
      <c r="C925" s="33"/>
      <c r="D925" s="33"/>
      <c r="E925" s="33"/>
      <c r="N925" s="1"/>
      <c r="O925" s="1"/>
      <c r="P925" s="1"/>
    </row>
    <row r="926" spans="2:16" ht="14.5">
      <c r="B926" s="33"/>
      <c r="C926" s="33"/>
      <c r="D926" s="33"/>
      <c r="E926" s="33"/>
      <c r="N926" s="1"/>
      <c r="O926" s="1"/>
      <c r="P926" s="1"/>
    </row>
    <row r="927" spans="2:16" ht="14.5">
      <c r="B927" s="33"/>
      <c r="C927" s="33"/>
      <c r="D927" s="33"/>
      <c r="E927" s="33"/>
      <c r="N927" s="1"/>
      <c r="O927" s="1"/>
      <c r="P927" s="1"/>
    </row>
    <row r="928" spans="2:16" ht="14.5">
      <c r="B928" s="33"/>
      <c r="C928" s="33"/>
      <c r="D928" s="33"/>
      <c r="E928" s="33"/>
      <c r="N928" s="1"/>
      <c r="O928" s="1"/>
      <c r="P928" s="1"/>
    </row>
    <row r="929" spans="2:16" ht="14.5">
      <c r="B929" s="33"/>
      <c r="C929" s="33"/>
      <c r="D929" s="33"/>
      <c r="E929" s="33"/>
      <c r="N929" s="1"/>
      <c r="O929" s="1"/>
      <c r="P929" s="1"/>
    </row>
    <row r="930" spans="2:16" ht="14.5">
      <c r="B930" s="33"/>
      <c r="C930" s="33"/>
      <c r="D930" s="33"/>
      <c r="E930" s="33"/>
      <c r="N930" s="1"/>
      <c r="O930" s="1"/>
      <c r="P930" s="1"/>
    </row>
    <row r="931" spans="2:16" ht="14.5">
      <c r="B931" s="33"/>
      <c r="C931" s="33"/>
      <c r="D931" s="33"/>
      <c r="E931" s="33"/>
      <c r="N931" s="1"/>
      <c r="O931" s="1"/>
      <c r="P931" s="1"/>
    </row>
    <row r="932" spans="2:16" ht="14.5">
      <c r="B932" s="33"/>
      <c r="C932" s="33"/>
      <c r="D932" s="33"/>
      <c r="E932" s="33"/>
      <c r="N932" s="1"/>
      <c r="O932" s="1"/>
      <c r="P932" s="1"/>
    </row>
    <row r="933" spans="2:16" ht="14.5">
      <c r="B933" s="33"/>
      <c r="C933" s="33"/>
      <c r="D933" s="33"/>
      <c r="E933" s="33"/>
      <c r="N933" s="1"/>
      <c r="O933" s="1"/>
      <c r="P933" s="1"/>
    </row>
    <row r="934" spans="2:16" ht="14.5">
      <c r="B934" s="33"/>
      <c r="C934" s="33"/>
      <c r="D934" s="33"/>
      <c r="E934" s="33"/>
      <c r="N934" s="1"/>
      <c r="O934" s="1"/>
      <c r="P934" s="1"/>
    </row>
    <row r="935" spans="2:16" ht="14.5">
      <c r="B935" s="33"/>
      <c r="C935" s="33"/>
      <c r="D935" s="33"/>
      <c r="E935" s="33"/>
      <c r="N935" s="1"/>
      <c r="O935" s="1"/>
      <c r="P935" s="1"/>
    </row>
    <row r="936" spans="2:16" ht="14.5">
      <c r="B936" s="33"/>
      <c r="C936" s="33"/>
      <c r="D936" s="33"/>
      <c r="E936" s="33"/>
      <c r="N936" s="1"/>
      <c r="O936" s="1"/>
      <c r="P936" s="1"/>
    </row>
    <row r="937" spans="2:16" ht="14.5">
      <c r="B937" s="33"/>
      <c r="C937" s="33"/>
      <c r="D937" s="33"/>
      <c r="E937" s="33"/>
      <c r="N937" s="1"/>
      <c r="O937" s="1"/>
      <c r="P937" s="1"/>
    </row>
    <row r="938" spans="2:16" ht="14.5">
      <c r="B938" s="33"/>
      <c r="C938" s="33"/>
      <c r="D938" s="33"/>
      <c r="E938" s="33"/>
      <c r="N938" s="1"/>
      <c r="O938" s="1"/>
      <c r="P938" s="1"/>
    </row>
    <row r="939" spans="2:16" ht="14.5">
      <c r="B939" s="33"/>
      <c r="C939" s="33"/>
      <c r="D939" s="33"/>
      <c r="E939" s="33"/>
      <c r="N939" s="1"/>
      <c r="O939" s="1"/>
      <c r="P939" s="1"/>
    </row>
    <row r="940" spans="2:16" ht="14.5">
      <c r="B940" s="33"/>
      <c r="C940" s="33"/>
      <c r="D940" s="33"/>
      <c r="E940" s="33"/>
      <c r="N940" s="1"/>
      <c r="O940" s="1"/>
      <c r="P940" s="1"/>
    </row>
    <row r="941" spans="2:16" ht="14.5">
      <c r="B941" s="33"/>
      <c r="C941" s="33"/>
      <c r="D941" s="33"/>
      <c r="E941" s="33"/>
      <c r="N941" s="1"/>
      <c r="O941" s="1"/>
      <c r="P941" s="1"/>
    </row>
    <row r="942" spans="2:16" ht="14.5">
      <c r="B942" s="33"/>
      <c r="C942" s="33"/>
      <c r="D942" s="33"/>
      <c r="E942" s="33"/>
      <c r="N942" s="1"/>
      <c r="O942" s="1"/>
      <c r="P942" s="1"/>
    </row>
    <row r="943" spans="2:16" ht="14.5">
      <c r="B943" s="33"/>
      <c r="C943" s="33"/>
      <c r="D943" s="33"/>
      <c r="E943" s="33"/>
      <c r="N943" s="1"/>
      <c r="O943" s="1"/>
      <c r="P943" s="1"/>
    </row>
    <row r="944" spans="2:16" ht="14.5">
      <c r="B944" s="33"/>
      <c r="C944" s="33"/>
      <c r="D944" s="33"/>
      <c r="E944" s="33"/>
      <c r="N944" s="1"/>
      <c r="O944" s="1"/>
      <c r="P944" s="1"/>
    </row>
    <row r="945" spans="2:16" ht="14.5">
      <c r="B945" s="33"/>
      <c r="C945" s="33"/>
      <c r="D945" s="33"/>
      <c r="E945" s="33"/>
      <c r="N945" s="1"/>
      <c r="O945" s="1"/>
      <c r="P945" s="1"/>
    </row>
    <row r="946" spans="2:16" ht="14.5">
      <c r="B946" s="33"/>
      <c r="C946" s="33"/>
      <c r="D946" s="33"/>
      <c r="E946" s="33"/>
      <c r="N946" s="1"/>
      <c r="O946" s="1"/>
      <c r="P946" s="1"/>
    </row>
    <row r="947" spans="2:16" ht="14.5">
      <c r="B947" s="33"/>
      <c r="C947" s="33"/>
      <c r="D947" s="33"/>
      <c r="E947" s="33"/>
      <c r="N947" s="1"/>
      <c r="O947" s="1"/>
      <c r="P947" s="1"/>
    </row>
    <row r="948" spans="2:16" ht="14.5">
      <c r="B948" s="33"/>
      <c r="C948" s="33"/>
      <c r="D948" s="33"/>
      <c r="E948" s="33"/>
      <c r="N948" s="1"/>
      <c r="O948" s="1"/>
      <c r="P948" s="1"/>
    </row>
    <row r="949" spans="2:16" ht="14.5">
      <c r="B949" s="33"/>
      <c r="C949" s="33"/>
      <c r="D949" s="33"/>
      <c r="E949" s="33"/>
      <c r="N949" s="1"/>
      <c r="O949" s="1"/>
      <c r="P949" s="1"/>
    </row>
    <row r="950" spans="2:16" ht="14.5">
      <c r="B950" s="33"/>
      <c r="C950" s="33"/>
      <c r="D950" s="33"/>
      <c r="E950" s="33"/>
      <c r="N950" s="1"/>
      <c r="O950" s="1"/>
      <c r="P950" s="1"/>
    </row>
    <row r="951" spans="2:16" ht="14.5">
      <c r="B951" s="33"/>
      <c r="C951" s="33"/>
      <c r="D951" s="33"/>
      <c r="E951" s="33"/>
      <c r="N951" s="1"/>
      <c r="O951" s="1"/>
      <c r="P951" s="1"/>
    </row>
    <row r="952" spans="2:16" ht="14.5">
      <c r="B952" s="33"/>
      <c r="C952" s="33"/>
      <c r="D952" s="33"/>
      <c r="E952" s="33"/>
      <c r="N952" s="1"/>
      <c r="O952" s="1"/>
      <c r="P952" s="1"/>
    </row>
    <row r="953" spans="2:16" ht="14.5">
      <c r="B953" s="33"/>
      <c r="C953" s="33"/>
      <c r="D953" s="33"/>
      <c r="E953" s="33"/>
      <c r="N953" s="1"/>
      <c r="O953" s="1"/>
      <c r="P953" s="1"/>
    </row>
    <row r="954" spans="2:16" ht="14.5">
      <c r="B954" s="33"/>
      <c r="C954" s="33"/>
      <c r="D954" s="33"/>
      <c r="E954" s="33"/>
      <c r="N954" s="1"/>
      <c r="O954" s="1"/>
      <c r="P954" s="1"/>
    </row>
    <row r="955" spans="2:16" ht="14.5">
      <c r="B955" s="33"/>
      <c r="C955" s="33"/>
      <c r="D955" s="33"/>
      <c r="E955" s="33"/>
      <c r="N955" s="1"/>
      <c r="O955" s="1"/>
      <c r="P955" s="1"/>
    </row>
    <row r="956" spans="2:16" ht="14.5">
      <c r="B956" s="33"/>
      <c r="C956" s="33"/>
      <c r="D956" s="33"/>
      <c r="E956" s="33"/>
      <c r="N956" s="1"/>
      <c r="O956" s="1"/>
      <c r="P956" s="1"/>
    </row>
    <row r="957" spans="2:16" ht="14.5">
      <c r="B957" s="33"/>
      <c r="C957" s="33"/>
      <c r="D957" s="33"/>
      <c r="E957" s="33"/>
      <c r="N957" s="1"/>
      <c r="O957" s="1"/>
      <c r="P957" s="1"/>
    </row>
    <row r="958" spans="2:16" ht="14.5">
      <c r="B958" s="33"/>
      <c r="C958" s="33"/>
      <c r="D958" s="33"/>
      <c r="E958" s="33"/>
      <c r="N958" s="1"/>
      <c r="O958" s="1"/>
      <c r="P958" s="1"/>
    </row>
    <row r="959" spans="2:16" ht="14.5">
      <c r="B959" s="33"/>
      <c r="C959" s="33"/>
      <c r="D959" s="33"/>
      <c r="E959" s="33"/>
      <c r="N959" s="1"/>
      <c r="O959" s="1"/>
      <c r="P959" s="1"/>
    </row>
    <row r="960" spans="2:16" ht="14.5">
      <c r="B960" s="33"/>
      <c r="C960" s="33"/>
      <c r="D960" s="33"/>
      <c r="E960" s="33"/>
      <c r="N960" s="1"/>
      <c r="O960" s="1"/>
      <c r="P960" s="1"/>
    </row>
    <row r="961" spans="2:16" ht="14.5">
      <c r="B961" s="33"/>
      <c r="C961" s="33"/>
      <c r="D961" s="33"/>
      <c r="E961" s="33"/>
      <c r="N961" s="1"/>
      <c r="O961" s="1"/>
      <c r="P961" s="1"/>
    </row>
    <row r="962" spans="2:16" ht="14.5">
      <c r="B962" s="33"/>
      <c r="C962" s="33"/>
      <c r="D962" s="33"/>
      <c r="E962" s="33"/>
      <c r="N962" s="1"/>
      <c r="O962" s="1"/>
      <c r="P962" s="1"/>
    </row>
    <row r="963" spans="2:16" ht="14.5">
      <c r="B963" s="33"/>
      <c r="C963" s="33"/>
      <c r="D963" s="33"/>
      <c r="E963" s="33"/>
      <c r="N963" s="1"/>
      <c r="O963" s="1"/>
      <c r="P963" s="1"/>
    </row>
    <row r="964" spans="2:16" ht="14.5">
      <c r="B964" s="33"/>
      <c r="C964" s="33"/>
      <c r="D964" s="33"/>
      <c r="E964" s="33"/>
      <c r="N964" s="1"/>
      <c r="O964" s="1"/>
      <c r="P964" s="1"/>
    </row>
    <row r="965" spans="2:16" ht="14.5">
      <c r="B965" s="33"/>
      <c r="C965" s="33"/>
      <c r="D965" s="33"/>
      <c r="E965" s="33"/>
      <c r="N965" s="1"/>
      <c r="O965" s="1"/>
      <c r="P965" s="1"/>
    </row>
    <row r="966" spans="2:16" ht="14.5">
      <c r="B966" s="33"/>
      <c r="C966" s="33"/>
      <c r="D966" s="33"/>
      <c r="E966" s="33"/>
      <c r="N966" s="1"/>
      <c r="O966" s="1"/>
      <c r="P966" s="1"/>
    </row>
    <row r="967" spans="2:16" ht="14.5">
      <c r="B967" s="33"/>
      <c r="C967" s="33"/>
      <c r="D967" s="33"/>
      <c r="E967" s="33"/>
      <c r="N967" s="1"/>
      <c r="O967" s="1"/>
      <c r="P967" s="1"/>
    </row>
    <row r="968" spans="2:16" ht="14.5">
      <c r="B968" s="33"/>
      <c r="C968" s="33"/>
      <c r="D968" s="33"/>
      <c r="E968" s="33"/>
      <c r="N968" s="1"/>
      <c r="O968" s="1"/>
      <c r="P968" s="1"/>
    </row>
    <row r="969" spans="2:16" ht="14.5">
      <c r="B969" s="33"/>
      <c r="C969" s="33"/>
      <c r="D969" s="33"/>
      <c r="E969" s="33"/>
      <c r="N969" s="1"/>
      <c r="O969" s="1"/>
      <c r="P969" s="1"/>
    </row>
    <row r="970" spans="2:16" ht="14.5">
      <c r="B970" s="33"/>
      <c r="C970" s="33"/>
      <c r="D970" s="33"/>
      <c r="E970" s="33"/>
      <c r="N970" s="1"/>
      <c r="O970" s="1"/>
      <c r="P970" s="1"/>
    </row>
    <row r="971" spans="2:16" ht="14.5">
      <c r="B971" s="33"/>
      <c r="C971" s="33"/>
      <c r="D971" s="33"/>
      <c r="E971" s="33"/>
      <c r="N971" s="1"/>
      <c r="O971" s="1"/>
      <c r="P971" s="1"/>
    </row>
    <row r="972" spans="2:16" ht="14.5">
      <c r="B972" s="33"/>
      <c r="C972" s="33"/>
      <c r="D972" s="33"/>
      <c r="E972" s="33"/>
      <c r="N972" s="1"/>
      <c r="O972" s="1"/>
      <c r="P972" s="1"/>
    </row>
    <row r="973" spans="2:16" ht="14.5">
      <c r="B973" s="33"/>
      <c r="C973" s="33"/>
      <c r="D973" s="33"/>
      <c r="E973" s="33"/>
      <c r="N973" s="1"/>
      <c r="O973" s="1"/>
      <c r="P973" s="1"/>
    </row>
    <row r="974" spans="2:16" ht="14.5">
      <c r="B974" s="33"/>
      <c r="C974" s="33"/>
      <c r="D974" s="33"/>
      <c r="E974" s="33"/>
      <c r="N974" s="1"/>
      <c r="O974" s="1"/>
      <c r="P974" s="1"/>
    </row>
    <row r="975" spans="2:16" ht="14.5">
      <c r="B975" s="33"/>
      <c r="C975" s="33"/>
      <c r="D975" s="33"/>
      <c r="E975" s="33"/>
      <c r="N975" s="1"/>
      <c r="O975" s="1"/>
      <c r="P975" s="1"/>
    </row>
    <row r="976" spans="2:16" ht="14.5">
      <c r="B976" s="33"/>
      <c r="C976" s="33"/>
      <c r="D976" s="33"/>
      <c r="E976" s="33"/>
      <c r="N976" s="1"/>
      <c r="O976" s="1"/>
      <c r="P976" s="1"/>
    </row>
    <row r="977" spans="2:16" ht="14.5">
      <c r="B977" s="33"/>
      <c r="C977" s="33"/>
      <c r="D977" s="33"/>
      <c r="E977" s="33"/>
      <c r="N977" s="1"/>
      <c r="O977" s="1"/>
      <c r="P977" s="1"/>
    </row>
    <row r="978" spans="2:16" ht="14.5">
      <c r="B978" s="33"/>
      <c r="C978" s="33"/>
      <c r="D978" s="33"/>
      <c r="E978" s="33"/>
      <c r="N978" s="1"/>
      <c r="O978" s="1"/>
      <c r="P978" s="1"/>
    </row>
    <row r="979" spans="2:16" ht="14.5">
      <c r="B979" s="33"/>
      <c r="C979" s="33"/>
      <c r="D979" s="33"/>
      <c r="E979" s="33"/>
      <c r="N979" s="1"/>
      <c r="O979" s="1"/>
      <c r="P979" s="1"/>
    </row>
    <row r="980" spans="2:16" ht="14.5">
      <c r="B980" s="33"/>
      <c r="C980" s="33"/>
      <c r="D980" s="33"/>
      <c r="E980" s="33"/>
      <c r="N980" s="1"/>
      <c r="O980" s="1"/>
      <c r="P980" s="1"/>
    </row>
    <row r="981" spans="2:16" ht="14.5">
      <c r="B981" s="33"/>
      <c r="C981" s="33"/>
      <c r="D981" s="33"/>
      <c r="E981" s="33"/>
      <c r="N981" s="1"/>
      <c r="O981" s="1"/>
      <c r="P981" s="1"/>
    </row>
    <row r="982" spans="2:16" ht="14.5">
      <c r="B982" s="33"/>
      <c r="C982" s="33"/>
      <c r="D982" s="33"/>
      <c r="E982" s="33"/>
      <c r="N982" s="1"/>
      <c r="O982" s="1"/>
      <c r="P982" s="1"/>
    </row>
    <row r="983" spans="2:16" ht="14.5">
      <c r="B983" s="33"/>
      <c r="C983" s="33"/>
      <c r="D983" s="33"/>
      <c r="E983" s="33"/>
      <c r="N983" s="1"/>
      <c r="O983" s="1"/>
      <c r="P983" s="1"/>
    </row>
    <row r="984" spans="2:16" ht="14.5">
      <c r="B984" s="33"/>
      <c r="C984" s="33"/>
      <c r="D984" s="33"/>
      <c r="E984" s="33"/>
      <c r="N984" s="1"/>
      <c r="O984" s="1"/>
      <c r="P984" s="1"/>
    </row>
    <row r="985" spans="2:16" ht="14.5">
      <c r="B985" s="33"/>
      <c r="C985" s="33"/>
      <c r="D985" s="33"/>
      <c r="E985" s="33"/>
      <c r="N985" s="1"/>
      <c r="O985" s="1"/>
      <c r="P985" s="1"/>
    </row>
    <row r="986" spans="2:16" ht="14.5">
      <c r="B986" s="33"/>
      <c r="C986" s="33"/>
      <c r="D986" s="33"/>
      <c r="E986" s="33"/>
      <c r="N986" s="1"/>
      <c r="O986" s="1"/>
      <c r="P986" s="1"/>
    </row>
    <row r="987" spans="2:16" ht="14.5">
      <c r="B987" s="33"/>
      <c r="C987" s="33"/>
      <c r="D987" s="33"/>
      <c r="E987" s="33"/>
      <c r="N987" s="1"/>
      <c r="O987" s="1"/>
      <c r="P987" s="1"/>
    </row>
    <row r="988" spans="2:16" ht="14.5">
      <c r="B988" s="33"/>
      <c r="C988" s="33"/>
      <c r="D988" s="33"/>
      <c r="E988" s="33"/>
      <c r="N988" s="1"/>
      <c r="O988" s="1"/>
      <c r="P988" s="1"/>
    </row>
    <row r="989" spans="2:16" ht="14.5">
      <c r="B989" s="33"/>
      <c r="C989" s="33"/>
      <c r="D989" s="33"/>
      <c r="E989" s="33"/>
      <c r="N989" s="1"/>
      <c r="O989" s="1"/>
      <c r="P989" s="1"/>
    </row>
    <row r="990" spans="2:16" ht="14.5">
      <c r="B990" s="33"/>
      <c r="C990" s="33"/>
      <c r="D990" s="33"/>
      <c r="E990" s="33"/>
      <c r="N990" s="1"/>
      <c r="O990" s="1"/>
      <c r="P990" s="1"/>
    </row>
    <row r="991" spans="2:16" ht="14.5">
      <c r="B991" s="33"/>
      <c r="C991" s="33"/>
      <c r="D991" s="33"/>
      <c r="E991" s="33"/>
      <c r="N991" s="1"/>
      <c r="O991" s="1"/>
      <c r="P991" s="1"/>
    </row>
    <row r="992" spans="2:16" ht="14.5">
      <c r="B992" s="33"/>
      <c r="C992" s="33"/>
      <c r="D992" s="33"/>
      <c r="E992" s="33"/>
      <c r="N992" s="1"/>
      <c r="O992" s="1"/>
      <c r="P992" s="1"/>
    </row>
    <row r="993" spans="2:16" ht="14.5">
      <c r="B993" s="33"/>
      <c r="C993" s="33"/>
      <c r="D993" s="33"/>
      <c r="E993" s="33"/>
      <c r="N993" s="1"/>
      <c r="O993" s="1"/>
      <c r="P993" s="1"/>
    </row>
    <row r="994" spans="2:16" ht="14.5">
      <c r="B994" s="33"/>
      <c r="C994" s="33"/>
      <c r="D994" s="33"/>
      <c r="E994" s="33"/>
      <c r="N994" s="1"/>
      <c r="O994" s="1"/>
      <c r="P994" s="1"/>
    </row>
    <row r="995" spans="2:16" ht="14.5">
      <c r="B995" s="33"/>
      <c r="C995" s="33"/>
      <c r="D995" s="33"/>
      <c r="E995" s="33"/>
      <c r="N995" s="1"/>
      <c r="O995" s="1"/>
      <c r="P995" s="1"/>
    </row>
    <row r="996" spans="2:16" ht="14.5">
      <c r="B996" s="33"/>
      <c r="C996" s="33"/>
      <c r="D996" s="33"/>
      <c r="E996" s="33"/>
      <c r="N996" s="1"/>
      <c r="O996" s="1"/>
      <c r="P996" s="1"/>
    </row>
    <row r="997" spans="2:16" ht="14.5">
      <c r="B997" s="33"/>
      <c r="C997" s="33"/>
      <c r="D997" s="33"/>
      <c r="E997" s="33"/>
      <c r="N997" s="1"/>
      <c r="O997" s="1"/>
      <c r="P997" s="1"/>
    </row>
    <row r="998" spans="2:16" ht="14.5">
      <c r="B998" s="33"/>
      <c r="C998" s="33"/>
      <c r="D998" s="33"/>
      <c r="E998" s="33"/>
      <c r="N998" s="1"/>
      <c r="O998" s="1"/>
      <c r="P998" s="1"/>
    </row>
    <row r="999" spans="2:16" ht="14.5">
      <c r="B999" s="33"/>
      <c r="C999" s="33"/>
      <c r="D999" s="33"/>
      <c r="E999" s="33"/>
      <c r="N999" s="1"/>
      <c r="O999" s="1"/>
      <c r="P999" s="1"/>
    </row>
    <row r="1000" spans="2:16" ht="14.5">
      <c r="B1000" s="33"/>
      <c r="C1000" s="33"/>
      <c r="D1000" s="33"/>
      <c r="E1000" s="33"/>
      <c r="N1000" s="1"/>
      <c r="O1000" s="1"/>
      <c r="P1000" s="1"/>
    </row>
    <row r="1001" spans="2:16" ht="14.5">
      <c r="B1001" s="33"/>
      <c r="C1001" s="33"/>
      <c r="D1001" s="33"/>
      <c r="E1001" s="33"/>
      <c r="N1001" s="1"/>
      <c r="O1001" s="1"/>
      <c r="P1001" s="1"/>
    </row>
    <row r="1002" spans="2:16" ht="14.5">
      <c r="B1002" s="33"/>
      <c r="C1002" s="33"/>
      <c r="D1002" s="33"/>
      <c r="E1002" s="33"/>
      <c r="N1002" s="1"/>
      <c r="O1002" s="1"/>
      <c r="P1002" s="1"/>
    </row>
    <row r="1003" spans="2:16" ht="14.5">
      <c r="B1003" s="33"/>
      <c r="C1003" s="33"/>
      <c r="D1003" s="33"/>
      <c r="E1003" s="33"/>
      <c r="N1003" s="1"/>
      <c r="O1003" s="1"/>
      <c r="P1003" s="1"/>
    </row>
    <row r="1004" spans="2:16" ht="15" customHeight="1">
      <c r="B1004" s="33"/>
      <c r="C1004" s="33"/>
      <c r="D1004" s="33"/>
      <c r="E1004" s="33"/>
      <c r="N1004" s="1"/>
      <c r="O1004" s="1"/>
      <c r="P1004" s="1"/>
    </row>
    <row r="1005" spans="2:16" ht="15" customHeight="1">
      <c r="B1005" s="33"/>
      <c r="C1005" s="33"/>
      <c r="D1005" s="33"/>
      <c r="E1005" s="33"/>
      <c r="N1005" s="1"/>
      <c r="O1005" s="1"/>
      <c r="P1005" s="1"/>
    </row>
    <row r="1006" spans="2:16" ht="15" customHeight="1">
      <c r="B1006" s="33"/>
      <c r="C1006" s="33"/>
      <c r="D1006" s="33"/>
      <c r="E1006" s="33"/>
      <c r="N1006" s="1"/>
      <c r="O1006" s="1"/>
      <c r="P1006" s="1"/>
    </row>
    <row r="1007" spans="2:16" ht="15" customHeight="1">
      <c r="B1007" s="33"/>
      <c r="C1007" s="33"/>
      <c r="D1007" s="33"/>
      <c r="E1007" s="33"/>
      <c r="N1007" s="1"/>
      <c r="O1007" s="1"/>
      <c r="P1007" s="1"/>
    </row>
    <row r="1008" spans="2:16" ht="15" customHeight="1">
      <c r="B1008" s="33"/>
      <c r="C1008" s="33"/>
      <c r="D1008" s="33"/>
      <c r="E1008" s="33"/>
      <c r="N1008" s="1"/>
      <c r="O1008" s="1"/>
      <c r="P1008" s="1"/>
    </row>
    <row r="1009" spans="2:16" ht="15" customHeight="1">
      <c r="B1009" s="33"/>
      <c r="C1009" s="33"/>
      <c r="D1009" s="33"/>
      <c r="E1009" s="33"/>
      <c r="N1009" s="1"/>
      <c r="O1009" s="1"/>
      <c r="P1009" s="1"/>
    </row>
    <row r="1010" spans="2:16" ht="15" customHeight="1">
      <c r="B1010" s="33"/>
      <c r="C1010" s="33"/>
      <c r="D1010" s="33"/>
      <c r="E1010" s="33"/>
      <c r="N1010" s="1"/>
      <c r="O1010" s="1"/>
      <c r="P1010" s="1"/>
    </row>
    <row r="1011" spans="2:16" ht="15" customHeight="1">
      <c r="B1011" s="33"/>
      <c r="C1011" s="33"/>
      <c r="D1011" s="33"/>
      <c r="E1011" s="33"/>
      <c r="N1011" s="1"/>
      <c r="O1011" s="1"/>
      <c r="P1011" s="1"/>
    </row>
    <row r="1012" spans="2:16" ht="15" customHeight="1">
      <c r="B1012" s="33"/>
      <c r="C1012" s="33"/>
      <c r="D1012" s="33"/>
      <c r="E1012" s="33"/>
      <c r="N1012" s="1"/>
      <c r="O1012" s="1"/>
      <c r="P1012" s="1"/>
    </row>
    <row r="1013" spans="2:16" ht="15" customHeight="1">
      <c r="B1013" s="33"/>
      <c r="C1013" s="33"/>
      <c r="D1013" s="33"/>
      <c r="E1013" s="33"/>
      <c r="N1013" s="1"/>
      <c r="O1013" s="1"/>
      <c r="P1013" s="1"/>
    </row>
    <row r="1014" spans="2:16" ht="15" customHeight="1">
      <c r="B1014" s="33"/>
      <c r="C1014" s="33"/>
      <c r="D1014" s="33"/>
      <c r="E1014" s="33"/>
      <c r="N1014" s="1"/>
      <c r="O1014" s="1"/>
      <c r="P1014" s="1"/>
    </row>
    <row r="1015" spans="2:16" ht="15" customHeight="1">
      <c r="N1015" s="1"/>
      <c r="O1015" s="1"/>
    </row>
    <row r="1016" spans="2:16" ht="15" customHeight="1">
      <c r="N1016" s="1"/>
      <c r="O1016" s="1"/>
    </row>
    <row r="1017" spans="2:16" ht="15" customHeight="1">
      <c r="N1017" s="1"/>
      <c r="O1017" s="1"/>
    </row>
    <row r="1018" spans="2:16" ht="15" customHeight="1">
      <c r="N1018" s="1"/>
      <c r="O1018" s="1"/>
    </row>
  </sheetData>
  <mergeCells count="12">
    <mergeCell ref="I67:O67"/>
    <mergeCell ref="P67:P68"/>
    <mergeCell ref="I44:N44"/>
    <mergeCell ref="O44:O45"/>
    <mergeCell ref="A1:E1"/>
    <mergeCell ref="F1:F2"/>
    <mergeCell ref="I1:O1"/>
    <mergeCell ref="P1:P2"/>
    <mergeCell ref="P23:P24"/>
    <mergeCell ref="A25:E25"/>
    <mergeCell ref="F25:F26"/>
    <mergeCell ref="I23:O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outlinePr summaryBelow="0" summaryRight="0"/>
  </sheetPr>
  <dimension ref="A1:P1015"/>
  <sheetViews>
    <sheetView workbookViewId="0">
      <selection activeCell="G4" sqref="G4"/>
    </sheetView>
  </sheetViews>
  <sheetFormatPr defaultColWidth="14.453125" defaultRowHeight="15" customHeight="1"/>
  <cols>
    <col min="1" max="1" width="16.453125" customWidth="1"/>
  </cols>
  <sheetData>
    <row r="1" spans="1:16" ht="14.5">
      <c r="A1" s="94" t="s">
        <v>16</v>
      </c>
      <c r="B1" s="95"/>
      <c r="C1" s="95"/>
      <c r="D1" s="95"/>
      <c r="E1" s="96"/>
      <c r="F1" s="97" t="s">
        <v>27</v>
      </c>
      <c r="I1" s="99" t="s">
        <v>24</v>
      </c>
      <c r="J1" s="100"/>
      <c r="K1" s="100"/>
      <c r="L1" s="100"/>
      <c r="M1" s="100"/>
      <c r="N1" s="100"/>
      <c r="O1" s="101"/>
      <c r="P1" s="102" t="s">
        <v>27</v>
      </c>
    </row>
    <row r="2" spans="1:16" ht="14.5">
      <c r="A2" s="72" t="s">
        <v>28</v>
      </c>
      <c r="B2" s="72" t="s">
        <v>29</v>
      </c>
      <c r="C2" s="72" t="s">
        <v>30</v>
      </c>
      <c r="D2" s="72" t="s">
        <v>31</v>
      </c>
      <c r="E2" s="72" t="s">
        <v>32</v>
      </c>
      <c r="F2" s="98"/>
      <c r="I2" s="69" t="s">
        <v>28</v>
      </c>
      <c r="J2" s="69">
        <v>4</v>
      </c>
      <c r="K2" s="69">
        <v>6</v>
      </c>
      <c r="L2" s="69">
        <v>8</v>
      </c>
      <c r="M2" s="69">
        <v>10</v>
      </c>
      <c r="N2" s="70">
        <v>12</v>
      </c>
      <c r="O2" s="70">
        <v>14</v>
      </c>
      <c r="P2" s="103"/>
    </row>
    <row r="3" spans="1:16" ht="14.5">
      <c r="A3" s="26" t="s">
        <v>18</v>
      </c>
      <c r="B3" s="27">
        <f>-SUMIFS(KELUAR!$E:$E,KELUAR!$B:$B,"KUTUBARU",KELUAR!$C:$C,"MAHOGANY",KELUAR!$D:$D,"S")+SUMIFS(MASUK!$E:$E,MASUK!$B:$B,"KUTUBARU",MASUK!$C:$C,"MAHOGANY",MASUK!$D:$D,"S")+SO!B3</f>
        <v>0</v>
      </c>
      <c r="C3" s="27">
        <f>-SUMIFS(KELUAR!$E:$E,KELUAR!$B:$B,"KUTUBARU",KELUAR!$C:$C,"MAHOGANY",KELUAR!$D:$D,"M")+SUMIFS(MASUK!$E:$E,MASUK!$B:$B,"KUTUBARU",MASUK!$C:$C,"MAHOGANY",MASUK!$D:$D,"M")+SO!C3</f>
        <v>0</v>
      </c>
      <c r="D3" s="27">
        <f>-SUMIFS(KELUAR!$E:$E,KELUAR!$B:$B,"KUTUBARU",KELUAR!$C:$C,"MAHOGANY",KELUAR!$D:$D,"L")+SUMIFS(MASUK!$E:$E,MASUK!$B:$B,"KUTUBARU",MASUK!$C:$C,"MAHOGANY",MASUK!$D:$D,"L")+SO!D3</f>
        <v>0</v>
      </c>
      <c r="E3" s="27">
        <f>-SUMIFS(KELUAR!$E:$E,KELUAR!$B:$B,"KUTUBARU",KELUAR!$C:$C,"MAHOGANY",KELUAR!$D:$D,"XL")+SUMIFS(MASUK!$E:$E,MASUK!$B:$B,"KUTUBARU",MASUK!$C:$C,"MAHOGANY",MASUK!$D:$D,"XL")+SO!E3</f>
        <v>0</v>
      </c>
      <c r="F3" s="25">
        <f t="shared" ref="F3:F15" si="0">SUM(B3:E3)</f>
        <v>0</v>
      </c>
      <c r="I3" s="26" t="s">
        <v>18</v>
      </c>
      <c r="J3" s="27">
        <f>-SUMIFS(KELUAR!$E:$E,KELUAR!$B:$B,"GOTIK",KELUAR!$C:$C,"MAHOGANY",KELUAR!$D:$D,"4")+SUMIFS(MASUK!$E:$E,MASUK!$B:$B,"GOTIK",MASUK!$C:$C,"MAHOGANY",MASUK!$D:$D,"4")+SO!J3</f>
        <v>0</v>
      </c>
      <c r="K3" s="27">
        <f>-SUMIFS(KELUAR!$E:$E,KELUAR!$B:$B,"GOTIK",KELUAR!$C:$C,"MAHOGANY",KELUAR!$D:$D,"6")+SUMIFS(MASUK!$E:$E,MASUK!$B:$B,"GOTIK",MASUK!$C:$C,"MAHOGANY",MASUK!$D:$D,"6")+SO!K3</f>
        <v>0</v>
      </c>
      <c r="L3" s="27">
        <f>-SUMIFS(KELUAR!$E:$E,KELUAR!$B:$B,"GOTIK",KELUAR!$C:$C,"MAHOGANY",KELUAR!$D:$D,"8")+SUMIFS(MASUK!$E:$E,MASUK!$B:$B,"GOTIK",MASUK!$C:$C,"MAHOGANY",MASUK!$D:$D,"8")+SO!L3</f>
        <v>0</v>
      </c>
      <c r="M3" s="27">
        <f>-SUMIFS(KELUAR!$E:$E,KELUAR!$B:$B,"GOTIK",KELUAR!$C:$C,"MAHOGANY",KELUAR!$D:$D,"10")+SUMIFS(MASUK!$E:$E,MASUK!$B:$B,"GOTIK",MASUK!$C:$C,"MAHOGANY",MASUK!$D:$D,"10")+SO!M3</f>
        <v>0</v>
      </c>
      <c r="N3" s="27">
        <f>-SUMIFS(KELUAR!$E:$E,KELUAR!$B:$B,"GOTIK",KELUAR!$C:$C,"MAHOGANY",KELUAR!$D:$D,"12")+SUMIFS(MASUK!$E:$E,MASUK!$B:$B,"GOTIK",MASUK!$C:$C,"MAHOGANY",MASUK!$D:$D,"12")+SO!N3</f>
        <v>0</v>
      </c>
      <c r="O3" s="27">
        <f>-SUMIFS(KELUAR!$E:$E,KELUAR!$B:$B,"GOTIK",KELUAR!$C:$C,"MAHOGANY",KELUAR!$D:$D,"14")+SUMIFS(MASUK!$E:$E,MASUK!$B:$B,"GOTIK",MASUK!$C:$C,"MAHOGANY",MASUK!$D:$D,"14")+SO!O3</f>
        <v>0</v>
      </c>
      <c r="P3" s="27">
        <f>SUM(J3:O3)</f>
        <v>0</v>
      </c>
    </row>
    <row r="4" spans="1:16" ht="14.5">
      <c r="A4" s="26" t="s">
        <v>20</v>
      </c>
      <c r="B4" s="27">
        <f>-SUMIFS(KELUAR!$E:$E,KELUAR!$B:$B,"KUTUBARU",KELUAR!$C:$C,"BURGUNDY",KELUAR!$D:$D,"S")+SUMIFS(MASUK!$E:$E,MASUK!$B:$B,"KUTUBARU",MASUK!$C:$C,"BURGUNDY",MASUK!$D:$D,"S")+SO!B4</f>
        <v>0</v>
      </c>
      <c r="C4" s="27">
        <f>-SUMIFS(KELUAR!$E:$E,KELUAR!$B:$B,"KUTUBARU",KELUAR!$C:$C,"BURGUNDY",KELUAR!$D:$D,"M")+SUMIFS(MASUK!$E:$E,MASUK!$B:$B,"KUTUBARU",MASUK!$C:$C,"BURGUNDY",MASUK!$D:$D,"M")+SO!C4</f>
        <v>0</v>
      </c>
      <c r="D4" s="27">
        <f>-SUMIFS(KELUAR!$E:$E,KELUAR!$B:$B,"KUTUBARU",KELUAR!$C:$C,"BURGUNDY",KELUAR!$D:$D,"L")+SUMIFS(MASUK!$E:$E,MASUK!$B:$B,"KUTUBARU",MASUK!$C:$C,"BURGUNDY",MASUK!$D:$D,"L")+SO!D4</f>
        <v>0</v>
      </c>
      <c r="E4" s="27">
        <f>-SUMIFS(KELUAR!$E:$E,KELUAR!$B:$B,"KUTUBARU",KELUAR!$C:$C,"BURGUNDY",KELUAR!$D:$D,"XL")+SUMIFS(MASUK!$E:$E,MASUK!$B:$B,"KUTUBARU",MASUK!$C:$C,"BURGUNDY",MASUK!$D:$D,"XL")+SO!E4</f>
        <v>0</v>
      </c>
      <c r="F4" s="25">
        <f t="shared" si="0"/>
        <v>0</v>
      </c>
      <c r="I4" s="26" t="s">
        <v>20</v>
      </c>
      <c r="J4" s="27">
        <f>-SUMIFS(KELUAR!$E:$E,KELUAR!$B:$B,"GOTIK",KELUAR!$C:$C,"BURGUNDY",KELUAR!$D:$D,"4")+SUMIFS(MASUK!$E:$E,MASUK!$B:$B,"GOTIK",MASUK!$C:$C,"BURGUNDY",MASUK!$D:$D,"4")+SO!J4</f>
        <v>0</v>
      </c>
      <c r="K4" s="27">
        <f>-SUMIFS(KELUAR!$E:$E,KELUAR!$B:$B,"GOTIK",KELUAR!$C:$C,"BURGUNDY",KELUAR!$D:$D,"6")+SUMIFS(MASUK!$E:$E,MASUK!$B:$B,"GOTIK",MASUK!$C:$C,"BURGUNDY",MASUK!$D:$D,"6")+SO!K4</f>
        <v>0</v>
      </c>
      <c r="L4" s="27">
        <f>-SUMIFS(KELUAR!$E:$E,KELUAR!$B:$B,"GOTIK",KELUAR!$C:$C,"BURGUNDY",KELUAR!$D:$D,"8")+SUMIFS(MASUK!$E:$E,MASUK!$B:$B,"GOTIK",MASUK!$C:$C,"BURGUNDY",MASUK!$D:$D,"8")+SO!L4</f>
        <v>0</v>
      </c>
      <c r="M4" s="27">
        <f>-SUMIFS(KELUAR!$E:$E,KELUAR!$B:$B,"GOTIK",KELUAR!$C:$C,"BURGUNDY",KELUAR!$D:$D,"10")+SUMIFS(MASUK!$E:$E,MASUK!$B:$B,"GOTIK",MASUK!$C:$C,"BURGUNDY",MASUK!$D:$D,"10")+SO!M4</f>
        <v>0</v>
      </c>
      <c r="N4" s="27">
        <f>-SUMIFS(KELUAR!$E:$E,KELUAR!$B:$B,"GOTIK",KELUAR!$C:$C,"BURGUNDY",KELUAR!$D:$D,"12")+SUMIFS(MASUK!$E:$E,MASUK!$B:$B,"GOTIK",MASUK!$C:$C,"BURGUNDY",MASUK!$D:$D,"12")+SO!N4</f>
        <v>0</v>
      </c>
      <c r="O4" s="27">
        <f>-SUMIFS(KELUAR!$E:$E,KELUAR!$B:$B,"GOTIK",KELUAR!$C:$C,"BURGUNDY",KELUAR!$D:$D,"14")+SUMIFS(MASUK!$E:$E,MASUK!$B:$B,"GOTIK",MASUK!$C:$C,"BURGUNDY",MASUK!$D:$D,"14")+SO!O4</f>
        <v>0</v>
      </c>
      <c r="P4" s="27">
        <f t="shared" ref="P4:P19" si="1">SUM(J4:O4)</f>
        <v>0</v>
      </c>
    </row>
    <row r="5" spans="1:16" ht="14.5">
      <c r="A5" s="26" t="s">
        <v>17</v>
      </c>
      <c r="B5" s="27">
        <f>-SUMIFS(KELUAR!$E:$E,KELUAR!$B:$B,"KUTUBARU",KELUAR!$C:$C,"DENIM",KELUAR!$D:$D,"S")+SUMIFS(MASUK!$E:$E,MASUK!$B:$B,"KUTUBARU",MASUK!$C:$C,"DENIM",MASUK!$D:$D,"S")++SO!B5</f>
        <v>0</v>
      </c>
      <c r="C5" s="27">
        <f>-SUMIFS(KELUAR!$E:$E,KELUAR!$B:$B,"KUTUBARU",KELUAR!$C:$C,"DENIM",KELUAR!$D:$D,"M")+SUMIFS(MASUK!$E:$E,MASUK!$B:$B,"KUTUBARU",MASUK!$C:$C,"DENIM",MASUK!$D:$D,"M")+SO!C5</f>
        <v>0</v>
      </c>
      <c r="D5" s="27">
        <f>-SUMIFS(KELUAR!$E:$E,KELUAR!$B:$B,"KUTUBARU",KELUAR!$C:$C,"DENIM",KELUAR!$D:$D,"L")+SUMIFS(MASUK!$E:$E,MASUK!$B:$B,"KUTUBARU",MASUK!$C:$C,"DENIM",MASUK!$D:$D,"L")+SO!D5</f>
        <v>0</v>
      </c>
      <c r="E5" s="27">
        <f>-SUMIFS(KELUAR!$E:$E,KELUAR!$B:$B,"KUTUBARU",KELUAR!$C:$C,"DENIM",KELUAR!$D:$D,"XL")+SUMIFS(MASUK!$E:$E,MASUK!$B:$B,"KUTUBARU",MASUK!$C:$C,"DENIM",MASUK!$D:$D,"XL")+SO!E5</f>
        <v>0</v>
      </c>
      <c r="F5" s="25">
        <f t="shared" si="0"/>
        <v>0</v>
      </c>
      <c r="I5" s="26" t="s">
        <v>17</v>
      </c>
      <c r="J5" s="27">
        <f>-SUMIFS(KELUAR!$E:$E,KELUAR!$B:$B,"GOTIK",KELUAR!$C:$C,"DENIM",KELUAR!$D:$D,"4")+SUMIFS(MASUK!$E:$E,MASUK!$B:$B,"GOTIK",MASUK!$C:$C,"DENIM",MASUK!$D:$D,"4")+SO!J5</f>
        <v>0</v>
      </c>
      <c r="K5" s="27">
        <f>-SUMIFS(KELUAR!$E:$E,KELUAR!$B:$B,"GOTIK",KELUAR!$C:$C,"DENIM",KELUAR!$D:$D,"6")+SUMIFS(MASUK!$E:$E,MASUK!$B:$B,"GOTIK",MASUK!$C:$C,"DENIM",MASUK!$D:$D,"6")+SO!K5</f>
        <v>0</v>
      </c>
      <c r="L5" s="27">
        <f>-SUMIFS(KELUAR!$E:$E,KELUAR!$B:$B,"GOTIK",KELUAR!$C:$C,"DENIM",KELUAR!$D:$D,"8")+SUMIFS(MASUK!$E:$E,MASUK!$B:$B,"GOTIK",MASUK!$C:$C,"DENIM",MASUK!$D:$D,"8")+SO!L5</f>
        <v>0</v>
      </c>
      <c r="M5" s="27">
        <f>-SUMIFS(KELUAR!$E:$E,KELUAR!$B:$B,"GOTIK",KELUAR!$C:$C,"DENIM",KELUAR!$D:$D,"10")+SUMIFS(MASUK!$E:$E,MASUK!$B:$B,"GOTIK",MASUK!$C:$C,"DENIM",MASUK!$D:$D,"10")+SO!M5</f>
        <v>0</v>
      </c>
      <c r="N5" s="27">
        <f>-SUMIFS(KELUAR!$E:$E,KELUAR!$B:$B,"GOTIK",KELUAR!$C:$C,"DENIM",KELUAR!$D:$D,"12")+SUMIFS(MASUK!$E:$E,MASUK!$B:$B,"GOTIK",MASUK!$C:$C,"DENIM",MASUK!$D:$D,"12")+SO!N5</f>
        <v>0</v>
      </c>
      <c r="O5" s="27">
        <f>-SUMIFS(KELUAR!$E:$E,KELUAR!$B:$B,"GOTIK",KELUAR!$C:$C,"DENIM",KELUAR!$D:$D,"14")+SUMIFS(MASUK!$E:$E,MASUK!$B:$B,"GOTIK",MASUK!$C:$C,"DENIM",MASUK!$D:$D,"14")+SO!O5</f>
        <v>0</v>
      </c>
      <c r="P5" s="27">
        <f t="shared" si="1"/>
        <v>0</v>
      </c>
    </row>
    <row r="6" spans="1:16" ht="14.5">
      <c r="A6" s="26" t="s">
        <v>23</v>
      </c>
      <c r="B6" s="27">
        <f>-SUMIFS(KELUAR!$E:$E,KELUAR!$B:$B,"KUTUBARU",KELUAR!$C:$C,"COKSU",KELUAR!$D:$D,"S")+SUMIFS(MASUK!$E:$E,MASUK!$B:$B,"KUTUBARU",MASUK!$C:$C,"COKSU",MASUK!$D:$D,"S")++SO!B6</f>
        <v>0</v>
      </c>
      <c r="C6" s="27">
        <f>-SUMIFS(KELUAR!$E:$E,KELUAR!$B:$B,"KUTUBARU",KELUAR!$C:$C,"COKSU",KELUAR!$D:$D,"M")+SUMIFS(MASUK!$E:$E,MASUK!$B:$B,"KUTUBARU",MASUK!$C:$C,"COKSU",MASUK!$D:$D,"M")+SO!C6</f>
        <v>0</v>
      </c>
      <c r="D6" s="27">
        <f>-SUMIFS(KELUAR!$E:$E,KELUAR!$B:$B,"KUTUBARU",KELUAR!$C:$C,"COKSU",KELUAR!$D:$D,"L")+SUMIFS(MASUK!$E:$E,MASUK!$B:$B,"KUTUBARU",MASUK!$C:$C,"COKSU",MASUK!$D:$D,"L")+SO!D6</f>
        <v>0</v>
      </c>
      <c r="E6" s="27">
        <f>-SUMIFS(KELUAR!$E:$E,KELUAR!$B:$B,"KUTUBARU",KELUAR!$C:$C,"COKSU",KELUAR!$D:$D,"XL")+SUMIFS(MASUK!$E:$E,MASUK!$B:$B,"KUTUBARU",MASUK!$C:$C,"COKSU",MASUK!$D:$D,"XL")+SO!E6</f>
        <v>0</v>
      </c>
      <c r="F6" s="25">
        <f t="shared" si="0"/>
        <v>0</v>
      </c>
      <c r="I6" s="26" t="s">
        <v>23</v>
      </c>
      <c r="J6" s="27">
        <f>-SUMIFS(KELUAR!$E:$E,KELUAR!$B:$B,"GOTIK",KELUAR!$C:$C,"COKSU",KELUAR!$D:$D,"4")+SUMIFS(MASUK!$E:$E,MASUK!$B:$B,"GOTIK",MASUK!$C:$C,"COKSU",MASUK!$D:$D,"4")+SO!J6</f>
        <v>0</v>
      </c>
      <c r="K6" s="27">
        <f>-SUMIFS(KELUAR!$E:$E,KELUAR!$B:$B,"GOTIK",KELUAR!$C:$C,"COKSU",KELUAR!$D:$D,"6")+SUMIFS(MASUK!$E:$E,MASUK!$B:$B,"GOTIK",MASUK!$C:$C,"COKSU",MASUK!$D:$D,"6")+SO!K6</f>
        <v>0</v>
      </c>
      <c r="L6" s="27">
        <f>-SUMIFS(KELUAR!$E:$E,KELUAR!$B:$B,"GOTIK",KELUAR!$C:$C,"COKSU",KELUAR!$D:$D,"8")+SUMIFS(MASUK!$E:$E,MASUK!$B:$B,"GOTIK",MASUK!$C:$C,"COKSU",MASUK!$D:$D,"8")+SO!L6</f>
        <v>0</v>
      </c>
      <c r="M6" s="27">
        <f>-SUMIFS(KELUAR!$E:$E,KELUAR!$B:$B,"GOTIK",KELUAR!$C:$C,"COKSU",KELUAR!$D:$D,"10")+SUMIFS(MASUK!$E:$E,MASUK!$B:$B,"GOTIK",MASUK!$C:$C,"COKSU",MASUK!$D:$D,"10")+SO!M6</f>
        <v>0</v>
      </c>
      <c r="N6" s="27">
        <f>-SUMIFS(KELUAR!$E:$E,KELUAR!$B:$B,"GOTIK",KELUAR!$C:$C,"COKSU",KELUAR!$D:$D,"12")+SUMIFS(MASUK!$E:$E,MASUK!$B:$B,"GOTIK",MASUK!$C:$C,"COKSU",MASUK!$D:$D,"12")+SO!N6</f>
        <v>0</v>
      </c>
      <c r="O6" s="27">
        <f>-SUMIFS(KELUAR!$E:$E,KELUAR!$B:$B,"GOTIK",KELUAR!$C:$C,"COKSU",KELUAR!$D:$D,"14")+SUMIFS(MASUK!$E:$E,MASUK!$B:$B,"GOTIK",MASUK!$C:$C,"COKSU",MASUK!$D:$D,"14")+SO!O6</f>
        <v>0</v>
      </c>
      <c r="P6" s="27">
        <f t="shared" si="1"/>
        <v>0</v>
      </c>
    </row>
    <row r="7" spans="1:16" ht="14.5">
      <c r="A7" s="26" t="s">
        <v>14</v>
      </c>
      <c r="B7" s="27">
        <f>-SUMIFS(KELUAR!$E:$E,KELUAR!$B:$B,"KUTUBARU",KELUAR!$C:$C,"NAVY",KELUAR!$D:$D,"S")+SUMIFS(MASUK!$E:$E,MASUK!$B:$B,"KUTUBARU",MASUK!$C:$C,"NAVY",MASUK!$D:$D,"S")+SO!B7</f>
        <v>0</v>
      </c>
      <c r="C7" s="27">
        <f>-SUMIFS(KELUAR!$E:$E,KELUAR!$B:$B,"KUTUBARU",KELUAR!$C:$C,"NAVY",KELUAR!$D:$D,"M")+SUMIFS(MASUK!$E:$E,MASUK!$B:$B,"KUTUBARU",MASUK!$C:$C,"NAVY",MASUK!$D:$D,"M")+SO!C7</f>
        <v>0</v>
      </c>
      <c r="D7" s="27">
        <f>-SUMIFS(KELUAR!$E:$E,KELUAR!$B:$B,"KUTUBARU",KELUAR!$C:$C,"NAVY",KELUAR!$D:$D,"L")+SUMIFS(MASUK!$E:$E,MASUK!$B:$B,"KUTUBARU",MASUK!$C:$C,"NAVY",MASUK!$D:$D,"L")+SO!D7</f>
        <v>0</v>
      </c>
      <c r="E7" s="27">
        <f>-SUMIFS(KELUAR!$E:$E,KELUAR!$B:$B,"KUTUBARU",KELUAR!$C:$C,"NAVY",KELUAR!$D:$D,"XL")+SUMIFS(MASUK!$E:$E,MASUK!$B:$B,"KUTUBARU",MASUK!$C:$C,"NAVY",MASUK!$D:$D,"XL")+SO!E7</f>
        <v>0</v>
      </c>
      <c r="F7" s="25">
        <f t="shared" si="0"/>
        <v>0</v>
      </c>
      <c r="I7" s="26" t="s">
        <v>14</v>
      </c>
      <c r="J7" s="27">
        <f>-SUMIFS(KELUAR!$E:$E,KELUAR!$B:$B,"GOTIK",KELUAR!$C:$C,"NAVY",KELUAR!$D:$D,"4")+SUMIFS(MASUK!$E:$E,MASUK!$B:$B,"GOTIK",MASUK!$C:$C,"NAVY",MASUK!$D:$D,"4")+SO!J7</f>
        <v>0</v>
      </c>
      <c r="K7" s="27">
        <f>-SUMIFS(KELUAR!$E:$E,KELUAR!$B:$B,"GOTIK",KELUAR!$C:$C,"NAVY",KELUAR!$D:$D,"6")+SUMIFS(MASUK!$E:$E,MASUK!$B:$B,"GOTIK",MASUK!$C:$C,"NAVY",MASUK!$D:$D,"6")+SO!K7</f>
        <v>0</v>
      </c>
      <c r="L7" s="27">
        <f>-SUMIFS(KELUAR!$E:$E,KELUAR!$B:$B,"GOTIK",KELUAR!$C:$C,"NAVY",KELUAR!$D:$D,"8")+SUMIFS(MASUK!$E:$E,MASUK!$B:$B,"GOTIK",MASUK!$C:$C,"NAVY",MASUK!$D:$D,"8")+SO!L7</f>
        <v>0</v>
      </c>
      <c r="M7" s="27">
        <f>-SUMIFS(KELUAR!$E:$E,KELUAR!$B:$B,"GOTIK",KELUAR!$C:$C,"NAVY",KELUAR!$D:$D,"10")+SUMIFS(MASUK!$E:$E,MASUK!$B:$B,"GOTIK",MASUK!$C:$C,"NAVY",MASUK!$D:$D,"10")+SO!M7</f>
        <v>0</v>
      </c>
      <c r="N7" s="27">
        <f>-SUMIFS(KELUAR!$E:$E,KELUAR!$B:$B,"GOTIK",KELUAR!$C:$C,"NAVY",KELUAR!$D:$D,"12")+SUMIFS(MASUK!$E:$E,MASUK!$B:$B,"GOTIK",MASUK!$C:$C,"NAVY",MASUK!$D:$D,"12")+SO!N7</f>
        <v>0</v>
      </c>
      <c r="O7" s="27">
        <f>-SUMIFS(KELUAR!$E:$E,KELUAR!$B:$B,"GOTIK",KELUAR!$C:$C,"NAVY",KELUAR!$D:$D,"14")+SUMIFS(MASUK!$E:$E,MASUK!$B:$B,"GOTIK",MASUK!$C:$C,"NAVY",MASUK!$D:$D,"14")+SO!O7</f>
        <v>0</v>
      </c>
      <c r="P7" s="27">
        <f t="shared" si="1"/>
        <v>0</v>
      </c>
    </row>
    <row r="8" spans="1:16" ht="14.5">
      <c r="A8" s="26" t="s">
        <v>26</v>
      </c>
      <c r="B8" s="27">
        <f>-SUMIFS(KELUAR!$E:$E,KELUAR!$B:$B,"KUTUBARU",KELUAR!$C:$C,"HITAM",KELUAR!$D:$D,"S")+SUMIFS(MASUK!$E:$E,MASUK!$B:$B,"KUTUBARU",MASUK!$C:$C,"HITAM",MASUK!$D:$D,"S")++SO!B8</f>
        <v>0</v>
      </c>
      <c r="C8" s="27">
        <f>-SUMIFS(KELUAR!$E:$E,KELUAR!$B:$B,"KUTUBARU",KELUAR!$C:$C,"HITAM",KELUAR!$D:$D,"M")+SUMIFS(MASUK!$E:$E,MASUK!$B:$B,"KUTUBARU",MASUK!$C:$C,"HITAM",MASUK!$D:$D,"M")+SO!C8</f>
        <v>0</v>
      </c>
      <c r="D8" s="27">
        <f>-SUMIFS(KELUAR!$E:$E,KELUAR!$B:$B,"KUTUBARU",KELUAR!$C:$C,"HITAM",KELUAR!$D:$D,"L")+SUMIFS(MASUK!$E:$E,MASUK!$B:$B,"KUTUBARU",MASUK!$C:$C,"HITAM",MASUK!$D:$D,"L")+SO!D8</f>
        <v>0</v>
      </c>
      <c r="E8" s="27">
        <f>-SUMIFS(KELUAR!$E:$E,KELUAR!$B:$B,"KUTUBARU",KELUAR!$C:$C,"HITAM",KELUAR!$D:$D,"XL")+SUMIFS(MASUK!$E:$E,MASUK!$B:$B,"KUTUBARU",MASUK!$C:$C,"HITAM",MASUK!$D:$D,"XL")+SO!E8</f>
        <v>0</v>
      </c>
      <c r="F8" s="25">
        <f t="shared" si="0"/>
        <v>0</v>
      </c>
      <c r="I8" s="26" t="s">
        <v>26</v>
      </c>
      <c r="J8" s="27">
        <f>-SUMIFS(KELUAR!$E:$E,KELUAR!$B:$B,"GOTIK",KELUAR!$C:$C,"HITAM",KELUAR!$D:$D,"4")+SUMIFS(MASUK!$E:$E,MASUK!$B:$B,"GOTIK",MASUK!$C:$C,"HITAM",MASUK!$D:$D,"4")+SO!J8</f>
        <v>0</v>
      </c>
      <c r="K8" s="27">
        <f>-SUMIFS(KELUAR!$E:$E,KELUAR!$B:$B,"GOTIK",KELUAR!$C:$C,"HITAM",KELUAR!$D:$D,"6")+SUMIFS(MASUK!$E:$E,MASUK!$B:$B,"GOTIK",MASUK!$C:$C,"HITAM",MASUK!$D:$D,"6")+SO!K8</f>
        <v>0</v>
      </c>
      <c r="L8" s="27">
        <f>-SUMIFS(KELUAR!$E:$E,KELUAR!$B:$B,"GOTIK",KELUAR!$C:$C,"HITAM",KELUAR!$D:$D,"8")+SUMIFS(MASUK!$E:$E,MASUK!$B:$B,"GOTIK",MASUK!$C:$C,"HITAM",MASUK!$D:$D,"8")+SO!L8</f>
        <v>0</v>
      </c>
      <c r="M8" s="27">
        <f>-SUMIFS(KELUAR!$E:$E,KELUAR!$B:$B,"GOTIK",KELUAR!$C:$C,"HITAM",KELUAR!$D:$D,"10")+SUMIFS(MASUK!$E:$E,MASUK!$B:$B,"GOTIK",MASUK!$C:$C,"HITAM",MASUK!$D:$D,"10")+SO!M8</f>
        <v>0</v>
      </c>
      <c r="N8" s="27">
        <f>-SUMIFS(KELUAR!$E:$E,KELUAR!$B:$B,"GOTIK",KELUAR!$C:$C,"HITAM",KELUAR!$D:$D,"12")+SUMIFS(MASUK!$E:$E,MASUK!$B:$B,"GOTIK",MASUK!$C:$C,"HITAM",MASUK!$D:$D,"12")+SO!N8</f>
        <v>0</v>
      </c>
      <c r="O8" s="27">
        <f>-SUMIFS(KELUAR!$E:$E,KELUAR!$B:$B,"GOTIK",KELUAR!$C:$C,"HITAM",KELUAR!$D:$D,"14")+SUMIFS(MASUK!$E:$E,MASUK!$B:$B,"GOTIK",MASUK!$C:$C,"HITAM",MASUK!$D:$D,"14")+SO!O8</f>
        <v>0</v>
      </c>
      <c r="P8" s="27">
        <f t="shared" si="1"/>
        <v>0</v>
      </c>
    </row>
    <row r="9" spans="1:16" ht="14.5">
      <c r="A9" s="26" t="s">
        <v>13</v>
      </c>
      <c r="B9" s="27">
        <f>-SUMIFS(KELUAR!$E:$E,KELUAR!$B:$B,"KUTUBARU",KELUAR!$C:$C,"DUSTY",KELUAR!$D:$D,"S")+SUMIFS(MASUK!$E:$E,MASUK!$B:$B,"KUTUBARU",MASUK!$C:$C,"DUSTY",MASUK!$D:$D,"S")++SO!B9</f>
        <v>0</v>
      </c>
      <c r="C9" s="27">
        <f>-SUMIFS(KELUAR!$E:$E,KELUAR!$B:$B,"KUTUBARU",KELUAR!$C:$C,"DUSTY",KELUAR!$D:$D,"M")+SUMIFS(MASUK!$E:$E,MASUK!$B:$B,"KUTUBARU",MASUK!$C:$C,"DUSTY",MASUK!$D:$D,"M")+SO!C9</f>
        <v>0</v>
      </c>
      <c r="D9" s="27">
        <f>-SUMIFS(KELUAR!$E:$E,KELUAR!$B:$B,"KUTUBARU",KELUAR!$C:$C,"DUSTY",KELUAR!$D:$D,"L")+SUMIFS(MASUK!$E:$E,MASUK!$B:$B,"KUTUBARU",MASUK!$C:$C,"DUSTY",MASUK!$D:$D,"L")+SO!D9</f>
        <v>0</v>
      </c>
      <c r="E9" s="27">
        <f>-SUMIFS(KELUAR!$E:$E,KELUAR!$B:$B,"KUTUBARU",KELUAR!$C:$C,"DUSTY",KELUAR!$D:$D,"XL")+SUMIFS(MASUK!$E:$E,MASUK!$B:$B,"KUTUBARU",MASUK!$C:$C,"DUSTY",MASUK!$D:$D,"XL")+SO!E9</f>
        <v>0</v>
      </c>
      <c r="F9" s="25">
        <f t="shared" si="0"/>
        <v>0</v>
      </c>
      <c r="I9" s="26" t="s">
        <v>13</v>
      </c>
      <c r="J9" s="27">
        <f>-SUMIFS(KELUAR!$E:$E,KELUAR!$B:$B,"GOTIK",KELUAR!$C:$C,"DUSTY",KELUAR!$D:$D,"4")+SUMIFS(MASUK!$E:$E,MASUK!$B:$B,"GOTIK",MASUK!$C:$C,"DUSTY",MASUK!$D:$D,"4")+SO!J9</f>
        <v>0</v>
      </c>
      <c r="K9" s="27">
        <f>-SUMIFS(KELUAR!$E:$E,KELUAR!$B:$B,"GOTIK",KELUAR!$C:$C,"DUSTY",KELUAR!$D:$D,"6")+SUMIFS(MASUK!$E:$E,MASUK!$B:$B,"GOTIK",MASUK!$C:$C,"DUSTY",MASUK!$D:$D,"6")+SO!K9</f>
        <v>0</v>
      </c>
      <c r="L9" s="27">
        <f>-SUMIFS(KELUAR!$E:$E,KELUAR!$B:$B,"GOTIK",KELUAR!$C:$C,"DUSTY",KELUAR!$D:$D,"8")+SUMIFS(MASUK!$E:$E,MASUK!$B:$B,"GOTIK",MASUK!$C:$C,"DUSTY",MASUK!$D:$D,"8")+SO!L9</f>
        <v>0</v>
      </c>
      <c r="M9" s="27">
        <f>-SUMIFS(KELUAR!$E:$E,KELUAR!$B:$B,"GOTIK",KELUAR!$C:$C,"DUSTY",KELUAR!$D:$D,"10")+SUMIFS(MASUK!$E:$E,MASUK!$B:$B,"GOTIK",MASUK!$C:$C,"DUSTY",MASUK!$D:$D,"10")+SO!M9</f>
        <v>0</v>
      </c>
      <c r="N9" s="27">
        <f>-SUMIFS(KELUAR!$E:$E,KELUAR!$B:$B,"GOTIK",KELUAR!$C:$C,"DUSTY",KELUAR!$D:$D,"12")+SUMIFS(MASUK!$E:$E,MASUK!$B:$B,"GOTIK",MASUK!$C:$C,"DUSTY",MASUK!$D:$D,"12")+SO!N9</f>
        <v>0</v>
      </c>
      <c r="O9" s="27">
        <f>-SUMIFS(KELUAR!$E:$E,KELUAR!$B:$B,"GOTIK",KELUAR!$C:$C,"DUSTY",KELUAR!$D:$D,"14")+SUMIFS(MASUK!$E:$E,MASUK!$B:$B,"GOTIK",MASUK!$C:$C,"DUSTY",MASUK!$D:$D,"14")+SO!O9</f>
        <v>0</v>
      </c>
      <c r="P9" s="27">
        <f t="shared" si="1"/>
        <v>0</v>
      </c>
    </row>
    <row r="10" spans="1:16" ht="14.5">
      <c r="A10" s="26" t="s">
        <v>22</v>
      </c>
      <c r="B10" s="27">
        <f>-SUMIFS(KELUAR!$E:$E,KELUAR!$B:$B,"KUTUBARU",KELUAR!$C:$C,"BABYBLUE",KELUAR!$D:$D,"S")+SUMIFS(MASUK!$E:$E,MASUK!$B:$B,"KUTUBARU",MASUK!$C:$C,"BABYBLUE",MASUK!$D:$D,"S")++SO!B10</f>
        <v>0</v>
      </c>
      <c r="C10" s="27">
        <f>-SUMIFS(KELUAR!$E:$E,KELUAR!$B:$B,"KUTUBARU",KELUAR!$C:$C,"BABYBLUE",KELUAR!$D:$D,"M")+SUMIFS(MASUK!$E:$E,MASUK!$B:$B,"KUTUBARU",MASUK!$C:$C,"BABYBLUE",MASUK!$D:$D,"M")+SO!C10</f>
        <v>0</v>
      </c>
      <c r="D10" s="27">
        <f>-SUMIFS(KELUAR!$E:$E,KELUAR!$B:$B,"KUTUBARU",KELUAR!$C:$C,"BABYBLUE",KELUAR!$D:$D,"L")+SUMIFS(MASUK!$E:$E,MASUK!$B:$B,"KUTUBARU",MASUK!$C:$C,"BABYBLUE",MASUK!$D:$D,"L")+SO!D10</f>
        <v>0</v>
      </c>
      <c r="E10" s="27">
        <f>-SUMIFS(KELUAR!$E:$E,KELUAR!$B:$B,"KUTUBARU",KELUAR!$C:$C,"BABYBLUE",KELUAR!$D:$D,"XL")+SUMIFS(MASUK!$E:$E,MASUK!$B:$B,"KUTUBARU",MASUK!$C:$C,"BABYBLUE",MASUK!$D:$D,"XL")+SO!E10</f>
        <v>0</v>
      </c>
      <c r="F10" s="25">
        <f t="shared" si="0"/>
        <v>0</v>
      </c>
      <c r="I10" s="26" t="s">
        <v>22</v>
      </c>
      <c r="J10" s="27">
        <f>-SUMIFS(KELUAR!$E:$E,KELUAR!$B:$B,"GOTIK",KELUAR!$C:$C,"BABYBLUE",KELUAR!$D:$D,"4")+SUMIFS(MASUK!$E:$E,MASUK!$B:$B,"GOTIK",MASUK!$C:$C,"BABYBLUE",MASUK!$D:$D,"4")+SO!J10</f>
        <v>0</v>
      </c>
      <c r="K10" s="27">
        <f>-SUMIFS(KELUAR!$E:$E,KELUAR!$B:$B,"GOTIK",KELUAR!$C:$C,"BABYBLUE",KELUAR!$D:$D,"6")+SUMIFS(MASUK!$E:$E,MASUK!$B:$B,"GOTIK",MASUK!$C:$C,"BABYBLUE",MASUK!$D:$D,"6")+SO!K10</f>
        <v>0</v>
      </c>
      <c r="L10" s="27">
        <f>-SUMIFS(KELUAR!$E:$E,KELUAR!$B:$B,"GOTIK",KELUAR!$C:$C,"BABYBLUE",KELUAR!$D:$D,"8")+SUMIFS(MASUK!$E:$E,MASUK!$B:$B,"GOTIK",MASUK!$C:$C,"BABYBLUE",MASUK!$D:$D,"8")+SO!L10</f>
        <v>0</v>
      </c>
      <c r="M10" s="27">
        <f>-SUMIFS(KELUAR!$E:$E,KELUAR!$B:$B,"GOTIK",KELUAR!$C:$C,"BABYBLUE",KELUAR!$D:$D,"10")+SUMIFS(MASUK!$E:$E,MASUK!$B:$B,"GOTIK",MASUK!$C:$C,"BABYBLUE",MASUK!$D:$D,"10")+SO!M10</f>
        <v>0</v>
      </c>
      <c r="N10" s="27">
        <f>-SUMIFS(KELUAR!$E:$E,KELUAR!$B:$B,"GOTIK",KELUAR!$C:$C,"BABYBLUE",KELUAR!$D:$D,"12")+SUMIFS(MASUK!$E:$E,MASUK!$B:$B,"GOTIK",MASUK!$C:$C,"BABYBLUE",MASUK!$D:$D,"12")+SO!N10</f>
        <v>0</v>
      </c>
      <c r="O10" s="27">
        <f>-SUMIFS(KELUAR!$E:$E,KELUAR!$B:$B,"GOTIK",KELUAR!$C:$C,"BABYBLUE",KELUAR!$D:$D,"14")+SUMIFS(MASUK!$E:$E,MASUK!$B:$B,"GOTIK",MASUK!$C:$C,"BABYBLUE",MASUK!$D:$D,"14")+SO!O10</f>
        <v>0</v>
      </c>
      <c r="P10" s="27">
        <f t="shared" si="1"/>
        <v>0</v>
      </c>
    </row>
    <row r="11" spans="1:16" ht="14.5">
      <c r="A11" s="26" t="s">
        <v>25</v>
      </c>
      <c r="B11" s="27">
        <f>-SUMIFS(KELUAR!$E:$E,KELUAR!$B:$B,"KUTUBARU",KELUAR!$C:$C,"MAROON",KELUAR!$D:$D,"S")+SUMIFS(MASUK!$E:$E,MASUK!$B:$B,"KUTUBARU",MASUK!$C:$C,"MAROON",MASUK!$D:$D,"S")+SO!B11</f>
        <v>0</v>
      </c>
      <c r="C11" s="27">
        <f>-SUMIFS(KELUAR!$E:$E,KELUAR!$B:$B,"KUTUBARU",KELUAR!$C:$C,"MAROON",KELUAR!$D:$D,"M")+SUMIFS(MASUK!$E:$E,MASUK!$B:$B,"KUTUBARU",MASUK!$C:$C,"MAROON",MASUK!$D:$D,"M")+SO!C11</f>
        <v>0</v>
      </c>
      <c r="D11" s="27">
        <f>-SUMIFS(KELUAR!$E:$E,KELUAR!$B:$B,"KUTUBARU",KELUAR!$C:$C,"MAROON",KELUAR!$D:$D,"L")+SUMIFS(MASUK!$E:$E,MASUK!$B:$B,"KUTUBARU",MASUK!$C:$C,"MAROON",MASUK!$D:$D,"L")+SO!D11</f>
        <v>0</v>
      </c>
      <c r="E11" s="27">
        <f>-SUMIFS(KELUAR!$E:$E,KELUAR!$B:$B,"KUTUBARU",KELUAR!$C:$C,"MAROON",KELUAR!$D:$D,"XL")+SUMIFS(MASUK!$E:$E,MASUK!$B:$B,"KUTUBARU",MASUK!$C:$C,"MAROON",MASUK!$D:$D,"XL")+SO!E11</f>
        <v>0</v>
      </c>
      <c r="F11" s="25">
        <f t="shared" si="0"/>
        <v>0</v>
      </c>
      <c r="I11" s="26" t="s">
        <v>25</v>
      </c>
      <c r="J11" s="27">
        <f>-SUMIFS(KELUAR!$E:$E,KELUAR!$B:$B,"GOTIK",KELUAR!$C:$C,"MAROON",KELUAR!$D:$D,"4")+SUMIFS(MASUK!$E:$E,MASUK!$B:$B,"GOTIK",MASUK!$C:$C,"MAROON",MASUK!$D:$D,"4")+SO!J11</f>
        <v>0</v>
      </c>
      <c r="K11" s="27">
        <f>-SUMIFS(KELUAR!$E:$E,KELUAR!$B:$B,"GOTIK",KELUAR!$C:$C,"MAROON",KELUAR!$D:$D,"6")+SUMIFS(MASUK!$E:$E,MASUK!$B:$B,"GOTIK",MASUK!$C:$C,"MAROON",MASUK!$D:$D,"6")+SO!K11</f>
        <v>0</v>
      </c>
      <c r="L11" s="27">
        <f>-SUMIFS(KELUAR!$E:$E,KELUAR!$B:$B,"GOTIK",KELUAR!$C:$C,"MAROON",KELUAR!$D:$D,"8")+SUMIFS(MASUK!$E:$E,MASUK!$B:$B,"GOTIK",MASUK!$C:$C,"MAROON",MASUK!$D:$D,"8")+SO!L11</f>
        <v>0</v>
      </c>
      <c r="M11" s="27">
        <f>-SUMIFS(KELUAR!$E:$E,KELUAR!$B:$B,"GOTIK",KELUAR!$C:$C,"MAROON",KELUAR!$D:$D,"10")+SUMIFS(MASUK!$E:$E,MASUK!$B:$B,"GOTIK",MASUK!$C:$C,"MAROON",MASUK!$D:$D,"10")+SO!M11</f>
        <v>0</v>
      </c>
      <c r="N11" s="27">
        <f>-SUMIFS(KELUAR!$E:$E,KELUAR!$B:$B,"GOTIK",KELUAR!$C:$C,"MAROON",KELUAR!$D:$D,"12")+SUMIFS(MASUK!$E:$E,MASUK!$B:$B,"GOTIK",MASUK!$C:$C,"MAROON",MASUK!$D:$D,"12")+SO!N11</f>
        <v>0</v>
      </c>
      <c r="O11" s="27">
        <f>-SUMIFS(KELUAR!$E:$E,KELUAR!$B:$B,"GOTIK",KELUAR!$C:$C,"MAROON",KELUAR!$D:$D,"14")+SUMIFS(MASUK!$E:$E,MASUK!$B:$B,"GOTIK",MASUK!$C:$C,"MAROON",MASUK!$D:$D,"14")+SO!O11</f>
        <v>0</v>
      </c>
      <c r="P11" s="27">
        <f t="shared" si="1"/>
        <v>0</v>
      </c>
    </row>
    <row r="12" spans="1:16" ht="14.5">
      <c r="A12" s="29" t="s">
        <v>35</v>
      </c>
      <c r="B12" s="27">
        <f>-SUMIFS(KELUAR!$E:$E,KELUAR!$B:$B,"KUTUBARU",KELUAR!$C:$C,"GOLD",KELUAR!$D:$D,"S")+SUMIFS(MASUK!$E:$E,MASUK!$B:$B,"KUTUBARU",MASUK!$C:$C,"GOLD",MASUK!$D:$D,"S")++SO!B12</f>
        <v>0</v>
      </c>
      <c r="C12" s="27">
        <f>-SUMIFS(KELUAR!$E:$E,KELUAR!$B:$B,"KUTUBARU",KELUAR!$C:$C,"GOLD",KELUAR!$D:$D,"M")+SUMIFS(MASUK!$E:$E,MASUK!$B:$B,"KUTUBARU",MASUK!$C:$C,"GOLD",MASUK!$D:$D,"M")+SO!C12</f>
        <v>0</v>
      </c>
      <c r="D12" s="27">
        <f>-SUMIFS(KELUAR!$E:$E,KELUAR!$B:$B,"KUTUBARU",KELUAR!$C:$C,"GOLD",KELUAR!$D:$D,"L")+SUMIFS(MASUK!$E:$E,MASUK!$B:$B,"KUTUBARU",MASUK!$C:$C,"GOLD",MASUK!$D:$D,"L")+SO!D12</f>
        <v>0</v>
      </c>
      <c r="E12" s="27">
        <f>-SUMIFS(KELUAR!$E:$E,KELUAR!$B:$B,"KUTUBARU",KELUAR!$C:$C,"GOLD",KELUAR!$D:$D,"XL")+SUMIFS(MASUK!$E:$E,MASUK!$B:$B,"KUTUBARU",MASUK!$C:$C,"GOLD",MASUK!$D:$D,"XL")+SO!E12</f>
        <v>0</v>
      </c>
      <c r="F12" s="25">
        <f t="shared" si="0"/>
        <v>0</v>
      </c>
      <c r="I12" s="29" t="s">
        <v>35</v>
      </c>
      <c r="J12" s="27">
        <f>-SUMIFS(KELUAR!$E:$E,KELUAR!$B:$B,"GOTIK",KELUAR!$C:$C,"GOLD",KELUAR!$D:$D,"4")+SUMIFS(MASUK!$E:$E,MASUK!$B:$B,"GOTIK",MASUK!$C:$C,"GOLD",MASUK!$D:$D,"4")+SO!J12</f>
        <v>0</v>
      </c>
      <c r="K12" s="27">
        <f>-SUMIFS(KELUAR!$E:$E,KELUAR!$B:$B,"GOTIK",KELUAR!$C:$C,"GOLD",KELUAR!$D:$D,"6")+SUMIFS(MASUK!$E:$E,MASUK!$B:$B,"GOTIK",MASUK!$C:$C,"GOLD",MASUK!$D:$D,"6")+SO!K12</f>
        <v>0</v>
      </c>
      <c r="L12" s="27">
        <f>-SUMIFS(KELUAR!$E:$E,KELUAR!$B:$B,"GOTIK",KELUAR!$C:$C,"GOLD",KELUAR!$D:$D,"8")+SUMIFS(MASUK!$E:$E,MASUK!$B:$B,"GOTIK",MASUK!$C:$C,"GOLD",MASUK!$D:$D,"8")+SO!L12</f>
        <v>0</v>
      </c>
      <c r="M12" s="27">
        <f>-SUMIFS(KELUAR!$E:$E,KELUAR!$B:$B,"GOTIK",KELUAR!$C:$C,"GOLD",KELUAR!$D:$D,"10")+SUMIFS(MASUK!$E:$E,MASUK!$B:$B,"GOTIK",MASUK!$C:$C,"GOLD",MASUK!$D:$D,"10")+SO!M12</f>
        <v>0</v>
      </c>
      <c r="N12" s="27">
        <f>-SUMIFS(KELUAR!$E:$E,KELUAR!$B:$B,"GOTIK",KELUAR!$C:$C,"GOLD",KELUAR!$D:$D,"12")+SUMIFS(MASUK!$E:$E,MASUK!$B:$B,"GOTIK",MASUK!$C:$C,"GOLD",MASUK!$D:$D,"12")+SO!N12</f>
        <v>0</v>
      </c>
      <c r="O12" s="27">
        <f>-SUMIFS(KELUAR!$E:$E,KELUAR!$B:$B,"GOTIK",KELUAR!$C:$C,"GOLD",KELUAR!$D:$D,"14")+SUMIFS(MASUK!$E:$E,MASUK!$B:$B,"GOTIK",MASUK!$C:$C,"GOLD",MASUK!$D:$D,"14")+SO!O12</f>
        <v>0</v>
      </c>
      <c r="P12" s="27">
        <f t="shared" si="1"/>
        <v>0</v>
      </c>
    </row>
    <row r="13" spans="1:16" ht="14.5">
      <c r="A13" s="26" t="s">
        <v>19</v>
      </c>
      <c r="B13" s="27">
        <f>-SUMIFS(KELUAR!$E:$E,KELUAR!$B:$B,"KUTUBARU",KELUAR!$C:$C,"SAGE",KELUAR!$D:$D,"S")+SUMIFS(MASUK!$E:$E,MASUK!$B:$B,"KUTUBARU",MASUK!$C:$C,"SAGE",MASUK!$D:$D,"S")++SO!B13</f>
        <v>0</v>
      </c>
      <c r="C13" s="27">
        <f>-SUMIFS(KELUAR!$E:$E,KELUAR!$B:$B,"KUTUBARU",KELUAR!$C:$C,"SAGE",KELUAR!$D:$D,"M")+SUMIFS(MASUK!$E:$E,MASUK!$B:$B,"KUTUBARU",MASUK!$C:$C,"SAGE",MASUK!$D:$D,"M")+SO!C13</f>
        <v>0</v>
      </c>
      <c r="D13" s="27">
        <f>-SUMIFS(KELUAR!$E:$E,KELUAR!$B:$B,"KUTUBARU",KELUAR!$C:$C,"SAGE",KELUAR!$D:$D,"L")+SUMIFS(MASUK!$E:$E,MASUK!$B:$B,"KUTUBARU",MASUK!$C:$C,"SAGE",MASUK!$D:$D,"L")+SO!D13</f>
        <v>0</v>
      </c>
      <c r="E13" s="27">
        <f>-SUMIFS(KELUAR!$E:$E,KELUAR!$B:$B,"KUTUBARU",KELUAR!$C:$C,"SAGE",KELUAR!$D:$D,"XL")+SUMIFS(MASUK!$E:$E,MASUK!$B:$B,"KUTUBARU",MASUK!$C:$C,"SAGE",MASUK!$D:$D,"XL")+SO!E13</f>
        <v>0</v>
      </c>
      <c r="F13" s="25">
        <f t="shared" si="0"/>
        <v>0</v>
      </c>
      <c r="I13" s="26" t="s">
        <v>19</v>
      </c>
      <c r="J13" s="27">
        <f>-SUMIFS(KELUAR!$E:$E,KELUAR!$B:$B,"GOTIK",KELUAR!$C:$C,"sage",KELUAR!$D:$D,"4")+SUMIFS(MASUK!$E:$E,MASUK!$B:$B,"GOTIK",MASUK!$C:$C,"sage",MASUK!$D:$D,"4")+SO!J13</f>
        <v>0</v>
      </c>
      <c r="K13" s="27">
        <f>-SUMIFS(KELUAR!$E:$E,KELUAR!$B:$B,"GOTIK",KELUAR!$C:$C,"sage",KELUAR!$D:$D,"6")+SUMIFS(MASUK!$E:$E,MASUK!$B:$B,"GOTIK",MASUK!$C:$C,"sage",MASUK!$D:$D,"6")+SO!K13</f>
        <v>0</v>
      </c>
      <c r="L13" s="27">
        <f>-SUMIFS(KELUAR!$E:$E,KELUAR!$B:$B,"GOTIK",KELUAR!$C:$C,"sage",KELUAR!$D:$D,"8")+SUMIFS(MASUK!$E:$E,MASUK!$B:$B,"GOTIK",MASUK!$C:$C,"sage",MASUK!$D:$D,"8")+SO!L13</f>
        <v>0</v>
      </c>
      <c r="M13" s="27">
        <f>-SUMIFS(KELUAR!$E:$E,KELUAR!$B:$B,"GOTIK",KELUAR!$C:$C,"sage",KELUAR!$D:$D,"10")+SUMIFS(MASUK!$E:$E,MASUK!$B:$B,"GOTIK",MASUK!$C:$C,"sage",MASUK!$D:$D,"10")+SO!M13</f>
        <v>0</v>
      </c>
      <c r="N13" s="27">
        <f>-SUMIFS(KELUAR!$E:$E,KELUAR!$B:$B,"GOTIK",KELUAR!$C:$C,"sage",KELUAR!$D:$D,"12")+SUMIFS(MASUK!$E:$E,MASUK!$B:$B,"GOTIK",MASUK!$C:$C,"sage",MASUK!$D:$D,"12")+SO!N13</f>
        <v>0</v>
      </c>
      <c r="O13" s="27">
        <f>-SUMIFS(KELUAR!$E:$E,KELUAR!$B:$B,"GOTIK",KELUAR!$C:$C,"sage",KELUAR!$D:$D,"14")+SUMIFS(MASUK!$E:$E,MASUK!$B:$B,"GOTIK",MASUK!$C:$C,"sage",MASUK!$D:$D,"14")+SO!O13</f>
        <v>0</v>
      </c>
      <c r="P13" s="27">
        <f t="shared" si="1"/>
        <v>0</v>
      </c>
    </row>
    <row r="14" spans="1:16" ht="14.5">
      <c r="A14" s="26" t="s">
        <v>15</v>
      </c>
      <c r="B14" s="27">
        <f>-SUMIFS(KELUAR!$E:$E,KELUAR!$B:$B,"KUTUBARU",KELUAR!$C:$C,"EMERALD GREEN",KELUAR!$D:$D,"S")+SUMIFS(MASUK!$E:$E,MASUK!$B:$B,"KUTUBARU",MASUK!$C:$C,"EMERALD GREEN",MASUK!$D:$D,"S")++SO!B14</f>
        <v>0</v>
      </c>
      <c r="C14" s="27">
        <f>-SUMIFS(KELUAR!$E:$E,KELUAR!$B:$B,"KUTUBARU",KELUAR!$C:$C,"EMERALD GREEN",KELUAR!$D:$D,"M")+SUMIFS(MASUK!$E:$E,MASUK!$B:$B,"KUTUBARU",MASUK!$C:$C,"EMERALD GREEN",MASUK!$D:$D,"M")+SO!C14</f>
        <v>0</v>
      </c>
      <c r="D14" s="27">
        <f>-SUMIFS(KELUAR!$E:$E,KELUAR!$B:$B,"KUTUBARU",KELUAR!$C:$C,"EMERALD GREEN",KELUAR!$D:$D,"L")+SUMIFS(MASUK!$E:$E,MASUK!$B:$B,"KUTUBARU",MASUK!$C:$C,"EMERALD GREEN",MASUK!$D:$D,"L")+SO!D14</f>
        <v>0</v>
      </c>
      <c r="E14" s="27">
        <f>-SUMIFS(KELUAR!$E:$E,KELUAR!$B:$B,"KUTUBARU",KELUAR!$C:$C,"EMERALD GREEN",KELUAR!$D:$D,"XL")+SUMIFS(MASUK!$E:$E,MASUK!$B:$B,"KUTUBARU",MASUK!$C:$C,"EMERALD GREEN",MASUK!$D:$D,"XL")+SO!E14</f>
        <v>0</v>
      </c>
      <c r="F14" s="27">
        <f t="shared" si="0"/>
        <v>0</v>
      </c>
      <c r="I14" s="26" t="s">
        <v>40</v>
      </c>
      <c r="J14" s="27">
        <f>-SUMIFS(KELUAR!$E:$E,KELUAR!$B:$B,"GOTIK",KELUAR!$C:$C,"emerald blue",KELUAR!$D:$D,"4")+SUMIFS(MASUK!$E:$E,MASUK!$B:$B,"GOTIK",MASUK!$C:$C,"emerald blue",MASUK!$D:$D,"4")+SO!J14</f>
        <v>0</v>
      </c>
      <c r="K14" s="27">
        <f>-SUMIFS(KELUAR!$E:$E,KELUAR!$B:$B,"GOTIK",KELUAR!$C:$C,"emerald blue",KELUAR!$D:$D,"6")+SUMIFS(MASUK!$E:$E,MASUK!$B:$B,"GOTIK",MASUK!$C:$C,"emerald blue",MASUK!$D:$D,"6")+SO!K14</f>
        <v>0</v>
      </c>
      <c r="L14" s="27">
        <f>-SUMIFS(KELUAR!$E:$E,KELUAR!$B:$B,"GOTIK",KELUAR!$C:$C,"emerald blue",KELUAR!$D:$D,"8")+SUMIFS(MASUK!$E:$E,MASUK!$B:$B,"GOTIK",MASUK!$C:$C,"emerald blue",MASUK!$D:$D,"8")+SO!L14</f>
        <v>0</v>
      </c>
      <c r="M14" s="27">
        <f>-SUMIFS(KELUAR!$E:$E,KELUAR!$B:$B,"GOTIK",KELUAR!$C:$C,"emerald blue",KELUAR!$D:$D,"10")+SUMIFS(MASUK!$E:$E,MASUK!$B:$B,"GOTIK",MASUK!$C:$C,"emerald blue",MASUK!$D:$D,"10")+SO!M14</f>
        <v>0</v>
      </c>
      <c r="N14" s="27">
        <f>-SUMIFS(KELUAR!$E:$E,KELUAR!$B:$B,"GOTIK",KELUAR!$C:$C,"emerald blue",KELUAR!$D:$D,"12")+SUMIFS(MASUK!$E:$E,MASUK!$B:$B,"GOTIK",MASUK!$C:$C,"emerald blue",MASUK!$D:$D,"12")+SO!N14</f>
        <v>0</v>
      </c>
      <c r="O14" s="27">
        <f>-SUMIFS(KELUAR!$E:$E,KELUAR!$B:$B,"GOTIK",KELUAR!$C:$C,"emerald blue",KELUAR!$D:$D,"14")+SUMIFS(MASUK!$E:$E,MASUK!$B:$B,"GOTIK",MASUK!$C:$C,"emerald blue",MASUK!$D:$D,"14")+SO!O14</f>
        <v>0</v>
      </c>
      <c r="P14" s="27">
        <f t="shared" si="1"/>
        <v>0</v>
      </c>
    </row>
    <row r="15" spans="1:16" ht="14.5">
      <c r="A15" s="30" t="s">
        <v>36</v>
      </c>
      <c r="B15" s="27">
        <f>-SUMIFS(KELUAR!$E:$E,KELUAR!$B:$B,"KUTUBARU",KELUAR!$C:$C,"FUCIA",KELUAR!$D:$D,"S")+SUMIFS(MASUK!$E:$E,MASUK!$B:$B,"KUTUBARU",MASUK!$C:$C,"FUCIA",MASUK!$D:$D,"S")++SO!B15</f>
        <v>0</v>
      </c>
      <c r="C15" s="27">
        <f>-SUMIFS(KELUAR!$E:$E,KELUAR!$B:$B,"KUTUBARU",KELUAR!$C:$C,"FUCIA",KELUAR!$D:$D,"M")+SUMIFS(MASUK!$E:$E,MASUK!$B:$B,"KUTUBARU",MASUK!$C:$C,"FUCIA",MASUK!$D:$D,"M")+SO!C15</f>
        <v>0</v>
      </c>
      <c r="D15" s="27">
        <f>-SUMIFS(KELUAR!$E:$E,KELUAR!$B:$B,"KUTUBARU",KELUAR!$C:$C,"FUCIA",KELUAR!$D:$D,"L")+SUMIFS(MASUK!$E:$E,MASUK!$B:$B,"KUTUBARU",MASUK!$C:$C,"FUCIA",MASUK!$D:$D,"L")+SO!D15</f>
        <v>0</v>
      </c>
      <c r="E15" s="27">
        <f>-SUMIFS(KELUAR!$E:$E,KELUAR!$B:$B,"KUTUBARU",KELUAR!$C:$C,"FUCIA",KELUAR!$D:$D,"XL")+SUMIFS(MASUK!$E:$E,MASUK!$B:$B,"KUTUBARU",MASUK!$C:$C,"FUCIA",MASUK!$D:$D,"XL")+SO!E15</f>
        <v>0</v>
      </c>
      <c r="F15" s="27">
        <f t="shared" si="0"/>
        <v>0</v>
      </c>
      <c r="I15" s="26" t="s">
        <v>37</v>
      </c>
      <c r="J15" s="27">
        <f>-SUMIFS(KELUAR!$E:$E,KELUAR!$B:$B,"GOTIK",KELUAR!$C:$C,"silver",KELUAR!$D:$D,"4")+SUMIFS(MASUK!$E:$E,MASUK!$B:$B,"GOTIK",MASUK!$C:$C,"silver",MASUK!$D:$D,"4")+SO!J15</f>
        <v>0</v>
      </c>
      <c r="K15" s="27">
        <f>-SUMIFS(KELUAR!$E:$E,KELUAR!$B:$B,"GOTIK",KELUAR!$C:$C,"silver",KELUAR!$D:$D,"6")+SUMIFS(MASUK!$E:$E,MASUK!$B:$B,"GOTIK",MASUK!$C:$C,"silver",MASUK!$D:$D,"6")+SO!K15</f>
        <v>0</v>
      </c>
      <c r="L15" s="27">
        <f>-SUMIFS(KELUAR!$E:$E,KELUAR!$B:$B,"GOTIK",KELUAR!$C:$C,"silver",KELUAR!$D:$D,"8")+SUMIFS(MASUK!$E:$E,MASUK!$B:$B,"GOTIK",MASUK!$C:$C,"silver",MASUK!$D:$D,"8")+SO!L15</f>
        <v>0</v>
      </c>
      <c r="M15" s="27">
        <f>-SUMIFS(KELUAR!$E:$E,KELUAR!$B:$B,"GOTIK",KELUAR!$C:$C,"silver",KELUAR!$D:$D,"10")+SUMIFS(MASUK!$E:$E,MASUK!$B:$B,"GOTIK",MASUK!$C:$C,"silver",MASUK!$D:$D,"10")+SO!M15</f>
        <v>0</v>
      </c>
      <c r="N15" s="27">
        <f>-SUMIFS(KELUAR!$E:$E,KELUAR!$B:$B,"GOTIK",KELUAR!$C:$C,"silver",KELUAR!$D:$D,"12")+SUMIFS(MASUK!$E:$E,MASUK!$B:$B,"GOTIK",MASUK!$C:$C,"silver",MASUK!$D:$D,"12")+SO!N15</f>
        <v>0</v>
      </c>
      <c r="O15" s="27">
        <f>-SUMIFS(KELUAR!$E:$E,KELUAR!$B:$B,"GOTIK",KELUAR!$C:$C,"silver",KELUAR!$D:$D,"14")+SUMIFS(MASUK!$E:$E,MASUK!$B:$B,"GOTIK",MASUK!$C:$C,"silver",MASUK!$D:$D,"14")+SO!O15</f>
        <v>0</v>
      </c>
      <c r="P15" s="27">
        <f t="shared" si="1"/>
        <v>0</v>
      </c>
    </row>
    <row r="16" spans="1:16" ht="14.5">
      <c r="A16" s="43" t="s">
        <v>37</v>
      </c>
      <c r="B16" s="27">
        <f>-SUMIFS(KELUAR!$E:$E,KELUAR!$B:$B,"KUTUBARU",KELUAR!$C:$C,"silver",KELUAR!$D:$D,"S")+SUMIFS(MASUK!$E:$E,MASUK!$B:$B,"KUTUBARU",MASUK!$C:$C,"silver",MASUK!$D:$D,"S")++SO!B16</f>
        <v>0</v>
      </c>
      <c r="C16" s="27">
        <f>-SUMIFS(KELUAR!$E:$E,KELUAR!$B:$B,"KUTUBARU",KELUAR!$C:$C,"silver",KELUAR!$D:$D,"M")+SUMIFS(MASUK!$E:$E,MASUK!$B:$B,"KUTUBARU",MASUK!$C:$C,"silver",MASUK!$D:$D,"M")+SO!C16</f>
        <v>0</v>
      </c>
      <c r="D16" s="27">
        <f>-SUMIFS(KELUAR!$E:$E,KELUAR!$B:$B,"KUTUBARU",KELUAR!$C:$C,"silver",KELUAR!$D:$D,"L")+SUMIFS(MASUK!$E:$E,MASUK!$B:$B,"KUTUBARU",MASUK!$C:$C,"silver",MASUK!$D:$D,"L")+SO!D16</f>
        <v>0</v>
      </c>
      <c r="E16" s="27">
        <f>-SUMIFS(KELUAR!$E:$E,KELUAR!$B:$B,"KUTUBARU",KELUAR!$C:$C,"silver",KELUAR!$D:$D,"XL")+SUMIFS(MASUK!$E:$E,MASUK!$B:$B,"KUTUBARU",MASUK!$C:$C,"silver",MASUK!$D:$D,"XL")+SO!E16</f>
        <v>0</v>
      </c>
      <c r="F16" s="27">
        <f t="shared" ref="F16:F17" si="2">SUM(B16:E16)</f>
        <v>0</v>
      </c>
      <c r="I16" s="26" t="s">
        <v>49</v>
      </c>
      <c r="J16" s="27">
        <f>-SUMIFS(KELUAR!$E:$E,KELUAR!$B:$B,"GOTIK",KELUAR!$C:$C,"butter yellow",KELUAR!$D:$D,"4")+SUMIFS(MASUK!$E:$E,MASUK!$B:$B,"GOTIK",MASUK!$C:$C,"butter yellow",MASUK!$D:$D,"4")+SO!J16</f>
        <v>0</v>
      </c>
      <c r="K16" s="27">
        <f>-SUMIFS(KELUAR!$E:$E,KELUAR!$B:$B,"GOTIK",KELUAR!$C:$C,"butter yellow",KELUAR!$D:$D,"6")+SUMIFS(MASUK!$E:$E,MASUK!$B:$B,"GOTIK",MASUK!$C:$C,"butter yellow",MASUK!$D:$D,"6")+SO!K16</f>
        <v>0</v>
      </c>
      <c r="L16" s="27">
        <f>-SUMIFS(KELUAR!$E:$E,KELUAR!$B:$B,"GOTIK",KELUAR!$C:$C,"butter yellow",KELUAR!$D:$D,"8")+SUMIFS(MASUK!$E:$E,MASUK!$B:$B,"GOTIK",MASUK!$C:$C,"butter yellow",MASUK!$D:$D,"8")+SO!L16</f>
        <v>0</v>
      </c>
      <c r="M16" s="27">
        <f>-SUMIFS(KELUAR!$E:$E,KELUAR!$B:$B,"GOTIK",KELUAR!$C:$C,"butter yellow",KELUAR!$D:$D,"10")+SUMIFS(MASUK!$E:$E,MASUK!$B:$B,"GOTIK",MASUK!$C:$C,"butter yellow",MASUK!$D:$D,"10")+SO!M16</f>
        <v>0</v>
      </c>
      <c r="N16" s="27">
        <f>-SUMIFS(KELUAR!$E:$E,KELUAR!$B:$B,"GOTIK",KELUAR!$C:$C,"butter yellow",KELUAR!$D:$D,"12")+SUMIFS(MASUK!$E:$E,MASUK!$B:$B,"GOTIK",MASUK!$C:$C,"butter yellow",MASUK!$D:$D,"12")+SO!N16</f>
        <v>0</v>
      </c>
      <c r="O16" s="27">
        <f>-SUMIFS(KELUAR!$E:$E,KELUAR!$B:$B,"GOTIK",KELUAR!$C:$C,"butter yellow",KELUAR!$D:$D,"14")+SUMIFS(MASUK!$E:$E,MASUK!$B:$B,"GOTIK",MASUK!$C:$C,"butter yellow",MASUK!$D:$D,"14")+SO!O16</f>
        <v>0</v>
      </c>
      <c r="P16" s="27">
        <f t="shared" si="1"/>
        <v>0</v>
      </c>
    </row>
    <row r="17" spans="1:16" ht="14.5">
      <c r="A17" s="44" t="s">
        <v>49</v>
      </c>
      <c r="B17" s="27">
        <f>-SUMIFS(KELUAR!$E:$E,KELUAR!$B:$B,"KUTUBARU",KELUAR!$C:$C,"Butter Yellow",KELUAR!$D:$D,"S")+SUMIFS(MASUK!$E:$E,MASUK!$B:$B,"KUTUBARU",MASUK!$C:$C,"Butter Yellow",MASUK!$D:$D,"S")++SO!B17</f>
        <v>0</v>
      </c>
      <c r="C17" s="27">
        <f>-SUMIFS(KELUAR!$E:$E,KELUAR!$B:$B,"KUTUBARU",KELUAR!$C:$C,"Butter Yellow",KELUAR!$D:$D,"M")+SUMIFS(MASUK!$E:$E,MASUK!$B:$B,"KUTUBARU",MASUK!$C:$C,"Butter Yellow",MASUK!$D:$D,"M")+SO!C17</f>
        <v>0</v>
      </c>
      <c r="D17" s="27">
        <f>-SUMIFS(KELUAR!$E:$E,KELUAR!$B:$B,"KUTUBARU",KELUAR!$C:$C,"Butter Yellow",KELUAR!$D:$D,"L")+SUMIFS(MASUK!$E:$E,MASUK!$B:$B,"KUTUBARU",MASUK!$C:$C,"Butter Yellow",MASUK!$D:$D,"L")+SO!D17</f>
        <v>0</v>
      </c>
      <c r="E17" s="27">
        <f>-SUMIFS(KELUAR!$E:$E,KELUAR!$B:$B,"KUTUBARU",KELUAR!$C:$C,"Butter Yellow",KELUAR!$D:$D,"XL")+SUMIFS(MASUK!$E:$E,MASUK!$B:$B,"KUTUBARU",MASUK!$C:$C,"Butter Yellow",MASUK!$D:$D,"XL")+SO!E17</f>
        <v>0</v>
      </c>
      <c r="F17" s="27">
        <f t="shared" si="2"/>
        <v>0</v>
      </c>
      <c r="I17" s="26"/>
      <c r="J17" s="27">
        <f>-SUMIFS(KELUAR!$E:$E,KELUAR!$B:$B,"GOTIK",KELUAR!$C:$C,"GOLD",KELUAR!$D:$D,"4")+SUMIFS(MASUK!$E:$E,MASUK!$B:$B,"GOTIK",MASUK!$C:$C,"GOLD",MASUK!$D:$D,"4")+SO!J17</f>
        <v>0</v>
      </c>
      <c r="K17" s="27">
        <f>-SUMIFS(KELUAR!$E:$E,KELUAR!$B:$B,"GOTIK",KELUAR!$C:$C,"GOLD",KELUAR!$D:$D,"6")+SUMIFS(MASUK!$E:$E,MASUK!$B:$B,"GOTIK",MASUK!$C:$C,"GOLD",MASUK!$D:$D,"6")+SO!K17</f>
        <v>0</v>
      </c>
      <c r="L17" s="27">
        <f>-SUMIFS(KELUAR!$E:$E,KELUAR!$B:$B,"GOTIK",KELUAR!$C:$C,"GOLD",KELUAR!$D:$D,"8")+SUMIFS(MASUK!$E:$E,MASUK!$B:$B,"GOTIK",MASUK!$C:$C,"GOLD",MASUK!$D:$D,"8")+SO!L17</f>
        <v>0</v>
      </c>
      <c r="M17" s="27">
        <f>-SUMIFS(KELUAR!$E:$E,KELUAR!$B:$B,"GOTIK",KELUAR!$C:$C,"GOLD",KELUAR!$D:$D,"10")+SUMIFS(MASUK!$E:$E,MASUK!$B:$B,"GOTIK",MASUK!$C:$C,"GOLD",MASUK!$D:$D,"10")+SO!M17</f>
        <v>0</v>
      </c>
      <c r="N17" s="27">
        <f>-SUMIFS(KELUAR!$E:$E,KELUAR!$B:$B,"GOTIK",KELUAR!$C:$C,"GOLD",KELUAR!$D:$D,"12")+SUMIFS(MASUK!$E:$E,MASUK!$B:$B,"GOTIK",MASUK!$C:$C,"GOLD",MASUK!$D:$D,"12")+SO!N17</f>
        <v>0</v>
      </c>
      <c r="O17" s="27">
        <f>-SUMIFS(KELUAR!$E:$E,KELUAR!$B:$B,"GOTIK",KELUAR!$C:$C,"GOLD",KELUAR!$D:$D,"14")+SUMIFS(MASUK!$E:$E,MASUK!$B:$B,"GOTIK",MASUK!$C:$C,"GOLD",MASUK!$D:$D,"14")+SO!O17</f>
        <v>0</v>
      </c>
      <c r="P17" s="27">
        <f t="shared" si="1"/>
        <v>0</v>
      </c>
    </row>
    <row r="18" spans="1:16" ht="14.5">
      <c r="A18" s="26"/>
      <c r="B18" s="27">
        <f>-SUMIFS(KELUAR!$E:$E,KELUAR!$B:$B,"KUTUBARU",KELUAR!$C:$C,"FUCIA",KELUAR!$D:$D,"S")+SUMIFS(MASUK!$E:$E,MASUK!$B:$B,"KUTUBARU",MASUK!$C:$C,"FUCIA",MASUK!$D:$D,"S")++SO!B18</f>
        <v>0</v>
      </c>
      <c r="C18" s="27">
        <f>-SUMIFS(KELUAR!$E:$E,KELUAR!$B:$B,"KUTUBARU",KELUAR!$C:$C,"FUCIA",KELUAR!$D:$D,"M")+SUMIFS(MASUK!$E:$E,MASUK!$B:$B,"KUTUBARU",MASUK!$C:$C,"FUCIA",MASUK!$D:$D,"M")+SO!C18</f>
        <v>0</v>
      </c>
      <c r="D18" s="27">
        <f>-SUMIFS(KELUAR!$E:$E,KELUAR!$B:$B,"KUTUBARU",KELUAR!$C:$C,"FUCIA",KELUAR!$D:$D,"L")+SUMIFS(MASUK!$E:$E,MASUK!$B:$B,"KUTUBARU",MASUK!$C:$C,"FUCIA",MASUK!$D:$D,"L")+SO!D18</f>
        <v>0</v>
      </c>
      <c r="E18" s="27">
        <f>-SUMIFS(KELUAR!$E:$E,KELUAR!$B:$B,"KUTUBARU",KELUAR!$C:$C,"FUCIA",KELUAR!$D:$D,"XL")+SUMIFS(MASUK!$E:$E,MASUK!$B:$B,"KUTUBARU",MASUK!$C:$C,"FUCIA",MASUK!$D:$D,"XL")+SO!E18</f>
        <v>0</v>
      </c>
      <c r="F18" s="27">
        <f t="shared" ref="F18" si="3">SUM(B18:E18)</f>
        <v>0</v>
      </c>
      <c r="I18" s="26"/>
      <c r="J18" s="27">
        <f>-SUMIFS(KELUAR!$E:$E,KELUAR!$B:$B,"GOTIK",KELUAR!$C:$C,"GOLD",KELUAR!$D:$D,"4")+SUMIFS(MASUK!$E:$E,MASUK!$B:$B,"GOTIK",MASUK!$C:$C,"GOLD",MASUK!$D:$D,"4")+SO!J18</f>
        <v>0</v>
      </c>
      <c r="K18" s="27">
        <f>-SUMIFS(KELUAR!$E:$E,KELUAR!$B:$B,"GOTIK",KELUAR!$C:$C,"GOLD",KELUAR!$D:$D,"6")+SUMIFS(MASUK!$E:$E,MASUK!$B:$B,"GOTIK",MASUK!$C:$C,"GOLD",MASUK!$D:$D,"6")+SO!K18</f>
        <v>0</v>
      </c>
      <c r="L18" s="27">
        <f>-SUMIFS(KELUAR!$E:$E,KELUAR!$B:$B,"GOTIK",KELUAR!$C:$C,"GOLD",KELUAR!$D:$D,"8")+SUMIFS(MASUK!$E:$E,MASUK!$B:$B,"GOTIK",MASUK!$C:$C,"GOLD",MASUK!$D:$D,"8")+SO!L18</f>
        <v>0</v>
      </c>
      <c r="M18" s="27">
        <f>-SUMIFS(KELUAR!$E:$E,KELUAR!$B:$B,"GOTIK",KELUAR!$C:$C,"GOLD",KELUAR!$D:$D,"10")+SUMIFS(MASUK!$E:$E,MASUK!$B:$B,"GOTIK",MASUK!$C:$C,"GOLD",MASUK!$D:$D,"10")+SO!M18</f>
        <v>0</v>
      </c>
      <c r="N18" s="27">
        <f>-SUMIFS(KELUAR!$E:$E,KELUAR!$B:$B,"GOTIK",KELUAR!$C:$C,"GOLD",KELUAR!$D:$D,"12")+SUMIFS(MASUK!$E:$E,MASUK!$B:$B,"GOTIK",MASUK!$C:$C,"GOLD",MASUK!$D:$D,"12")+SO!N18</f>
        <v>0</v>
      </c>
      <c r="O18" s="27">
        <f>-SUMIFS(KELUAR!$E:$E,KELUAR!$B:$B,"GOTIK",KELUAR!$C:$C,"GOLD",KELUAR!$D:$D,"14")+SUMIFS(MASUK!$E:$E,MASUK!$B:$B,"GOTIK",MASUK!$C:$C,"GOLD",MASUK!$D:$D,"14")+SO!O18</f>
        <v>0</v>
      </c>
      <c r="P18" s="27">
        <f t="shared" si="1"/>
        <v>0</v>
      </c>
    </row>
    <row r="19" spans="1:16" ht="14.5">
      <c r="A19" s="26"/>
      <c r="B19" s="27">
        <f>-SUMIFS(KELUAR!$E:$E,KELUAR!$B:$B,"KUTUBARU",KELUAR!$C:$C,"FUCIA",KELUAR!$D:$D,"S")+SUMIFS(MASUK!$E:$E,MASUK!$B:$B,"KUTUBARU",MASUK!$C:$C,"FUCIA",MASUK!$D:$D,"S")++SO!B19</f>
        <v>0</v>
      </c>
      <c r="C19" s="27">
        <f>-SUMIFS(KELUAR!$E:$E,KELUAR!$B:$B,"KUTUBARU",KELUAR!$C:$C,"FUCIA",KELUAR!$D:$D,"M")+SUMIFS(MASUK!$E:$E,MASUK!$B:$B,"KUTUBARU",MASUK!$C:$C,"FUCIA",MASUK!$D:$D,"M")+SO!C19</f>
        <v>0</v>
      </c>
      <c r="D19" s="27">
        <f>-SUMIFS(KELUAR!$E:$E,KELUAR!$B:$B,"KUTUBARU",KELUAR!$C:$C,"FUCIA",KELUAR!$D:$D,"L")+SUMIFS(MASUK!$E:$E,MASUK!$B:$B,"KUTUBARU",MASUK!$C:$C,"FUCIA",MASUK!$D:$D,"L")+SO!D19</f>
        <v>0</v>
      </c>
      <c r="E19" s="27">
        <f>-SUMIFS(KELUAR!$E:$E,KELUAR!$B:$B,"KUTUBARU",KELUAR!$C:$C,"FUCIA",KELUAR!$D:$D,"XL")+SUMIFS(MASUK!$E:$E,MASUK!$B:$B,"KUTUBARU",MASUK!$C:$C,"FUCIA",MASUK!$D:$D,"XL")+SO!E19</f>
        <v>0</v>
      </c>
      <c r="F19" s="27">
        <f>SUM(B19:E19)</f>
        <v>0</v>
      </c>
      <c r="I19" s="26"/>
      <c r="J19" s="27">
        <f>-SUMIFS(KELUAR!$E:$E,KELUAR!$B:$B,"GOTIK",KELUAR!$C:$C,"GOLD",KELUAR!$D:$D,"4")+SUMIFS(MASUK!$E:$E,MASUK!$B:$B,"GOTIK",MASUK!$C:$C,"GOLD",MASUK!$D:$D,"4")+SO!J19</f>
        <v>0</v>
      </c>
      <c r="K19" s="27">
        <f>-SUMIFS(KELUAR!$E:$E,KELUAR!$B:$B,"GOTIK",KELUAR!$C:$C,"GOLD",KELUAR!$D:$D,"6")+SUMIFS(MASUK!$E:$E,MASUK!$B:$B,"GOTIK",MASUK!$C:$C,"GOLD",MASUK!$D:$D,"6")+SO!K19</f>
        <v>0</v>
      </c>
      <c r="L19" s="27">
        <f>-SUMIFS(KELUAR!$E:$E,KELUAR!$B:$B,"GOTIK",KELUAR!$C:$C,"GOLD",KELUAR!$D:$D,"8")+SUMIFS(MASUK!$E:$E,MASUK!$B:$B,"GOTIK",MASUK!$C:$C,"GOLD",MASUK!$D:$D,"8")+SO!L19</f>
        <v>0</v>
      </c>
      <c r="M19" s="27">
        <f>-SUMIFS(KELUAR!$E:$E,KELUAR!$B:$B,"GOTIK",KELUAR!$C:$C,"GOLD",KELUAR!$D:$D,"10")+SUMIFS(MASUK!$E:$E,MASUK!$B:$B,"GOTIK",MASUK!$C:$C,"GOLD",MASUK!$D:$D,"10")+SO!M19</f>
        <v>0</v>
      </c>
      <c r="N19" s="27">
        <f>-SUMIFS(KELUAR!$E:$E,KELUAR!$B:$B,"GOTIK",KELUAR!$C:$C,"GOLD",KELUAR!$D:$D,"12")+SUMIFS(MASUK!$E:$E,MASUK!$B:$B,"GOTIK",MASUK!$C:$C,"GOLD",MASUK!$D:$D,"12")+SO!N19</f>
        <v>0</v>
      </c>
      <c r="O19" s="27">
        <f>-SUMIFS(KELUAR!$E:$E,KELUAR!$B:$B,"GOTIK",KELUAR!$C:$C,"GOLD",KELUAR!$D:$D,"14")+SUMIFS(MASUK!$E:$E,MASUK!$B:$B,"GOTIK",MASUK!$C:$C,"GOLD",MASUK!$D:$D,"14")+SO!O19</f>
        <v>0</v>
      </c>
      <c r="P19" s="27">
        <f t="shared" si="1"/>
        <v>0</v>
      </c>
    </row>
    <row r="20" spans="1:16" ht="14.5">
      <c r="B20" s="33"/>
      <c r="C20" s="33"/>
      <c r="D20" s="33"/>
      <c r="E20" s="25" t="s">
        <v>10</v>
      </c>
      <c r="F20" s="26">
        <f>SUBTOTAL(9,F3:F19)</f>
        <v>0</v>
      </c>
      <c r="N20" s="1"/>
      <c r="O20" s="26" t="s">
        <v>10</v>
      </c>
      <c r="P20" s="26">
        <f>SUBTOTAL(9,P3:P19)</f>
        <v>0</v>
      </c>
    </row>
    <row r="21" spans="1:16" ht="14.5">
      <c r="B21" s="33"/>
      <c r="C21" s="33"/>
      <c r="D21" s="33"/>
      <c r="E21" s="35"/>
      <c r="F21" s="2"/>
      <c r="N21" s="1"/>
      <c r="O21" s="1"/>
      <c r="P21" s="1"/>
    </row>
    <row r="22" spans="1:16" ht="14.5">
      <c r="B22" s="33"/>
      <c r="C22" s="33"/>
      <c r="D22" s="33"/>
      <c r="E22" s="35"/>
      <c r="F22" s="2"/>
      <c r="I22" s="35"/>
      <c r="J22" s="35"/>
      <c r="K22" s="35"/>
      <c r="L22" s="35"/>
      <c r="M22" s="35"/>
      <c r="N22" s="35"/>
      <c r="O22" s="35"/>
      <c r="P22" s="36"/>
    </row>
    <row r="23" spans="1:16" ht="14.5">
      <c r="B23" s="33"/>
      <c r="C23" s="33"/>
      <c r="D23" s="33"/>
      <c r="E23" s="35"/>
      <c r="F23" s="2"/>
      <c r="I23" s="111" t="s">
        <v>38</v>
      </c>
      <c r="J23" s="112"/>
      <c r="K23" s="112"/>
      <c r="L23" s="112"/>
      <c r="M23" s="112"/>
      <c r="N23" s="112"/>
      <c r="O23" s="113"/>
      <c r="P23" s="104" t="s">
        <v>27</v>
      </c>
    </row>
    <row r="24" spans="1:16" ht="14.5">
      <c r="B24" s="33"/>
      <c r="C24" s="33"/>
      <c r="D24" s="33"/>
      <c r="E24" s="33"/>
      <c r="I24" s="67" t="s">
        <v>28</v>
      </c>
      <c r="J24" s="67">
        <v>4</v>
      </c>
      <c r="K24" s="67">
        <v>6</v>
      </c>
      <c r="L24" s="67">
        <v>8</v>
      </c>
      <c r="M24" s="67">
        <v>10</v>
      </c>
      <c r="N24" s="68">
        <v>12</v>
      </c>
      <c r="O24" s="68">
        <v>14</v>
      </c>
      <c r="P24" s="105"/>
    </row>
    <row r="25" spans="1:16" ht="14.5">
      <c r="A25" s="106" t="s">
        <v>39</v>
      </c>
      <c r="B25" s="107"/>
      <c r="C25" s="107"/>
      <c r="D25" s="107"/>
      <c r="E25" s="108"/>
      <c r="F25" s="109" t="s">
        <v>27</v>
      </c>
      <c r="I25" s="26" t="s">
        <v>18</v>
      </c>
      <c r="J25" s="27">
        <f>-SUMIFS(KELUAR!$E:$E,KELUAR!$B:$B,"SLAYER",KELUAR!$C:$C,"mahogany",KELUAR!$D:$D,"4")+SUMIFS(MASUK!$E:$E,MASUK!$B:$B,"SLAYER",MASUK!$C:$C,"mahogany",MASUK!$D:$D,"4")+SO!J25</f>
        <v>0</v>
      </c>
      <c r="K25" s="27">
        <f>-SUMIFS(KELUAR!$E:$E,KELUAR!$B:$B,"SLAYER",KELUAR!$C:$C,"mahogany",KELUAR!$D:$D,"6")+SUMIFS(MASUK!$E:$E,MASUK!$B:$B,"SLAYER",MASUK!$C:$C,"mahogany",MASUK!$D:$D,"6")+SO!K25</f>
        <v>0</v>
      </c>
      <c r="L25" s="27">
        <f>-SUMIFS(KELUAR!$E:$E,KELUAR!$B:$B,"SLAYER",KELUAR!$C:$C,"mahogany",KELUAR!$D:$D,"8")+SUMIFS(MASUK!$E:$E,MASUK!$B:$B,"SLAYER",MASUK!$C:$C,"mahogany",MASUK!$D:$D,"8")+SO!L25</f>
        <v>0</v>
      </c>
      <c r="M25" s="27">
        <f>-SUMIFS(KELUAR!$E:$E,KELUAR!$B:$B,"SLAYER",KELUAR!$C:$C,"mahogany",KELUAR!$D:$D,"10")+SUMIFS(MASUK!$E:$E,MASUK!$B:$B,"SLAYER",MASUK!$C:$C,"mahogany",MASUK!$D:$D,"10")+SO!M25</f>
        <v>0</v>
      </c>
      <c r="N25" s="27">
        <f>-SUMIFS(KELUAR!$E:$E,KELUAR!$B:$B,"SLAYER",KELUAR!$C:$C,"mahogany",KELUAR!$D:$D,"12")+SUMIFS(MASUK!$E:$E,MASUK!$B:$B,"SLAYER",MASUK!$C:$C,"mahogany",MASUK!$D:$D,"12")+SO!N25</f>
        <v>0</v>
      </c>
      <c r="O25" s="27">
        <f>-SUMIFS(KELUAR!$E:$E,KELUAR!$B:$B,"SLAYER",KELUAR!$C:$C,"mahogany",KELUAR!$D:$D,"14")+SUMIFS(MASUK!$E:$E,MASUK!$B:$B,"SLAYER",MASUK!$C:$C,"mahogany",MASUK!$D:$D,"14")+SO!O25</f>
        <v>0</v>
      </c>
      <c r="P25" s="27">
        <f>SUM(J25:O25)</f>
        <v>0</v>
      </c>
    </row>
    <row r="26" spans="1:16" ht="14.5">
      <c r="A26" s="71" t="s">
        <v>28</v>
      </c>
      <c r="B26" s="71" t="s">
        <v>29</v>
      </c>
      <c r="C26" s="71" t="s">
        <v>30</v>
      </c>
      <c r="D26" s="71" t="s">
        <v>31</v>
      </c>
      <c r="E26" s="71"/>
      <c r="F26" s="110"/>
      <c r="I26" s="37" t="s">
        <v>20</v>
      </c>
      <c r="J26" s="27">
        <f>-SUMIFS(KELUAR!$E:$E,KELUAR!$B:$B,"SLAYER",KELUAR!$C:$C,"burgundy",KELUAR!$D:$D,"4")+SUMIFS(MASUK!$E:$E,MASUK!$B:$B,"SLAYER",MASUK!$C:$C,"burgundy",MASUK!$D:$D,"4")+SO!J26</f>
        <v>0</v>
      </c>
      <c r="K26" s="27">
        <f>-SUMIFS(KELUAR!$E:$E,KELUAR!$B:$B,"SLAYER",KELUAR!$C:$C,"burgundy",KELUAR!$D:$D,"6")+SUMIFS(MASUK!$E:$E,MASUK!$B:$B,"SLAYER",MASUK!$C:$C,"burgundy",MASUK!$D:$D,"6")+SO!K26</f>
        <v>0</v>
      </c>
      <c r="L26" s="27">
        <f>-SUMIFS(KELUAR!$E:$E,KELUAR!$B:$B,"SLAYER",KELUAR!$C:$C,"burgundy",KELUAR!$D:$D,"8")+SUMIFS(MASUK!$E:$E,MASUK!$B:$B,"SLAYER",MASUK!$C:$C,"burgundy",MASUK!$D:$D,"8")+SO!L26</f>
        <v>0</v>
      </c>
      <c r="M26" s="27">
        <f>-SUMIFS(KELUAR!$E:$E,KELUAR!$B:$B,"SLAYER",KELUAR!$C:$C,"burgundy",KELUAR!$D:$D,"10")+SUMIFS(MASUK!$E:$E,MASUK!$B:$B,"SLAYER",MASUK!$C:$C,"burgundy",MASUK!$D:$D,"10")+SO!M26</f>
        <v>0</v>
      </c>
      <c r="N26" s="27">
        <f>-SUMIFS(KELUAR!$E:$E,KELUAR!$B:$B,"SLAYER",KELUAR!$C:$C,"burgundy",KELUAR!$D:$D,"12")+SUMIFS(MASUK!$E:$E,MASUK!$B:$B,"SLAYER",MASUK!$C:$C,"burgundy",MASUK!$D:$D,"12")+SO!N26</f>
        <v>0</v>
      </c>
      <c r="O26" s="27">
        <f>-SUMIFS(KELUAR!$E:$E,KELUAR!$B:$B,"SLAYER",KELUAR!$C:$C,"burgundy",KELUAR!$D:$D,"14")+SUMIFS(MASUK!$E:$E,MASUK!$B:$B,"SLAYER",MASUK!$C:$C,"burgundy",MASUK!$D:$D,"14")+SO!O26</f>
        <v>0</v>
      </c>
      <c r="P26" s="27">
        <f t="shared" ref="P26:P39" si="4">SUM(J26:O26)</f>
        <v>0</v>
      </c>
    </row>
    <row r="27" spans="1:16" ht="14.5">
      <c r="A27" s="26" t="s">
        <v>18</v>
      </c>
      <c r="B27" s="27">
        <f>-SUMIFS(KELUAR!$E:$E,KELUAR!$B:$B,"JANGGAN PENDEK",KELUAR!$C:$C,"MAHOGANY",KELUAR!$D:$D,"S")+SUMIFS(MASUK!$E:$E,MASUK!$B:$B,"JANGGAN PENDEK",MASUK!$C:$C,"MAHOGANY",MASUK!$D:$D,"S")+SO!B27</f>
        <v>0</v>
      </c>
      <c r="C27" s="27">
        <f>-SUMIFS(KELUAR!$E:$E,KELUAR!$B:$B,"JANGGAN PENDEK",KELUAR!$C:$C,"MAHOGANY",KELUAR!$D:$D,"M")+SUMIFS(MASUK!$E:$E,MASUK!$B:$B,"JANGGAN PENDEK",MASUK!$C:$C,"MAHOGANY",MASUK!$D:$D,"M")+SO!C27</f>
        <v>0</v>
      </c>
      <c r="D27" s="27">
        <f>-SUMIFS(KELUAR!$E:$E,KELUAR!$B:$B,"JANGGAN PENDEK",KELUAR!$C:$C,"MAHOGANY",KELUAR!$D:$D,"L")+SUMIFS(MASUK!$E:$E,MASUK!$B:$B,"JANGGAN PENDEK",MASUK!$C:$C,"MAHOGANY",MASUK!$D:$D,"L")+SO!D27</f>
        <v>0</v>
      </c>
      <c r="E27" s="27"/>
      <c r="F27" s="27">
        <f t="shared" ref="F27:F38" si="5">SUM(B27:E27)</f>
        <v>0</v>
      </c>
      <c r="I27" s="26" t="s">
        <v>17</v>
      </c>
      <c r="J27" s="27">
        <f>-SUMIFS(KELUAR!$E:$E,KELUAR!$B:$B,"SLAYER",KELUAR!$C:$C,"denim",KELUAR!$D:$D,"4")+SUMIFS(MASUK!$E:$E,MASUK!$B:$B,"SLAYER",MASUK!$C:$C,"denim",MASUK!$D:$D,"4")+SO!J27</f>
        <v>0</v>
      </c>
      <c r="K27" s="27">
        <f>-SUMIFS(KELUAR!$E:$E,KELUAR!$B:$B,"SLAYER",KELUAR!$C:$C,"denim",KELUAR!$D:$D,"6")+SUMIFS(MASUK!$E:$E,MASUK!$B:$B,"SLAYER",MASUK!$C:$C,"denim",MASUK!$D:$D,"6")+SO!K27</f>
        <v>0</v>
      </c>
      <c r="L27" s="27">
        <f>-SUMIFS(KELUAR!$E:$E,KELUAR!$B:$B,"SLAYER",KELUAR!$C:$C,"denim",KELUAR!$D:$D,"8")+SUMIFS(MASUK!$E:$E,MASUK!$B:$B,"SLAYER",MASUK!$C:$C,"denim",MASUK!$D:$D,"8")+SO!L27</f>
        <v>0</v>
      </c>
      <c r="M27" s="27">
        <f>-SUMIFS(KELUAR!$E:$E,KELUAR!$B:$B,"SLAYER",KELUAR!$C:$C,"denim",KELUAR!$D:$D,"10")+SUMIFS(MASUK!$E:$E,MASUK!$B:$B,"SLAYER",MASUK!$C:$C,"denim",MASUK!$D:$D,"10")+SO!M27</f>
        <v>0</v>
      </c>
      <c r="N27" s="27">
        <f>-SUMIFS(KELUAR!$E:$E,KELUAR!$B:$B,"SLAYER",KELUAR!$C:$C,"denim",KELUAR!$D:$D,"12")+SUMIFS(MASUK!$E:$E,MASUK!$B:$B,"SLAYER",MASUK!$C:$C,"denim",MASUK!$D:$D,"12")+SO!N27</f>
        <v>0</v>
      </c>
      <c r="O27" s="27">
        <f>-SUMIFS(KELUAR!$E:$E,KELUAR!$B:$B,"SLAYER",KELUAR!$C:$C,"denim",KELUAR!$D:$D,"14")+SUMIFS(MASUK!$E:$E,MASUK!$B:$B,"SLAYER",MASUK!$C:$C,"denim",MASUK!$D:$D,"14")+SO!O27</f>
        <v>0</v>
      </c>
      <c r="P27" s="27">
        <f t="shared" si="4"/>
        <v>0</v>
      </c>
    </row>
    <row r="28" spans="1:16" ht="14.5">
      <c r="A28" s="26" t="s">
        <v>20</v>
      </c>
      <c r="B28" s="27">
        <f>-SUMIFS(KELUAR!$E:$E,KELUAR!$B:$B,"JANGGAN PENDEK",KELUAR!$C:$C,"BURGUNDY",KELUAR!$D:$D,"S")+SUMIFS(MASUK!$E:$E,MASUK!$B:$B,"JANGGAN PENDEK",MASUK!$C:$C,"BURGUNDY",MASUK!$D:$D,"S")+SO!B28</f>
        <v>0</v>
      </c>
      <c r="C28" s="27">
        <f>-SUMIFS(KELUAR!$E:$E,KELUAR!$B:$B,"JANGGAN PENDEK",KELUAR!$C:$C,"BURGUNDY",KELUAR!$D:$D,"M")+SUMIFS(MASUK!$E:$E,MASUK!$B:$B,"JANGGAN PENDEK",MASUK!$C:$C,"BURGUNDY",MASUK!$D:$D,"M")+SO!C28</f>
        <v>0</v>
      </c>
      <c r="D28" s="27">
        <f>-SUMIFS(KELUAR!$E:$E,KELUAR!$B:$B,"JANGGAN PENDEK",KELUAR!$C:$C,"BURGUNDY",KELUAR!$D:$D,"L")+SUMIFS(MASUK!$E:$E,MASUK!$B:$B,"JANGGAN PENDEK",MASUK!$C:$C,"BURGUNDY",MASUK!$D:$D,"L")+SO!D28</f>
        <v>0</v>
      </c>
      <c r="E28" s="27"/>
      <c r="F28" s="27">
        <f t="shared" si="5"/>
        <v>0</v>
      </c>
      <c r="I28" s="26" t="s">
        <v>14</v>
      </c>
      <c r="J28" s="27">
        <f>-SUMIFS(KELUAR!$E:$E,KELUAR!$B:$B,"SLAYER",KELUAR!$C:$C,"navy",KELUAR!$D:$D,"4")+SUMIFS(MASUK!$E:$E,MASUK!$B:$B,"SLAYER",MASUK!$C:$C,"navy",MASUK!$D:$D,"4")+SO!J28</f>
        <v>0</v>
      </c>
      <c r="K28" s="27">
        <f>-SUMIFS(KELUAR!$E:$E,KELUAR!$B:$B,"SLAYER",KELUAR!$C:$C,"navy",KELUAR!$D:$D,"6")+SUMIFS(MASUK!$E:$E,MASUK!$B:$B,"SLAYER",MASUK!$C:$C,"navy",MASUK!$D:$D,"6")+SO!K28</f>
        <v>0</v>
      </c>
      <c r="L28" s="27">
        <f>-SUMIFS(KELUAR!$E:$E,KELUAR!$B:$B,"SLAYER",KELUAR!$C:$C,"navy",KELUAR!$D:$D,"8")+SUMIFS(MASUK!$E:$E,MASUK!$B:$B,"SLAYER",MASUK!$C:$C,"navy",MASUK!$D:$D,"8")+SO!L28</f>
        <v>0</v>
      </c>
      <c r="M28" s="27">
        <f>-SUMIFS(KELUAR!$E:$E,KELUAR!$B:$B,"SLAYER",KELUAR!$C:$C,"navy",KELUAR!$D:$D,"10")+SUMIFS(MASUK!$E:$E,MASUK!$B:$B,"SLAYER",MASUK!$C:$C,"navy",MASUK!$D:$D,"10")+SO!M28</f>
        <v>0</v>
      </c>
      <c r="N28" s="27">
        <f>-SUMIFS(KELUAR!$E:$E,KELUAR!$B:$B,"SLAYER",KELUAR!$C:$C,"navy",KELUAR!$D:$D,"12")+SUMIFS(MASUK!$E:$E,MASUK!$B:$B,"SLAYER",MASUK!$C:$C,"navy",MASUK!$D:$D,"12")+SO!N28</f>
        <v>0</v>
      </c>
      <c r="O28" s="27">
        <f>-SUMIFS(KELUAR!$E:$E,KELUAR!$B:$B,"SLAYER",KELUAR!$C:$C,"navy",KELUAR!$D:$D,"14")+SUMIFS(MASUK!$E:$E,MASUK!$B:$B,"SLAYER",MASUK!$C:$C,"navy",MASUK!$D:$D,"14")+SO!O28</f>
        <v>0</v>
      </c>
      <c r="P28" s="27">
        <f t="shared" si="4"/>
        <v>0</v>
      </c>
    </row>
    <row r="29" spans="1:16" ht="14.5">
      <c r="A29" s="26" t="s">
        <v>22</v>
      </c>
      <c r="B29" s="27">
        <f>-SUMIFS(KELUAR!$E:$E,KELUAR!$B:$B,"JANGGAN PENDEK",KELUAR!$C:$C,"babyblue",KELUAR!$D:$D,"S")+SUMIFS(MASUK!$E:$E,MASUK!$B:$B,"JANGGAN PENDEK",MASUK!$C:$C,"babyblue",MASUK!$D:$D,"S")+SO!B29</f>
        <v>0</v>
      </c>
      <c r="C29" s="27">
        <f>-SUMIFS(KELUAR!$E:$E,KELUAR!$B:$B,"JANGGAN PENDEK",KELUAR!$C:$C,"babyblue",KELUAR!$D:$D,"M")+SUMIFS(MASUK!$E:$E,MASUK!$B:$B,"JANGGAN PENDEK",MASUK!$C:$C,"babyblue",MASUK!$D:$D,"M")+SO!C29</f>
        <v>0</v>
      </c>
      <c r="D29" s="27">
        <f>-SUMIFS(KELUAR!$E:$E,KELUAR!$B:$B,"JANGGAN PENDEK",KELUAR!$C:$C,"babyblue",KELUAR!$D:$D,"L")+SUMIFS(MASUK!$E:$E,MASUK!$B:$B,"JANGGAN PENDEK",MASUK!$C:$C,"babyblue",MASUK!$D:$D,"L")+SO!D29</f>
        <v>0</v>
      </c>
      <c r="E29" s="27"/>
      <c r="F29" s="27">
        <f t="shared" si="5"/>
        <v>0</v>
      </c>
      <c r="I29" s="37" t="s">
        <v>26</v>
      </c>
      <c r="J29" s="27">
        <f>-SUMIFS(KELUAR!$E:$E,KELUAR!$B:$B,"SLAYER",KELUAR!$C:$C,"hitam",KELUAR!$D:$D,"4")+SUMIFS(MASUK!$E:$E,MASUK!$B:$B,"SLAYER",MASUK!$C:$C,"hitam",MASUK!$D:$D,"4")+SO!J29</f>
        <v>0</v>
      </c>
      <c r="K29" s="27">
        <f>-SUMIFS(KELUAR!$E:$E,KELUAR!$B:$B,"SLAYER",KELUAR!$C:$C,"hitam",KELUAR!$D:$D,"6")+SUMIFS(MASUK!$E:$E,MASUK!$B:$B,"SLAYER",MASUK!$C:$C,"hitam",MASUK!$D:$D,"6")+SO!K29</f>
        <v>0</v>
      </c>
      <c r="L29" s="27">
        <f>-SUMIFS(KELUAR!$E:$E,KELUAR!$B:$B,"SLAYER",KELUAR!$C:$C,"hitam",KELUAR!$D:$D,"8")+SUMIFS(MASUK!$E:$E,MASUK!$B:$B,"SLAYER",MASUK!$C:$C,"hitam",MASUK!$D:$D,"8")+SO!L29</f>
        <v>0</v>
      </c>
      <c r="M29" s="27">
        <f>-SUMIFS(KELUAR!$E:$E,KELUAR!$B:$B,"SLAYER",KELUAR!$C:$C,"hitam",KELUAR!$D:$D,"10")+SUMIFS(MASUK!$E:$E,MASUK!$B:$B,"SLAYER",MASUK!$C:$C,"hitam",MASUK!$D:$D,"10")+SO!M29</f>
        <v>0</v>
      </c>
      <c r="N29" s="27">
        <f>-SUMIFS(KELUAR!$E:$E,KELUAR!$B:$B,"SLAYER",KELUAR!$C:$C,"hitam",KELUAR!$D:$D,"12")+SUMIFS(MASUK!$E:$E,MASUK!$B:$B,"SLAYER",MASUK!$C:$C,"hitam",MASUK!$D:$D,"12")+SO!N29</f>
        <v>0</v>
      </c>
      <c r="O29" s="27">
        <f>-SUMIFS(KELUAR!$E:$E,KELUAR!$B:$B,"SLAYER",KELUAR!$C:$C,"hitam",KELUAR!$D:$D,"14")+SUMIFS(MASUK!$E:$E,MASUK!$B:$B,"SLAYER",MASUK!$C:$C,"hitam",MASUK!$D:$D,"14")+SO!O29</f>
        <v>0</v>
      </c>
      <c r="P29" s="27">
        <f t="shared" si="4"/>
        <v>0</v>
      </c>
    </row>
    <row r="30" spans="1:16" ht="14.5">
      <c r="A30" s="26" t="s">
        <v>23</v>
      </c>
      <c r="B30" s="27">
        <f>-SUMIFS(KELUAR!$E:$E,KELUAR!$B:$B,"JANGGAN PENDEK",KELUAR!$C:$C,"COKSU",KELUAR!$D:$D,"S")+SUMIFS(MASUK!$E:$E,MASUK!$B:$B,"JANGGAN PENDEK",MASUK!$C:$C,"COKSU",MASUK!$D:$D,"S")+SO!B30</f>
        <v>0</v>
      </c>
      <c r="C30" s="27">
        <f>-SUMIFS(KELUAR!$E:$E,KELUAR!$B:$B,"JANGGAN PENDEK",KELUAR!$C:$C,"COKSU",KELUAR!$D:$D,"M")+SUMIFS(MASUK!$E:$E,MASUK!$B:$B,"JANGGAN PENDEK",MASUK!$C:$C,"COKSU",MASUK!$D:$D,"M")+SO!C30</f>
        <v>0</v>
      </c>
      <c r="D30" s="27">
        <f>-SUMIFS(KELUAR!$E:$E,KELUAR!$B:$B,"JANGGAN PENDEK",KELUAR!$C:$C,"COKSU",KELUAR!$D:$D,"L")+SUMIFS(MASUK!$E:$E,MASUK!$B:$B,"JANGGAN PENDEK",MASUK!$C:$C,"COKSU",MASUK!$D:$D,"L")+SO!D30</f>
        <v>0</v>
      </c>
      <c r="E30" s="27"/>
      <c r="F30" s="27">
        <f t="shared" si="5"/>
        <v>0</v>
      </c>
      <c r="I30" s="26" t="s">
        <v>13</v>
      </c>
      <c r="J30" s="27">
        <f>-SUMIFS(KELUAR!$E:$E,KELUAR!$B:$B,"SLAYER",KELUAR!$C:$C,"dusty",KELUAR!$D:$D,"4")+SUMIFS(MASUK!$E:$E,MASUK!$B:$B,"SLAYER",MASUK!$C:$C,"dusty",MASUK!$D:$D,"4")+SO!J30</f>
        <v>0</v>
      </c>
      <c r="K30" s="27">
        <f>-SUMIFS(KELUAR!$E:$E,KELUAR!$B:$B,"SLAYER",KELUAR!$C:$C,"dusty",KELUAR!$D:$D,"6")+SUMIFS(MASUK!$E:$E,MASUK!$B:$B,"SLAYER",MASUK!$C:$C,"dusty",MASUK!$D:$D,"6")+SO!K30</f>
        <v>0</v>
      </c>
      <c r="L30" s="27">
        <f>-SUMIFS(KELUAR!$E:$E,KELUAR!$B:$B,"SLAYER",KELUAR!$C:$C,"dusty",KELUAR!$D:$D,"8")+SUMIFS(MASUK!$E:$E,MASUK!$B:$B,"SLAYER",MASUK!$C:$C,"dusty",MASUK!$D:$D,"8")+SO!L30</f>
        <v>0</v>
      </c>
      <c r="M30" s="27">
        <f>-SUMIFS(KELUAR!$E:$E,KELUAR!$B:$B,"SLAYER",KELUAR!$C:$C,"dusty",KELUAR!$D:$D,"10")+SUMIFS(MASUK!$E:$E,MASUK!$B:$B,"SLAYER",MASUK!$C:$C,"dusty",MASUK!$D:$D,"10")+SO!M30</f>
        <v>0</v>
      </c>
      <c r="N30" s="27">
        <f>-SUMIFS(KELUAR!$E:$E,KELUAR!$B:$B,"SLAYER",KELUAR!$C:$C,"dusty",KELUAR!$D:$D,"12")+SUMIFS(MASUK!$E:$E,MASUK!$B:$B,"SLAYER",MASUK!$C:$C,"dusty",MASUK!$D:$D,"12")+SO!N30</f>
        <v>0</v>
      </c>
      <c r="O30" s="27">
        <f>-SUMIFS(KELUAR!$E:$E,KELUAR!$B:$B,"SLAYER",KELUAR!$C:$C,"dusty",KELUAR!$D:$D,"14")+SUMIFS(MASUK!$E:$E,MASUK!$B:$B,"SLAYER",MASUK!$C:$C,"dusty",MASUK!$D:$D,"14")+SO!O30</f>
        <v>0</v>
      </c>
      <c r="P30" s="27">
        <f t="shared" si="4"/>
        <v>0</v>
      </c>
    </row>
    <row r="31" spans="1:16" ht="14.5">
      <c r="A31" s="26" t="s">
        <v>14</v>
      </c>
      <c r="B31" s="27">
        <f>-SUMIFS(KELUAR!$E:$E,KELUAR!$B:$B,"JANGGAN PENDEK",KELUAR!$C:$C,"NAVY",KELUAR!$D:$D,"S")+SUMIFS(MASUK!$E:$E,MASUK!$B:$B,"JANGGAN PENDEK",MASUK!$C:$C,"NAVY",MASUK!$D:$D,"S")+SO!B31</f>
        <v>0</v>
      </c>
      <c r="C31" s="27">
        <f>-SUMIFS(KELUAR!$E:$E,KELUAR!$B:$B,"JANGGAN PENDEK",KELUAR!$C:$C,"NAVY",KELUAR!$D:$D,"M")+SUMIFS(MASUK!$E:$E,MASUK!$B:$B,"JANGGAN PENDEK",MASUK!$C:$C,"NAVY",MASUK!$D:$D,"M")+SO!C31</f>
        <v>0</v>
      </c>
      <c r="D31" s="27">
        <f>-SUMIFS(KELUAR!$E:$E,KELUAR!$B:$B,"JANGGAN PENDEK",KELUAR!$C:$C,"NAVY",KELUAR!$D:$D,"L")+SUMIFS(MASUK!$E:$E,MASUK!$B:$B,"JANGGAN PENDEK",MASUK!$C:$C,"NAVY",MASUK!$D:$D,"L")+SO!D31</f>
        <v>0</v>
      </c>
      <c r="E31" s="27"/>
      <c r="F31" s="27">
        <f t="shared" si="5"/>
        <v>0</v>
      </c>
      <c r="I31" s="26" t="s">
        <v>22</v>
      </c>
      <c r="J31" s="27">
        <f>-SUMIFS(KELUAR!$E:$E,KELUAR!$B:$B,"SLAYER",KELUAR!$C:$C,"babyblue",KELUAR!$D:$D,"4")+SUMIFS(MASUK!$E:$E,MASUK!$B:$B,"SLAYER",MASUK!$C:$C,"babyblue",MASUK!$D:$D,"4")+SO!J31</f>
        <v>0</v>
      </c>
      <c r="K31" s="27">
        <f>-SUMIFS(KELUAR!$E:$E,KELUAR!$B:$B,"SLAYER",KELUAR!$C:$C,"babyblue",KELUAR!$D:$D,"6")+SUMIFS(MASUK!$E:$E,MASUK!$B:$B,"SLAYER",MASUK!$C:$C,"babyblue",MASUK!$D:$D,"6")+SO!K31</f>
        <v>0</v>
      </c>
      <c r="L31" s="27">
        <f>-SUMIFS(KELUAR!$E:$E,KELUAR!$B:$B,"SLAYER",KELUAR!$C:$C,"babyblue",KELUAR!$D:$D,"8")+SUMIFS(MASUK!$E:$E,MASUK!$B:$B,"SLAYER",MASUK!$C:$C,"babyblue",MASUK!$D:$D,"8")+SO!L31</f>
        <v>0</v>
      </c>
      <c r="M31" s="27">
        <f>-SUMIFS(KELUAR!$E:$E,KELUAR!$B:$B,"SLAYER",KELUAR!$C:$C,"babyblue",KELUAR!$D:$D,"10")+SUMIFS(MASUK!$E:$E,MASUK!$B:$B,"SLAYER",MASUK!$C:$C,"babyblue",MASUK!$D:$D,"10")+SO!M31</f>
        <v>0</v>
      </c>
      <c r="N31" s="27">
        <f>-SUMIFS(KELUAR!$E:$E,KELUAR!$B:$B,"SLAYER",KELUAR!$C:$C,"babyblue",KELUAR!$D:$D,"12")+SUMIFS(MASUK!$E:$E,MASUK!$B:$B,"SLAYER",MASUK!$C:$C,"babyblue",MASUK!$D:$D,"12")+SO!N31</f>
        <v>0</v>
      </c>
      <c r="O31" s="27">
        <f>-SUMIFS(KELUAR!$E:$E,KELUAR!$B:$B,"SLAYER",KELUAR!$C:$C,"babyblue",KELUAR!$D:$D,"14")+SUMIFS(MASUK!$E:$E,MASUK!$B:$B,"SLAYER",MASUK!$C:$C,"babyblue",MASUK!$D:$D,"14")+SO!O31</f>
        <v>0</v>
      </c>
      <c r="P31" s="27">
        <f t="shared" si="4"/>
        <v>0</v>
      </c>
    </row>
    <row r="32" spans="1:16" ht="14.5">
      <c r="A32" s="26" t="s">
        <v>26</v>
      </c>
      <c r="B32" s="27">
        <f>-SUMIFS(KELUAR!$E:$E,KELUAR!$B:$B,"JANGGAN PENDEK",KELUAR!$C:$C,"HITAM",KELUAR!$D:$D,"S")+SUMIFS(MASUK!$E:$E,MASUK!$B:$B,"JANGGAN PENDEK",MASUK!$C:$C,"HITAM",MASUK!$D:$D,"S")+SO!B32</f>
        <v>0</v>
      </c>
      <c r="C32" s="27">
        <f>-SUMIFS(KELUAR!$E:$E,KELUAR!$B:$B,"JANGGAN PENDEK",KELUAR!$C:$C,"HITAM",KELUAR!$D:$D,"M")+SUMIFS(MASUK!$E:$E,MASUK!$B:$B,"JANGGAN PENDEK",MASUK!$C:$C,"HITAM",MASUK!$D:$D,"M")+SO!C32</f>
        <v>0</v>
      </c>
      <c r="D32" s="27">
        <f>-SUMIFS(KELUAR!$E:$E,KELUAR!$B:$B,"JANGGAN PENDEK",KELUAR!$C:$C,"HITAM",KELUAR!$D:$D,"L")+SUMIFS(MASUK!$E:$E,MASUK!$B:$B,"JANGGAN PENDEK",MASUK!$C:$C,"HITAM",MASUK!$D:$D,"L")+SO!D32</f>
        <v>0</v>
      </c>
      <c r="E32" s="27"/>
      <c r="F32" s="27">
        <f t="shared" si="5"/>
        <v>0</v>
      </c>
      <c r="I32" s="26" t="s">
        <v>34</v>
      </c>
      <c r="J32" s="27">
        <f>-SUMIFS(KELUAR!$E:$E,KELUAR!$B:$B,"SLAYER",KELUAR!$C:$C,"maroon",KELUAR!$D:$D,"4")+SUMIFS(MASUK!$E:$E,MASUK!$B:$B,"SLAYER",MASUK!$C:$C,"maroon",MASUK!$D:$D,"4")+SO!J32</f>
        <v>0</v>
      </c>
      <c r="K32" s="27">
        <f>-SUMIFS(KELUAR!$E:$E,KELUAR!$B:$B,"SLAYER",KELUAR!$C:$C,"maroon",KELUAR!$D:$D,"6")+SUMIFS(MASUK!$E:$E,MASUK!$B:$B,"SLAYER",MASUK!$C:$C,"maroon",MASUK!$D:$D,"6")+SO!K32</f>
        <v>0</v>
      </c>
      <c r="L32" s="27">
        <f>-SUMIFS(KELUAR!$E:$E,KELUAR!$B:$B,"SLAYER",KELUAR!$C:$C,"maroon",KELUAR!$D:$D,"8")+SUMIFS(MASUK!$E:$E,MASUK!$B:$B,"SLAYER",MASUK!$C:$C,"maroon",MASUK!$D:$D,"8")+SO!L32</f>
        <v>0</v>
      </c>
      <c r="M32" s="27">
        <f>-SUMIFS(KELUAR!$E:$E,KELUAR!$B:$B,"SLAYER",KELUAR!$C:$C,"maroon",KELUAR!$D:$D,"10")+SUMIFS(MASUK!$E:$E,MASUK!$B:$B,"SLAYER",MASUK!$C:$C,"maroon",MASUK!$D:$D,"10")+SO!M32</f>
        <v>0</v>
      </c>
      <c r="N32" s="27">
        <f>-SUMIFS(KELUAR!$E:$E,KELUAR!$B:$B,"SLAYER",KELUAR!$C:$C,"maroon",KELUAR!$D:$D,"12")+SUMIFS(MASUK!$E:$E,MASUK!$B:$B,"SLAYER",MASUK!$C:$C,"maroon",MASUK!$D:$D,"12")+SO!N32</f>
        <v>0</v>
      </c>
      <c r="O32" s="27">
        <f>-SUMIFS(KELUAR!$E:$E,KELUAR!$B:$B,"SLAYER",KELUAR!$C:$C,"maroon",KELUAR!$D:$D,"14")+SUMIFS(MASUK!$E:$E,MASUK!$B:$B,"SLAYER",MASUK!$C:$C,"maroon",MASUK!$D:$D,"14")+SO!O32</f>
        <v>0</v>
      </c>
      <c r="P32" s="27">
        <f t="shared" si="4"/>
        <v>0</v>
      </c>
    </row>
    <row r="33" spans="1:16" ht="14.5">
      <c r="A33" s="26" t="s">
        <v>13</v>
      </c>
      <c r="B33" s="27">
        <f>-SUMIFS(KELUAR!$E:$E,KELUAR!$B:$B,"JANGGAN PENDEK",KELUAR!$C:$C,"DUSTY",KELUAR!$D:$D,"S")+SUMIFS(MASUK!$E:$E,MASUK!$B:$B,"JANGGAN PENDEK",MASUK!$C:$C,"DUSTY",MASUK!$D:$D,"S")+SO!B33</f>
        <v>0</v>
      </c>
      <c r="C33" s="27">
        <f>-SUMIFS(KELUAR!$E:$E,KELUAR!$B:$B,"JANGGAN PENDEK",KELUAR!$C:$C,"DUSTY",KELUAR!$D:$D,"M")+SUMIFS(MASUK!$E:$E,MASUK!$B:$B,"JANGGAN PENDEK",MASUK!$C:$C,"DUSTY",MASUK!$D:$D,"M")+SO!C33</f>
        <v>0</v>
      </c>
      <c r="D33" s="27">
        <f>-SUMIFS(KELUAR!$E:$E,KELUAR!$B:$B,"JANGGAN PENDEK",KELUAR!$C:$C,"DUSTY",KELUAR!$D:$D,"L")+SUMIFS(MASUK!$E:$E,MASUK!$B:$B,"JANGGAN PENDEK",MASUK!$C:$C,"DUSTY",MASUK!$D:$D,"L")+SO!D33</f>
        <v>0</v>
      </c>
      <c r="E33" s="27"/>
      <c r="F33" s="27">
        <f t="shared" si="5"/>
        <v>0</v>
      </c>
      <c r="I33" s="29" t="s">
        <v>21</v>
      </c>
      <c r="J33" s="27">
        <f>-SUMIFS(KELUAR!$E:$E,KELUAR!$B:$B,"SLAYER",KELUAR!$C:$C,"rosegold",KELUAR!$D:$D,"4")+SUMIFS(MASUK!$E:$E,MASUK!$B:$B,"SLAYER",MASUK!$C:$C,"rosegold",MASUK!$D:$D,"4")+SO!J33</f>
        <v>0</v>
      </c>
      <c r="K33" s="27">
        <f>-SUMIFS(KELUAR!$E:$E,KELUAR!$B:$B,"SLAYER",KELUAR!$C:$C,"rosegold",KELUAR!$D:$D,"6")+SUMIFS(MASUK!$E:$E,MASUK!$B:$B,"SLAYER",MASUK!$C:$C,"rosegold",MASUK!$D:$D,"6")+SO!K33</f>
        <v>0</v>
      </c>
      <c r="L33" s="27">
        <f>-SUMIFS(KELUAR!$E:$E,KELUAR!$B:$B,"SLAYER",KELUAR!$C:$C,"rosegold",KELUAR!$D:$D,"8")+SUMIFS(MASUK!$E:$E,MASUK!$B:$B,"SLAYER",MASUK!$C:$C,"rosegold",MASUK!$D:$D,"8")+SO!L33</f>
        <v>0</v>
      </c>
      <c r="M33" s="27">
        <f>-SUMIFS(KELUAR!$E:$E,KELUAR!$B:$B,"SLAYER",KELUAR!$C:$C,"rosegold",KELUAR!$D:$D,"10")+SUMIFS(MASUK!$E:$E,MASUK!$B:$B,"SLAYER",MASUK!$C:$C,"rosegold",MASUK!$D:$D,"10")+SO!M33</f>
        <v>0</v>
      </c>
      <c r="N33" s="27">
        <f>-SUMIFS(KELUAR!$E:$E,KELUAR!$B:$B,"SLAYER",KELUAR!$C:$C,"rosegold",KELUAR!$D:$D,"12")+SUMIFS(MASUK!$E:$E,MASUK!$B:$B,"SLAYER",MASUK!$C:$C,"rosegold",MASUK!$D:$D,"12")+SO!N33</f>
        <v>0</v>
      </c>
      <c r="O33" s="27">
        <f>-SUMIFS(KELUAR!$E:$E,KELUAR!$B:$B,"SLAYER",KELUAR!$C:$C,"rosegold",KELUAR!$D:$D,"14")+SUMIFS(MASUK!$E:$E,MASUK!$B:$B,"SLAYER",MASUK!$C:$C,"rosegold",MASUK!$D:$D,"14")+SO!O33</f>
        <v>0</v>
      </c>
      <c r="P33" s="27">
        <f t="shared" si="4"/>
        <v>0</v>
      </c>
    </row>
    <row r="34" spans="1:16" ht="14.5">
      <c r="A34" s="29" t="s">
        <v>21</v>
      </c>
      <c r="B34" s="27">
        <f>-SUMIFS(KELUAR!$E:$E,KELUAR!$B:$B,"JANGGAN PENDEK",KELUAR!$C:$C,"Rosegold",KELUAR!$D:$D,"S")+SUMIFS(MASUK!$E:$E,MASUK!$B:$B,"JANGGAN PENDEK",MASUK!$C:$C,"Rosegold",MASUK!$D:$D,"S")+SO!B34</f>
        <v>0</v>
      </c>
      <c r="C34" s="27">
        <f>-SUMIFS(KELUAR!$E:$E,KELUAR!$B:$B,"JANGGAN PENDEK",KELUAR!$C:$C,"Rosegold",KELUAR!$D:$D,"M")+SUMIFS(MASUK!$E:$E,MASUK!$B:$B,"JANGGAN PENDEK",MASUK!$C:$C,"Rosegold",MASUK!$D:$D,"M")+SO!C34</f>
        <v>0</v>
      </c>
      <c r="D34" s="27">
        <f>-SUMIFS(KELUAR!$E:$E,KELUAR!$B:$B,"JANGGAN PENDEK",KELUAR!$C:$C,"Rosegold",KELUAR!$D:$D,"L")+SUMIFS(MASUK!$E:$E,MASUK!$B:$B,"JANGGAN PENDEK",MASUK!$C:$C,"Rosegold",MASUK!$D:$D,"L")+SO!D34</f>
        <v>0</v>
      </c>
      <c r="E34" s="27"/>
      <c r="F34" s="27">
        <f t="shared" si="5"/>
        <v>0</v>
      </c>
      <c r="I34" s="30" t="s">
        <v>19</v>
      </c>
      <c r="J34" s="27">
        <f>-SUMIFS(KELUAR!$E:$E,KELUAR!$B:$B,"SLAYER",KELUAR!$C:$C,"sage",KELUAR!$D:$D,"4")+SUMIFS(MASUK!$E:$E,MASUK!$B:$B,"SLAYER",MASUK!$C:$C,"sage",MASUK!$D:$D,"4")+SO!J34</f>
        <v>0</v>
      </c>
      <c r="K34" s="27">
        <f>-SUMIFS(KELUAR!$E:$E,KELUAR!$B:$B,"SLAYER",KELUAR!$C:$C,"sage",KELUAR!$D:$D,"6")+SUMIFS(MASUK!$E:$E,MASUK!$B:$B,"SLAYER",MASUK!$C:$C,"sage",MASUK!$D:$D,"6")+SO!K34</f>
        <v>0</v>
      </c>
      <c r="L34" s="27">
        <f>-SUMIFS(KELUAR!$E:$E,KELUAR!$B:$B,"SLAYER",KELUAR!$C:$C,"sage",KELUAR!$D:$D,"8")+SUMIFS(MASUK!$E:$E,MASUK!$B:$B,"SLAYER",MASUK!$C:$C,"sage",MASUK!$D:$D,"8")+SO!L34</f>
        <v>0</v>
      </c>
      <c r="M34" s="27">
        <f>-SUMIFS(KELUAR!$E:$E,KELUAR!$B:$B,"SLAYER",KELUAR!$C:$C,"sage",KELUAR!$D:$D,"10")+SUMIFS(MASUK!$E:$E,MASUK!$B:$B,"SLAYER",MASUK!$C:$C,"sage",MASUK!$D:$D,"10")+SO!M34</f>
        <v>0</v>
      </c>
      <c r="N34" s="27">
        <f>-SUMIFS(KELUAR!$E:$E,KELUAR!$B:$B,"SLAYER",KELUAR!$C:$C,"sage",KELUAR!$D:$D,"12")+SUMIFS(MASUK!$E:$E,MASUK!$B:$B,"SLAYER",MASUK!$C:$C,"sage",MASUK!$D:$D,"12")+SO!N34</f>
        <v>0</v>
      </c>
      <c r="O34" s="27">
        <f>-SUMIFS(KELUAR!$E:$E,KELUAR!$B:$B,"SLAYER",KELUAR!$C:$C,"sage",KELUAR!$D:$D,"14")+SUMIFS(MASUK!$E:$E,MASUK!$B:$B,"SLAYER",MASUK!$C:$C,"sage",MASUK!$D:$D,"14")+SO!O34</f>
        <v>0</v>
      </c>
      <c r="P34" s="27">
        <f t="shared" si="4"/>
        <v>0</v>
      </c>
    </row>
    <row r="35" spans="1:16" ht="14.5">
      <c r="A35" s="26" t="s">
        <v>19</v>
      </c>
      <c r="B35" s="27">
        <f>-SUMIFS(KELUAR!$E:$E,KELUAR!$B:$B,"JANGGAN PENDEK",KELUAR!$C:$C,"Sage",KELUAR!$D:$D,"S")+SUMIFS(MASUK!$E:$E,MASUK!$B:$B,"JANGGAN PENDEK",MASUK!$C:$C,"Sage",MASUK!$D:$D,"S")+SO!B35</f>
        <v>0</v>
      </c>
      <c r="C35" s="27">
        <f>-SUMIFS(KELUAR!$E:$E,KELUAR!$B:$B,"JANGGAN PENDEK",KELUAR!$C:$C,"Sage",KELUAR!$D:$D,"M")+SUMIFS(MASUK!$E:$E,MASUK!$B:$B,"JANGGAN PENDEK",MASUK!$C:$C,"Sage",MASUK!$D:$D,"M")+SO!C35</f>
        <v>0</v>
      </c>
      <c r="D35" s="27">
        <f>-SUMIFS(KELUAR!$E:$E,KELUAR!$B:$B,"JANGGAN PENDEK",KELUAR!$C:$C,"Sage",KELUAR!$D:$D,"L")+SUMIFS(MASUK!$E:$E,MASUK!$B:$B,"JANGGAN PENDEK",MASUK!$C:$C,"Sage",MASUK!$D:$D,"L")+SO!D35</f>
        <v>0</v>
      </c>
      <c r="E35" s="27"/>
      <c r="F35" s="27">
        <f t="shared" si="5"/>
        <v>0</v>
      </c>
      <c r="I35" s="44" t="s">
        <v>15</v>
      </c>
      <c r="J35" s="27">
        <f>-SUMIFS(KELUAR!$E:$E,KELUAR!$B:$B,"SLAYER",KELUAR!$C:$C,"emerald green",KELUAR!$D:$D,"4")+SUMIFS(MASUK!$E:$E,MASUK!$B:$B,"SLAYER",MASUK!$C:$C,"emerald green",MASUK!$D:$D,"4")+SO!J35</f>
        <v>0</v>
      </c>
      <c r="K35" s="27">
        <f>-SUMIFS(KELUAR!$E:$E,KELUAR!$B:$B,"SLAYER",KELUAR!$C:$C,"emerald green",KELUAR!$D:$D,"6")+SUMIFS(MASUK!$E:$E,MASUK!$B:$B,"SLAYER",MASUK!$C:$C,"emerald green",MASUK!$D:$D,"6")+SO!K35</f>
        <v>0</v>
      </c>
      <c r="L35" s="27">
        <f>-SUMIFS(KELUAR!$E:$E,KELUAR!$B:$B,"SLAYER",KELUAR!$C:$C,"emerald green",KELUAR!$D:$D,"8")+SUMIFS(MASUK!$E:$E,MASUK!$B:$B,"SLAYER",MASUK!$C:$C,"emerald green",MASUK!$D:$D,"8")+SO!L35</f>
        <v>0</v>
      </c>
      <c r="M35" s="27">
        <f>-SUMIFS(KELUAR!$E:$E,KELUAR!$B:$B,"SLAYER",KELUAR!$C:$C,"emerald green",KELUAR!$D:$D,"10")+SUMIFS(MASUK!$E:$E,MASUK!$B:$B,"SLAYER",MASUK!$C:$C,"emerald green",MASUK!$D:$D,"10")+SO!M35</f>
        <v>0</v>
      </c>
      <c r="N35" s="27">
        <f>-SUMIFS(KELUAR!$E:$E,KELUAR!$B:$B,"SLAYER",KELUAR!$C:$C,"emerald green",KELUAR!$D:$D,"12")+SUMIFS(MASUK!$E:$E,MASUK!$B:$B,"SLAYER",MASUK!$C:$C,"emerald green",MASUK!$D:$D,"12")+SO!N35</f>
        <v>0</v>
      </c>
      <c r="O35" s="27">
        <f>-SUMIFS(KELUAR!$E:$E,KELUAR!$B:$B,"SLAYER",KELUAR!$C:$C,"emerald green",KELUAR!$D:$D,"14")+SUMIFS(MASUK!$E:$E,MASUK!$B:$B,"SLAYER",MASUK!$C:$C,"emerald green",MASUK!$D:$D,"14")+SO!O35</f>
        <v>0</v>
      </c>
      <c r="P35" s="27">
        <f t="shared" si="4"/>
        <v>0</v>
      </c>
    </row>
    <row r="36" spans="1:16" ht="14.5">
      <c r="A36" s="37" t="s">
        <v>15</v>
      </c>
      <c r="B36" s="27">
        <f>-SUMIFS(KELUAR!$E:$E,KELUAR!$B:$B,"JANGGAN PENDEK",KELUAR!$C:$C,"emerald green",KELUAR!$D:$D,"S")+SUMIFS(MASUK!$E:$E,MASUK!$B:$B,"JANGGAN PENDEK",MASUK!$C:$C,"emerald green",MASUK!$D:$D,"S")+SO!B36</f>
        <v>0</v>
      </c>
      <c r="C36" s="27">
        <f>-SUMIFS(KELUAR!$E:$E,KELUAR!$B:$B,"JANGGAN PENDEK",KELUAR!$C:$C,"emerald green",KELUAR!$D:$D,"M")+SUMIFS(MASUK!$E:$E,MASUK!$B:$B,"JANGGAN PENDEK",MASUK!$C:$C,"emerald green",MASUK!$D:$D,"M")+SO!C36</f>
        <v>0</v>
      </c>
      <c r="D36" s="27">
        <f>-SUMIFS(KELUAR!$E:$E,KELUAR!$B:$B,"JANGGAN PENDEK",KELUAR!$C:$C,"emerald green",KELUAR!$D:$D,"L")+SUMIFS(MASUK!$E:$E,MASUK!$B:$B,"JANGGAN PENDEK",MASUK!$C:$C,"emerald green",MASUK!$D:$D,"L")+SO!D36</f>
        <v>0</v>
      </c>
      <c r="E36" s="27"/>
      <c r="F36" s="27">
        <f t="shared" si="5"/>
        <v>0</v>
      </c>
      <c r="I36" s="44" t="s">
        <v>37</v>
      </c>
      <c r="J36" s="27">
        <f>-SUMIFS(KELUAR!$E:$E,KELUAR!$B:$B,"SLAYER",KELUAR!$C:$C,"silver",KELUAR!$D:$D,"4")+SUMIFS(MASUK!$E:$E,MASUK!$B:$B,"SLAYER",MASUK!$C:$C,"silver",MASUK!$D:$D,"4")+SO!J36</f>
        <v>0</v>
      </c>
      <c r="K36" s="27">
        <f>-SUMIFS(KELUAR!$E:$E,KELUAR!$B:$B,"SLAYER",KELUAR!$C:$C,"silver",KELUAR!$D:$D,"6")+SUMIFS(MASUK!$E:$E,MASUK!$B:$B,"SLAYER",MASUK!$C:$C,"silver",MASUK!$D:$D,"6")+SO!K36</f>
        <v>0</v>
      </c>
      <c r="L36" s="27">
        <f>-SUMIFS(KELUAR!$E:$E,KELUAR!$B:$B,"SLAYER",KELUAR!$C:$C,"silver",KELUAR!$D:$D,"8")+SUMIFS(MASUK!$E:$E,MASUK!$B:$B,"SLAYER",MASUK!$C:$C,"silver",MASUK!$D:$D,"8")+SO!L36</f>
        <v>0</v>
      </c>
      <c r="M36" s="27">
        <f>-SUMIFS(KELUAR!$E:$E,KELUAR!$B:$B,"SLAYER",KELUAR!$C:$C,"silver",KELUAR!$D:$D,"10")+SUMIFS(MASUK!$E:$E,MASUK!$B:$B,"SLAYER",MASUK!$C:$C,"silver",MASUK!$D:$D,"10")+SO!M36</f>
        <v>0</v>
      </c>
      <c r="N36" s="27">
        <f>-SUMIFS(KELUAR!$E:$E,KELUAR!$B:$B,"SLAYER",KELUAR!$C:$C,"silver",KELUAR!$D:$D,"12")+SUMIFS(MASUK!$E:$E,MASUK!$B:$B,"SLAYER",MASUK!$C:$C,"silver",MASUK!$D:$D,"12")+SO!N36</f>
        <v>0</v>
      </c>
      <c r="O36" s="27">
        <f>-SUMIFS(KELUAR!$E:$E,KELUAR!$B:$B,"SLAYER",KELUAR!$C:$C,"silver",KELUAR!$D:$D,"14")+SUMIFS(MASUK!$E:$E,MASUK!$B:$B,"SLAYER",MASUK!$C:$C,"silver",MASUK!$D:$D,"14")+SO!O36</f>
        <v>0</v>
      </c>
      <c r="P36" s="27">
        <f t="shared" si="4"/>
        <v>0</v>
      </c>
    </row>
    <row r="37" spans="1:16" ht="14.5">
      <c r="A37" s="37" t="s">
        <v>48</v>
      </c>
      <c r="B37" s="27">
        <f>-SUMIFS(KELUAR!$E:$E,KELUAR!$B:$B,"JANGGAN PENDEK",KELUAR!$C:$C,"milo",KELUAR!$D:$D,"S")+SUMIFS(MASUK!$E:$E,MASUK!$B:$B,"JANGGAN PENDEK",MASUK!$C:$C,"milo",MASUK!$D:$D,"S")+SO!B37</f>
        <v>0</v>
      </c>
      <c r="C37" s="27">
        <f>-SUMIFS(KELUAR!$E:$E,KELUAR!$B:$B,"JANGGAN PENDEK",KELUAR!$C:$C,"milo",KELUAR!$D:$D,"M")+SUMIFS(MASUK!$E:$E,MASUK!$B:$B,"JANGGAN PENDEK",MASUK!$C:$C,"milo",MASUK!$D:$D,"M")+SO!C37</f>
        <v>0</v>
      </c>
      <c r="D37" s="27">
        <f>-SUMIFS(KELUAR!$E:$E,KELUAR!$B:$B,"JANGGAN PENDEK",KELUAR!$C:$C,"milo",KELUAR!$D:$D,"L")+SUMIFS(MASUK!$E:$E,MASUK!$B:$B,"JANGGAN PENDEK",MASUK!$C:$C,"milo",MASUK!$D:$D,"L")+SO!D37</f>
        <v>0</v>
      </c>
      <c r="E37" s="27"/>
      <c r="F37" s="27">
        <f>SUM(B37:E37)</f>
        <v>0</v>
      </c>
      <c r="I37" s="26"/>
      <c r="J37" s="27">
        <f>-SUMIFS(KELUAR!$E:$E,KELUAR!$B:$B,"SLAYER",KELUAR!$C:$C,"COKSU",KELUAR!$D:$D,"4")+SUMIFS(MASUK!$E:$E,MASUK!$B:$B,"SLAYER",MASUK!$C:$C,"COKSU",MASUK!$D:$D,"4")+SO!J37</f>
        <v>0</v>
      </c>
      <c r="K37" s="27">
        <f>-SUMIFS(KELUAR!$E:$E,KELUAR!$B:$B,"SLAYER",KELUAR!$C:$C,"COKSU",KELUAR!$D:$D,"6")+SUMIFS(MASUK!$E:$E,MASUK!$B:$B,"SLAYER",MASUK!$C:$C,"COKSU",MASUK!$D:$D,"6")+SO!K37</f>
        <v>0</v>
      </c>
      <c r="L37" s="27">
        <f>-SUMIFS(KELUAR!$E:$E,KELUAR!$B:$B,"SLAYER",KELUAR!$C:$C,"COKSU",KELUAR!$D:$D,"8")+SUMIFS(MASUK!$E:$E,MASUK!$B:$B,"SLAYER",MASUK!$C:$C,"COKSU",MASUK!$D:$D,"8")+SO!L37</f>
        <v>0</v>
      </c>
      <c r="M37" s="27">
        <f>-SUMIFS(KELUAR!$E:$E,KELUAR!$B:$B,"SLAYER",KELUAR!$C:$C,"COKSU",KELUAR!$D:$D,"10")+SUMIFS(MASUK!$E:$E,MASUK!$B:$B,"SLAYER",MASUK!$C:$C,"COKSU",MASUK!$D:$D,"10")+SO!M37</f>
        <v>0</v>
      </c>
      <c r="N37" s="27">
        <f>-SUMIFS(KELUAR!$E:$E,KELUAR!$B:$B,"SLAYER",KELUAR!$C:$C,"COKSU",KELUAR!$D:$D,"12")+SUMIFS(MASUK!$E:$E,MASUK!$B:$B,"SLAYER",MASUK!$C:$C,"COKSU",MASUK!$D:$D,"12")+SO!N37</f>
        <v>0</v>
      </c>
      <c r="O37" s="27">
        <f>-SUMIFS(KELUAR!$E:$E,KELUAR!$B:$B,"SLAYER",KELUAR!$C:$C,"COKSU",KELUAR!$D:$D,"14")+SUMIFS(MASUK!$E:$E,MASUK!$B:$B,"SLAYER",MASUK!$C:$C,"COKSU",MASUK!$D:$D,"14")+SO!O37</f>
        <v>0</v>
      </c>
      <c r="P37" s="27">
        <f t="shared" si="4"/>
        <v>0</v>
      </c>
    </row>
    <row r="38" spans="1:16" ht="14.5">
      <c r="A38" s="37" t="s">
        <v>47</v>
      </c>
      <c r="B38" s="27">
        <f>-SUMIFS(KELUAR!$E:$E,KELUAR!$B:$B,"JANGGAN PENDEK",KELUAR!$C:$C,"broken white",KELUAR!$D:$D,"S")+SUMIFS(MASUK!$E:$E,MASUK!$B:$B,"JANGGAN PENDEK",MASUK!$C:$C,"broken white",MASUK!$D:$D,"S")+SO!B38</f>
        <v>0</v>
      </c>
      <c r="C38" s="27">
        <f>-SUMIFS(KELUAR!$E:$E,KELUAR!$B:$B,"JANGGAN PENDEK",KELUAR!$C:$C,"broken white",KELUAR!$D:$D,"M")+SUMIFS(MASUK!$E:$E,MASUK!$B:$B,"JANGGAN PENDEK",MASUK!$C:$C,"broken white",MASUK!$D:$D,"M")+SO!C38</f>
        <v>0</v>
      </c>
      <c r="D38" s="27">
        <f>-SUMIFS(KELUAR!$E:$E,KELUAR!$B:$B,"JANGGAN PENDEK",KELUAR!$C:$C,"broken white",KELUAR!$D:$D,"L")+SUMIFS(MASUK!$E:$E,MASUK!$B:$B,"JANGGAN PENDEK",MASUK!$C:$C,"broken white",MASUK!$D:$D,"L")+SO!D38</f>
        <v>0</v>
      </c>
      <c r="E38" s="27"/>
      <c r="F38" s="27">
        <f t="shared" si="5"/>
        <v>0</v>
      </c>
      <c r="I38" s="26"/>
      <c r="J38" s="27">
        <f>-SUMIFS(KELUAR!$E:$E,KELUAR!$B:$B,"SLAYER",KELUAR!$C:$C,"COKSU",KELUAR!$D:$D,"4")+SUMIFS(MASUK!$E:$E,MASUK!$B:$B,"SLAYER",MASUK!$C:$C,"COKSU",MASUK!$D:$D,"4")+SO!J38</f>
        <v>0</v>
      </c>
      <c r="K38" s="27">
        <f>-SUMIFS(KELUAR!$E:$E,KELUAR!$B:$B,"SLAYER",KELUAR!$C:$C,"COKSU",KELUAR!$D:$D,"6")+SUMIFS(MASUK!$E:$E,MASUK!$B:$B,"SLAYER",MASUK!$C:$C,"COKSU",MASUK!$D:$D,"6")+SO!K38</f>
        <v>0</v>
      </c>
      <c r="L38" s="27">
        <f>-SUMIFS(KELUAR!$E:$E,KELUAR!$B:$B,"SLAYER",KELUAR!$C:$C,"COKSU",KELUAR!$D:$D,"8")+SUMIFS(MASUK!$E:$E,MASUK!$B:$B,"SLAYER",MASUK!$C:$C,"COKSU",MASUK!$D:$D,"8")+SO!L38</f>
        <v>0</v>
      </c>
      <c r="M38" s="27">
        <f>-SUMIFS(KELUAR!$E:$E,KELUAR!$B:$B,"SLAYER",KELUAR!$C:$C,"COKSU",KELUAR!$D:$D,"10")+SUMIFS(MASUK!$E:$E,MASUK!$B:$B,"SLAYER",MASUK!$C:$C,"COKSU",MASUK!$D:$D,"10")+SO!M38</f>
        <v>0</v>
      </c>
      <c r="N38" s="27">
        <f>-SUMIFS(KELUAR!$E:$E,KELUAR!$B:$B,"SLAYER",KELUAR!$C:$C,"COKSU",KELUAR!$D:$D,"12")+SUMIFS(MASUK!$E:$E,MASUK!$B:$B,"SLAYER",MASUK!$C:$C,"COKSU",MASUK!$D:$D,"12")+SO!N38</f>
        <v>0</v>
      </c>
      <c r="O38" s="27">
        <f>-SUMIFS(KELUAR!$E:$E,KELUAR!$B:$B,"SLAYER",KELUAR!$C:$C,"COKSU",KELUAR!$D:$D,"14")+SUMIFS(MASUK!$E:$E,MASUK!$B:$B,"SLAYER",MASUK!$C:$C,"COKSU",MASUK!$D:$D,"14")+SO!O38</f>
        <v>0</v>
      </c>
      <c r="P38" s="27">
        <f t="shared" si="4"/>
        <v>0</v>
      </c>
    </row>
    <row r="39" spans="1:16" ht="14.5">
      <c r="A39" s="37" t="s">
        <v>49</v>
      </c>
      <c r="B39" s="27">
        <f>-SUMIFS(KELUAR!$E:$E,KELUAR!$B:$B,"JANGGAN PENDEK",KELUAR!$C:$C,"Butter Yellow",KELUAR!$D:$D,"S")+SUMIFS(MASUK!$E:$E,MASUK!$B:$B,"JANGGAN PENDEK",MASUK!$C:$C,"Butter Yellow",MASUK!$D:$D,"S")+SO!B39</f>
        <v>0</v>
      </c>
      <c r="C39" s="27">
        <f>-SUMIFS(KELUAR!$E:$E,KELUAR!$B:$B,"JANGGAN PENDEK",KELUAR!$C:$C,"Butter Yellow",KELUAR!$D:$D,"M")+SUMIFS(MASUK!$E:$E,MASUK!$B:$B,"JANGGAN PENDEK",MASUK!$C:$C,"Butter Yellow",MASUK!$D:$D,"M")+SO!C39</f>
        <v>0</v>
      </c>
      <c r="D39" s="27">
        <f>-SUMIFS(KELUAR!$E:$E,KELUAR!$B:$B,"JANGGAN PENDEK",KELUAR!$C:$C,"Butter Yellow",KELUAR!$D:$D,"L")+SUMIFS(MASUK!$E:$E,MASUK!$B:$B,"JANGGAN PENDEK",MASUK!$C:$C,"Butter Yellow",MASUK!$D:$D,"L")+SO!D39</f>
        <v>0</v>
      </c>
      <c r="E39" s="27"/>
      <c r="F39" s="27">
        <f t="shared" ref="F39:F41" si="6">SUM(B39:E39)</f>
        <v>0</v>
      </c>
      <c r="I39" s="26"/>
      <c r="J39" s="27">
        <f>-SUMIFS(KELUAR!$E:$E,KELUAR!$B:$B,"SLAYER",KELUAR!$C:$C,"COKSU",KELUAR!$D:$D,"4")+SUMIFS(MASUK!$E:$E,MASUK!$B:$B,"SLAYER",MASUK!$C:$C,"COKSU",MASUK!$D:$D,"4")+SO!J39</f>
        <v>0</v>
      </c>
      <c r="K39" s="27">
        <f>-SUMIFS(KELUAR!$E:$E,KELUAR!$B:$B,"SLAYER",KELUAR!$C:$C,"COKSU",KELUAR!$D:$D,"6")+SUMIFS(MASUK!$E:$E,MASUK!$B:$B,"SLAYER",MASUK!$C:$C,"COKSU",MASUK!$D:$D,"6")+SO!K39</f>
        <v>0</v>
      </c>
      <c r="L39" s="27">
        <f>-SUMIFS(KELUAR!$E:$E,KELUAR!$B:$B,"SLAYER",KELUAR!$C:$C,"COKSU",KELUAR!$D:$D,"8")+SUMIFS(MASUK!$E:$E,MASUK!$B:$B,"SLAYER",MASUK!$C:$C,"COKSU",MASUK!$D:$D,"8")+SO!L39</f>
        <v>0</v>
      </c>
      <c r="M39" s="27">
        <f>-SUMIFS(KELUAR!$E:$E,KELUAR!$B:$B,"SLAYER",KELUAR!$C:$C,"COKSU",KELUAR!$D:$D,"10")+SUMIFS(MASUK!$E:$E,MASUK!$B:$B,"SLAYER",MASUK!$C:$C,"COKSU",MASUK!$D:$D,"10")+SO!M39</f>
        <v>0</v>
      </c>
      <c r="N39" s="27">
        <f>-SUMIFS(KELUAR!$E:$E,KELUAR!$B:$B,"SLAYER",KELUAR!$C:$C,"COKSU",KELUAR!$D:$D,"12")+SUMIFS(MASUK!$E:$E,MASUK!$B:$B,"SLAYER",MASUK!$C:$C,"COKSU",MASUK!$D:$D,"12")+SO!N39</f>
        <v>0</v>
      </c>
      <c r="O39" s="27">
        <f>-SUMIFS(KELUAR!$E:$E,KELUAR!$B:$B,"SLAYER",KELUAR!$C:$C,"COKSU",KELUAR!$D:$D,"14")+SUMIFS(MASUK!$E:$E,MASUK!$B:$B,"SLAYER",MASUK!$C:$C,"COKSU",MASUK!$D:$D,"14")+SO!O39</f>
        <v>0</v>
      </c>
      <c r="P39" s="27">
        <f t="shared" si="4"/>
        <v>0</v>
      </c>
    </row>
    <row r="40" spans="1:16" ht="14.5">
      <c r="A40" s="37" t="s">
        <v>40</v>
      </c>
      <c r="B40" s="27">
        <f>-SUMIFS(KELUAR!$E:$E,KELUAR!$B:$B,"JANGGAN PENDEK",KELUAR!$C:$C,"emerald blue",KELUAR!$D:$D,"S")+SUMIFS(MASUK!$E:$E,MASUK!$B:$B,"JANGGAN PENDEK",MASUK!$C:$C,"emerald blue",MASUK!$D:$D,"S")+SO!B40</f>
        <v>0</v>
      </c>
      <c r="C40" s="27">
        <f>-SUMIFS(KELUAR!$E:$E,KELUAR!$B:$B,"JANGGAN PENDEK",KELUAR!$C:$C,"emerald blue",KELUAR!$D:$D,"M")+SUMIFS(MASUK!$E:$E,MASUK!$B:$B,"JANGGAN PENDEK",MASUK!$C:$C,"emerald blue",MASUK!$D:$D,"M")+SO!C40</f>
        <v>0</v>
      </c>
      <c r="D40" s="27">
        <f>-SUMIFS(KELUAR!$E:$E,KELUAR!$B:$B,"JANGGAN PENDEK",KELUAR!$C:$C,"emerald blue",KELUAR!$D:$D,"L")+SUMIFS(MASUK!$E:$E,MASUK!$B:$B,"JANGGAN PENDEK",MASUK!$C:$C,"emerald blue",MASUK!$D:$D,"L")+SO!D40</f>
        <v>0</v>
      </c>
      <c r="E40" s="27"/>
      <c r="F40" s="27">
        <f t="shared" si="6"/>
        <v>0</v>
      </c>
      <c r="N40" s="1"/>
      <c r="O40" s="26" t="s">
        <v>10</v>
      </c>
      <c r="P40" s="26">
        <f>SUBTOTAL(9,P25:P39)</f>
        <v>0</v>
      </c>
    </row>
    <row r="41" spans="1:16" ht="14.5">
      <c r="A41" s="26"/>
      <c r="B41" s="27">
        <f>-SUMIFS(KELUAR!$E:$E,KELUAR!$B:$B,"JANGGAN PENDEK",KELUAR!$C:$C,"broken white",KELUAR!$D:$D,"S")+SUMIFS(MASUK!$E:$E,MASUK!$B:$B,"JANGGAN PENDEK",MASUK!$C:$C,"broken white",MASUK!$D:$D,"S")+SO!B41</f>
        <v>0</v>
      </c>
      <c r="C41" s="27">
        <f>-SUMIFS(KELUAR!$E:$E,KELUAR!$B:$B,"JANGGAN PENDEK",KELUAR!$C:$C,"broken white",KELUAR!$D:$D,"M")+SUMIFS(MASUK!$E:$E,MASUK!$B:$B,"JANGGAN PENDEK",MASUK!$C:$C,"broken white",MASUK!$D:$D,"M")+SO!C41</f>
        <v>0</v>
      </c>
      <c r="D41" s="27">
        <f>-SUMIFS(KELUAR!$E:$E,KELUAR!$B:$B,"JANGGAN PENDEK",KELUAR!$C:$C,"broken white",KELUAR!$D:$D,"L")+SUMIFS(MASUK!$E:$E,MASUK!$B:$B,"JANGGAN PENDEK",MASUK!$C:$C,"broken white",MASUK!$D:$D,"L")+SO!D41</f>
        <v>0</v>
      </c>
      <c r="E41" s="27"/>
      <c r="F41" s="27">
        <f t="shared" si="6"/>
        <v>0</v>
      </c>
      <c r="N41" s="1"/>
      <c r="O41" s="1"/>
      <c r="P41" s="1"/>
    </row>
    <row r="42" spans="1:16" ht="14.5">
      <c r="A42" s="26"/>
      <c r="B42" s="27">
        <f>-SUMIFS(KELUAR!$E:$E,KELUAR!$B:$B,"JANGGAN PENDEK",KELUAR!$C:$C,"broken white",KELUAR!$D:$D,"S")+SUMIFS(MASUK!$E:$E,MASUK!$B:$B,"JANGGAN PENDEK",MASUK!$C:$C,"broken white",MASUK!$D:$D,"S")+SO!B42</f>
        <v>0</v>
      </c>
      <c r="C42" s="27">
        <f>-SUMIFS(KELUAR!$E:$E,KELUAR!$B:$B,"JANGGAN PENDEK",KELUAR!$C:$C,"broken white",KELUAR!$D:$D,"M")+SUMIFS(MASUK!$E:$E,MASUK!$B:$B,"JANGGAN PENDEK",MASUK!$C:$C,"broken white",MASUK!$D:$D,"M")+SO!C42</f>
        <v>0</v>
      </c>
      <c r="D42" s="27">
        <f>-SUMIFS(KELUAR!$E:$E,KELUAR!$B:$B,"JANGGAN PENDEK",KELUAR!$C:$C,"broken white",KELUAR!$D:$D,"L")+SUMIFS(MASUK!$E:$E,MASUK!$B:$B,"JANGGAN PENDEK",MASUK!$C:$C,"broken white",MASUK!$D:$D,"L")+SO!D42</f>
        <v>0</v>
      </c>
      <c r="E42" s="27"/>
      <c r="F42" s="27">
        <f t="shared" ref="F42:F45" si="7">SUM(B42:E42)</f>
        <v>0</v>
      </c>
      <c r="I42" s="89" t="s">
        <v>12</v>
      </c>
      <c r="J42" s="90"/>
      <c r="K42" s="90"/>
      <c r="L42" s="90"/>
      <c r="M42" s="90"/>
      <c r="N42" s="91"/>
      <c r="O42" s="92" t="s">
        <v>27</v>
      </c>
    </row>
    <row r="43" spans="1:16" ht="14.5">
      <c r="A43" s="26"/>
      <c r="B43" s="27">
        <f>-SUMIFS(KELUAR!$E:$E,KELUAR!$B:$B,"JANGGAN PENDEK",KELUAR!$C:$C,"broken white",KELUAR!$D:$D,"S")+SUMIFS(MASUK!$E:$E,MASUK!$B:$B,"JANGGAN PENDEK",MASUK!$C:$C,"broken white",MASUK!$D:$D,"S")+SO!B43</f>
        <v>0</v>
      </c>
      <c r="C43" s="27">
        <f>-SUMIFS(KELUAR!$E:$E,KELUAR!$B:$B,"JANGGAN PENDEK",KELUAR!$C:$C,"broken white",KELUAR!$D:$D,"M")+SUMIFS(MASUK!$E:$E,MASUK!$B:$B,"JANGGAN PENDEK",MASUK!$C:$C,"broken white",MASUK!$D:$D,"M")+SO!C43</f>
        <v>0</v>
      </c>
      <c r="D43" s="27">
        <f>-SUMIFS(KELUAR!$E:$E,KELUAR!$B:$B,"JANGGAN PENDEK",KELUAR!$C:$C,"broken white",KELUAR!$D:$D,"L")+SUMIFS(MASUK!$E:$E,MASUK!$B:$B,"JANGGAN PENDEK",MASUK!$C:$C,"broken white",MASUK!$D:$D,"L")+SO!D43</f>
        <v>0</v>
      </c>
      <c r="E43" s="27"/>
      <c r="F43" s="27">
        <f t="shared" si="7"/>
        <v>0</v>
      </c>
      <c r="I43" s="65" t="s">
        <v>28</v>
      </c>
      <c r="J43" s="65">
        <v>6</v>
      </c>
      <c r="K43" s="65">
        <v>8</v>
      </c>
      <c r="L43" s="65">
        <v>10</v>
      </c>
      <c r="M43" s="66">
        <v>12</v>
      </c>
      <c r="N43" s="66">
        <v>14</v>
      </c>
      <c r="O43" s="93"/>
    </row>
    <row r="44" spans="1:16" ht="14.5">
      <c r="A44" s="26"/>
      <c r="B44" s="27">
        <f>-SUMIFS(KELUAR!$E:$E,KELUAR!$B:$B,"JANGGAN PENDEK",KELUAR!$C:$C,"broken white",KELUAR!$D:$D,"S")+SUMIFS(MASUK!$E:$E,MASUK!$B:$B,"JANGGAN PENDEK",MASUK!$C:$C,"broken white",MASUK!$D:$D,"S")+SO!B44</f>
        <v>0</v>
      </c>
      <c r="C44" s="27">
        <f>-SUMIFS(KELUAR!$E:$E,KELUAR!$B:$B,"JANGGAN PENDEK",KELUAR!$C:$C,"broken white",KELUAR!$D:$D,"M")+SUMIFS(MASUK!$E:$E,MASUK!$B:$B,"JANGGAN PENDEK",MASUK!$C:$C,"broken white",MASUK!$D:$D,"M")+SO!C44</f>
        <v>0</v>
      </c>
      <c r="D44" s="27">
        <f>-SUMIFS(KELUAR!$E:$E,KELUAR!$B:$B,"JANGGAN PENDEK",KELUAR!$C:$C,"broken white",KELUAR!$D:$D,"L")+SUMIFS(MASUK!$E:$E,MASUK!$B:$B,"JANGGAN PENDEK",MASUK!$C:$C,"broken white",MASUK!$D:$D,"L")+SO!D44</f>
        <v>0</v>
      </c>
      <c r="E44" s="27"/>
      <c r="F44" s="27">
        <f t="shared" si="7"/>
        <v>0</v>
      </c>
      <c r="I44" s="26" t="s">
        <v>18</v>
      </c>
      <c r="J44" s="27">
        <f>-SUMIFS(KELUAR!$E:$E,KELUAR!$B:$B,"JANGGAN PANJANG",KELUAR!$C:$C,"MAHOGANY",KELUAR!$D:$D,"6")+SUMIFS(MASUK!$E:$E,MASUK!$B:$B,"JANGGAN PANJANG",MASUK!$C:$C,"MAHOGANY",MASUK!$D:$D,"6")+SO!J46</f>
        <v>0</v>
      </c>
      <c r="K44" s="27">
        <f>-SUMIFS(KELUAR!$E:$E,KELUAR!$B:$B,"JANGGAN PANJANG",KELUAR!$C:$C,"MAHOGANY",KELUAR!$D:$D,"8")+SUMIFS(MASUK!$E:$E,MASUK!$B:$B,"JANGGAN PANJANG",MASUK!$C:$C,"MAHOGANY",MASUK!$D:$D,"8")+SO!K46</f>
        <v>0</v>
      </c>
      <c r="L44" s="27">
        <f>-SUMIFS(KELUAR!$E:$E,KELUAR!$B:$B,"JANGGAN PANJANG",KELUAR!$C:$C,"MAHOGANY",KELUAR!$D:$D,"10")+SUMIFS(MASUK!$E:$E,MASUK!$B:$B,"JANGGAN PANJANG",MASUK!$C:$C,"MAHOGANY",MASUK!$D:$D,"10")+SO!L46</f>
        <v>0</v>
      </c>
      <c r="M44" s="27">
        <f>-SUMIFS(KELUAR!$E:$E,KELUAR!$B:$B,"JANGGAN PANJANG",KELUAR!$C:$C,"MAHOGANY",KELUAR!$D:$D,"12")+SUMIFS(MASUK!$E:$E,MASUK!$B:$B,"JANGGAN PANJANG",MASUK!$C:$C,"MAHOGANY",MASUK!$D:$D,"12")+SO!M46</f>
        <v>0</v>
      </c>
      <c r="N44" s="27">
        <f>-SUMIFS(KELUAR!$E:$E,KELUAR!$B:$B,"JANGGAN PANJANG",KELUAR!$C:$C,"MAHOGANY",KELUAR!$D:$D,"14")+SUMIFS(MASUK!$E:$E,MASUK!$B:$B,"JANGGAN PANJANG",MASUK!$C:$C,"MAHOGANY",MASUK!$D:$D,"14")+SO!N46</f>
        <v>0</v>
      </c>
      <c r="O44" s="27">
        <f t="shared" ref="O44:O54" si="8">SUM(J44:L44)</f>
        <v>0</v>
      </c>
    </row>
    <row r="45" spans="1:16" ht="14.5">
      <c r="A45" s="26"/>
      <c r="B45" s="27">
        <f>-SUMIFS(KELUAR!$E:$E,KELUAR!$B:$B,"JANGGAN PENDEK",KELUAR!$C:$C,"broken white",KELUAR!$D:$D,"S")+SUMIFS(MASUK!$E:$E,MASUK!$B:$B,"JANGGAN PENDEK",MASUK!$C:$C,"broken white",MASUK!$D:$D,"S")+SO!B45</f>
        <v>0</v>
      </c>
      <c r="C45" s="27">
        <f>-SUMIFS(KELUAR!$E:$E,KELUAR!$B:$B,"JANGGAN PENDEK",KELUAR!$C:$C,"broken white",KELUAR!$D:$D,"M")+SUMIFS(MASUK!$E:$E,MASUK!$B:$B,"JANGGAN PENDEK",MASUK!$C:$C,"broken white",MASUK!$D:$D,"M")+SO!C45</f>
        <v>0</v>
      </c>
      <c r="D45" s="27">
        <f>-SUMIFS(KELUAR!$E:$E,KELUAR!$B:$B,"JANGGAN PENDEK",KELUAR!$C:$C,"broken white",KELUAR!$D:$D,"L")+SUMIFS(MASUK!$E:$E,MASUK!$B:$B,"JANGGAN PENDEK",MASUK!$C:$C,"broken white",MASUK!$D:$D,"L")+SO!D45</f>
        <v>0</v>
      </c>
      <c r="E45" s="27"/>
      <c r="F45" s="27">
        <f t="shared" si="7"/>
        <v>0</v>
      </c>
      <c r="I45" s="26" t="s">
        <v>33</v>
      </c>
      <c r="J45" s="27">
        <f>-SUMIFS(KELUAR!$E:$E,KELUAR!$B:$B,"JANGGAN PANJANG",KELUAR!$C:$C,"BURGUNDY",KELUAR!$D:$D,"6")+SUMIFS(MASUK!$E:$E,MASUK!$B:$B,"JANGGAN PANJANG",MASUK!$C:$C,"BURGUNDY",MASUK!$D:$D,"6")+SO!J47</f>
        <v>0</v>
      </c>
      <c r="K45" s="27">
        <f>-SUMIFS(KELUAR!$E:$E,KELUAR!$B:$B,"JANGGAN PANJANG",KELUAR!$C:$C,"BURGUNDY",KELUAR!$D:$D,"8")+SUMIFS(MASUK!$E:$E,MASUK!$B:$B,"JANGGAN PANJANG",MASUK!$C:$C,"BURGUNDY",MASUK!$D:$D,"8")+SO!K47</f>
        <v>0</v>
      </c>
      <c r="L45" s="27">
        <f>-SUMIFS(KELUAR!$E:$E,KELUAR!$B:$B,"JANGGAN PANJANG",KELUAR!$C:$C,"BURGUNDY",KELUAR!$D:$D,"10")+SUMIFS(MASUK!$E:$E,MASUK!$B:$B,"JANGGAN PANJANG",MASUK!$C:$C,"BURGUNDY",MASUK!$D:$D,"10")+SO!L47</f>
        <v>0</v>
      </c>
      <c r="M45" s="27">
        <f>-SUMIFS(KELUAR!$E:$E,KELUAR!$B:$B,"JANGGAN PANJANG",KELUAR!$C:$C,"BURGUNDY",KELUAR!$D:$D,"12")+SUMIFS(MASUK!$E:$E,MASUK!$B:$B,"JANGGAN PANJANG",MASUK!$C:$C,"BURGUNDY",MASUK!$D:$D,"12")+SO!M47</f>
        <v>0</v>
      </c>
      <c r="N45" s="27">
        <f>-SUMIFS(KELUAR!$E:$E,KELUAR!$B:$B,"JANGGAN PANJANG",KELUAR!$C:$C,"MAHOGANY",KELUAR!$D:$D,"14")+SUMIFS(MASUK!$E:$E,MASUK!$B:$B,"JANGGAN PANJANG",MASUK!$C:$C,"MAHOGANY",MASUK!$D:$D,"14")+SO!N47</f>
        <v>0</v>
      </c>
      <c r="O45" s="27">
        <f t="shared" si="8"/>
        <v>0</v>
      </c>
    </row>
    <row r="46" spans="1:16" ht="14.5">
      <c r="B46" s="33"/>
      <c r="C46" s="33"/>
      <c r="D46" s="33"/>
      <c r="E46" s="25" t="s">
        <v>10</v>
      </c>
      <c r="F46" s="26">
        <f>SUBTOTAL(9,F27:F45)</f>
        <v>0</v>
      </c>
      <c r="I46" s="26" t="s">
        <v>17</v>
      </c>
      <c r="J46" s="27">
        <f>-SUMIFS(KELUAR!$E:$E,KELUAR!$B:$B,"JANGGAN PANJANG",KELUAR!$C:$C,"DENIM",KELUAR!$D:$D,"6")+SUMIFS(MASUK!$E:$E,MASUK!$B:$B,"JANGGAN PANJANG",MASUK!$C:$C,"DENIM",MASUK!$D:$D,"6")+SO!J48</f>
        <v>0</v>
      </c>
      <c r="K46" s="27">
        <f>-SUMIFS(KELUAR!$E:$E,KELUAR!$B:$B,"JANGGAN PANJANG",KELUAR!$C:$C,"DENIM",KELUAR!$D:$D,"8")+SUMIFS(MASUK!$E:$E,MASUK!$B:$B,"JANGGAN PANJANG",MASUK!$C:$C,"DENIM",MASUK!$D:$D,"8")+SO!K48</f>
        <v>0</v>
      </c>
      <c r="L46" s="27">
        <f>-SUMIFS(KELUAR!$E:$E,KELUAR!$B:$B,"JANGGAN PANJANG",KELUAR!$C:$C,"DENIM",KELUAR!$D:$D,"10")+SUMIFS(MASUK!$E:$E,MASUK!$B:$B,"JANGGAN PANJANG",MASUK!$C:$C,"DENIM",MASUK!$D:$D,"10")+SO!L48</f>
        <v>0</v>
      </c>
      <c r="M46" s="27">
        <f>-SUMIFS(KELUAR!$E:$E,KELUAR!$B:$B,"JANGGAN PANJANG",KELUAR!$C:$C,"DENIM",KELUAR!$D:$D,"12")+SUMIFS(MASUK!$E:$E,MASUK!$B:$B,"JANGGAN PANJANG",MASUK!$C:$C,"DENIM",MASUK!$D:$D,"12")+SO!M48</f>
        <v>0</v>
      </c>
      <c r="N46" s="27">
        <f>-SUMIFS(KELUAR!$E:$E,KELUAR!$B:$B,"JANGGAN PANJANG",KELUAR!$C:$C,"MAHOGANY",KELUAR!$D:$D,"14")+SUMIFS(MASUK!$E:$E,MASUK!$B:$B,"JANGGAN PANJANG",MASUK!$C:$C,"MAHOGANY",MASUK!$D:$D,"14")+SO!N48</f>
        <v>0</v>
      </c>
      <c r="O46" s="27">
        <f t="shared" si="8"/>
        <v>0</v>
      </c>
    </row>
    <row r="47" spans="1:16" ht="14.5">
      <c r="B47" s="33"/>
      <c r="C47" s="33"/>
      <c r="D47" s="33"/>
      <c r="E47" s="33"/>
      <c r="I47" s="26" t="s">
        <v>23</v>
      </c>
      <c r="J47" s="27">
        <f>-SUMIFS(KELUAR!$E:$E,KELUAR!$B:$B,"JANGGAN PANJANG",KELUAR!$C:$C,"COKSU",KELUAR!$D:$D,"6")+SUMIFS(MASUK!$E:$E,MASUK!$B:$B,"JANGGAN PANJANG",MASUK!$C:$C,"COKSU",MASUK!$D:$D,"6")+SO!J49</f>
        <v>0</v>
      </c>
      <c r="K47" s="27">
        <f>-SUMIFS(KELUAR!$E:$E,KELUAR!$B:$B,"JANGGAN PANJANG",KELUAR!$C:$C,"COKSU",KELUAR!$D:$D,"8")+SUMIFS(MASUK!$E:$E,MASUK!$B:$B,"JANGGAN PANJANG",MASUK!$C:$C,"COKSU",MASUK!$D:$D,"8")+SO!K49</f>
        <v>0</v>
      </c>
      <c r="L47" s="27">
        <f>-SUMIFS(KELUAR!$E:$E,KELUAR!$B:$B,"JANGGAN PANJANG",KELUAR!$C:$C,"COKSU",KELUAR!$D:$D,"10")+SUMIFS(MASUK!$E:$E,MASUK!$B:$B,"JANGGAN PANJANG",MASUK!$C:$C,"COKSU",MASUK!$D:$D,"10")+SO!L49</f>
        <v>0</v>
      </c>
      <c r="M47" s="27">
        <f>-SUMIFS(KELUAR!$E:$E,KELUAR!$B:$B,"JANGGAN PANJANG",KELUAR!$C:$C,"COKSU",KELUAR!$D:$D,"12")+SUMIFS(MASUK!$E:$E,MASUK!$B:$B,"JANGGAN PANJANG",MASUK!$C:$C,"COKSU",MASUK!$D:$D,"12")+SO!M49</f>
        <v>0</v>
      </c>
      <c r="N47" s="27">
        <f>-SUMIFS(KELUAR!$E:$E,KELUAR!$B:$B,"JANGGAN PANJANG",KELUAR!$C:$C,"MAHOGANY",KELUAR!$D:$D,"14")+SUMIFS(MASUK!$E:$E,MASUK!$B:$B,"JANGGAN PANJANG",MASUK!$C:$C,"MAHOGANY",MASUK!$D:$D,"14")+SO!N49</f>
        <v>0</v>
      </c>
      <c r="O47" s="27">
        <f t="shared" si="8"/>
        <v>0</v>
      </c>
    </row>
    <row r="48" spans="1:16" ht="14.5">
      <c r="B48" s="33"/>
      <c r="C48" s="33"/>
      <c r="D48" s="33"/>
      <c r="E48" s="33"/>
      <c r="I48" s="26" t="s">
        <v>14</v>
      </c>
      <c r="J48" s="27">
        <f>-SUMIFS(KELUAR!$E:$E,KELUAR!$B:$B,"JANGGAN PANJANG",KELUAR!$C:$C,"NAVY",KELUAR!$D:$D,"6")+SUMIFS(MASUK!$E:$E,MASUK!$B:$B,"JANGGAN PANJANG",MASUK!$C:$C,"NAVY",MASUK!$D:$D,"6")+SO!J50</f>
        <v>0</v>
      </c>
      <c r="K48" s="27">
        <f>-SUMIFS(KELUAR!$E:$E,KELUAR!$B:$B,"JANGGAN PANJANG",KELUAR!$C:$C,"NAVY",KELUAR!$D:$D,"8")+SUMIFS(MASUK!$E:$E,MASUK!$B:$B,"JANGGAN PANJANG",MASUK!$C:$C,"NAVY",MASUK!$D:$D,"8")+SO!K50</f>
        <v>0</v>
      </c>
      <c r="L48" s="27">
        <f>-SUMIFS(KELUAR!$E:$E,KELUAR!$B:$B,"JANGGAN PANJANG",KELUAR!$C:$C,"NAVY",KELUAR!$D:$D,"10")+SUMIFS(MASUK!$E:$E,MASUK!$B:$B,"JANGGAN PANJANG",MASUK!$C:$C,"NAVY",MASUK!$D:$D,"10")+SO!L50</f>
        <v>0</v>
      </c>
      <c r="M48" s="27">
        <f>-SUMIFS(KELUAR!$E:$E,KELUAR!$B:$B,"JANGGAN PANJANG",KELUAR!$C:$C,"NAVY",KELUAR!$D:$D,"12")+SUMIFS(MASUK!$E:$E,MASUK!$B:$B,"JANGGAN PANJANG",MASUK!$C:$C,"NAVY",MASUK!$D:$D,"12")+SO!M50</f>
        <v>0</v>
      </c>
      <c r="N48" s="27">
        <f>-SUMIFS(KELUAR!$E:$E,KELUAR!$B:$B,"JANGGAN PANJANG",KELUAR!$C:$C,"MAHOGANY",KELUAR!$D:$D,"14")+SUMIFS(MASUK!$E:$E,MASUK!$B:$B,"JANGGAN PANJANG",MASUK!$C:$C,"MAHOGANY",MASUK!$D:$D,"14")+SO!N50</f>
        <v>0</v>
      </c>
      <c r="O48" s="27">
        <f t="shared" si="8"/>
        <v>0</v>
      </c>
    </row>
    <row r="49" spans="2:16" ht="14.5">
      <c r="B49" s="33"/>
      <c r="C49" s="33"/>
      <c r="D49" s="33"/>
      <c r="E49" s="33"/>
      <c r="I49" s="26" t="s">
        <v>26</v>
      </c>
      <c r="J49" s="27">
        <f>-SUMIFS(KELUAR!$E:$E,KELUAR!$B:$B,"JANGGAN PANJANG",KELUAR!$C:$C,"HITAM",KELUAR!$D:$D,"6")+SUMIFS(MASUK!$E:$E,MASUK!$B:$B,"JANGGAN PANJANG",MASUK!$C:$C,"HITAM",MASUK!$D:$D,"6")+SO!J51</f>
        <v>0</v>
      </c>
      <c r="K49" s="27">
        <f>-SUMIFS(KELUAR!$E:$E,KELUAR!$B:$B,"JANGGAN PANJANG",KELUAR!$C:$C,"HITAM",KELUAR!$D:$D,"8")+SUMIFS(MASUK!$E:$E,MASUK!$B:$B,"JANGGAN PANJANG",MASUK!$C:$C,"HITAM",MASUK!$D:$D,"8")+SO!K51</f>
        <v>0</v>
      </c>
      <c r="L49" s="27">
        <f>-SUMIFS(KELUAR!$E:$E,KELUAR!$B:$B,"JANGGAN PANJANG",KELUAR!$C:$C,"HITAM",KELUAR!$D:$D,"10")+SUMIFS(MASUK!$E:$E,MASUK!$B:$B,"JANGGAN PANJANG",MASUK!$C:$C,"HITAM",MASUK!$D:$D,"10")+SO!L51</f>
        <v>0</v>
      </c>
      <c r="M49" s="27">
        <f>-SUMIFS(KELUAR!$E:$E,KELUAR!$B:$B,"JANGGAN PANJANG",KELUAR!$C:$C,"HITAM",KELUAR!$D:$D,"12")+SUMIFS(MASUK!$E:$E,MASUK!$B:$B,"JANGGAN PANJANG",MASUK!$C:$C,"HITAM",MASUK!$D:$D,"12")+SO!M51</f>
        <v>0</v>
      </c>
      <c r="N49" s="27">
        <f>-SUMIFS(KELUAR!$E:$E,KELUAR!$B:$B,"JANGGAN PANJANG",KELUAR!$C:$C,"MAHOGANY",KELUAR!$D:$D,"14")+SUMIFS(MASUK!$E:$E,MASUK!$B:$B,"JANGGAN PANJANG",MASUK!$C:$C,"MAHOGANY",MASUK!$D:$D,"14")+SO!N51</f>
        <v>0</v>
      </c>
      <c r="O49" s="27">
        <f t="shared" si="8"/>
        <v>0</v>
      </c>
    </row>
    <row r="50" spans="2:16" ht="14.5">
      <c r="B50" s="33"/>
      <c r="C50" s="33"/>
      <c r="D50" s="33"/>
      <c r="E50" s="33"/>
      <c r="I50" s="26" t="s">
        <v>13</v>
      </c>
      <c r="J50" s="27">
        <f>-SUMIFS(KELUAR!$E:$E,KELUAR!$B:$B,"JANGGAN PANJANG",KELUAR!$C:$C,"DUSTY",KELUAR!$D:$D,"6")+SUMIFS(MASUK!$E:$E,MASUK!$B:$B,"JANGGAN PANJANG",MASUK!$C:$C,"DUSTY",MASUK!$D:$D,"6")+SO!J52</f>
        <v>0</v>
      </c>
      <c r="K50" s="27">
        <f>-SUMIFS(KELUAR!$E:$E,KELUAR!$B:$B,"JANGGAN PANJANG",KELUAR!$C:$C,"DUSTY",KELUAR!$D:$D,"8")+SUMIFS(MASUK!$E:$E,MASUK!$B:$B,"JANGGAN PANJANG",MASUK!$C:$C,"DUSTY",MASUK!$D:$D,"8")+SO!K52</f>
        <v>0</v>
      </c>
      <c r="L50" s="27">
        <f>-SUMIFS(KELUAR!$E:$E,KELUAR!$B:$B,"JANGGAN PANJANG",KELUAR!$C:$C,"DUSTY",KELUAR!$D:$D,"10")+SUMIFS(MASUK!$E:$E,MASUK!$B:$B,"JANGGAN PANJANG",MASUK!$C:$C,"DUSTY",MASUK!$D:$D,"10")+SO!L52</f>
        <v>0</v>
      </c>
      <c r="M50" s="27">
        <f>-SUMIFS(KELUAR!$E:$E,KELUAR!$B:$B,"JANGGAN PANJANG",KELUAR!$C:$C,"DUSTY",KELUAR!$D:$D,"12")+SUMIFS(MASUK!$E:$E,MASUK!$B:$B,"JANGGAN PANJANG",MASUK!$C:$C,"DUSTY",MASUK!$D:$D,"12")+SO!M52</f>
        <v>0</v>
      </c>
      <c r="N50" s="27">
        <f>-SUMIFS(KELUAR!$E:$E,KELUAR!$B:$B,"JANGGAN PANJANG",KELUAR!$C:$C,"MAHOGANY",KELUAR!$D:$D,"14")+SUMIFS(MASUK!$E:$E,MASUK!$B:$B,"JANGGAN PANJANG",MASUK!$C:$C,"MAHOGANY",MASUK!$D:$D,"14")+SO!N52</f>
        <v>0</v>
      </c>
      <c r="O50" s="27">
        <f t="shared" si="8"/>
        <v>0</v>
      </c>
    </row>
    <row r="51" spans="2:16" ht="14.5">
      <c r="B51" s="33"/>
      <c r="C51" s="33"/>
      <c r="D51" s="33"/>
      <c r="E51" s="33"/>
      <c r="I51" s="29" t="s">
        <v>21</v>
      </c>
      <c r="J51" s="27">
        <f>-SUMIFS(KELUAR!$E:$E,KELUAR!$B:$B,"JANGGAN PANJANG",KELUAR!$C:$C,"ROSEGOLD",KELUAR!$D:$D,"6")+SUMIFS(MASUK!$E:$E,MASUK!$B:$B,"JANGGAN PANJANG",MASUK!$C:$C,"ROSEGOLD",MASUK!$D:$D,"6")+SO!J53</f>
        <v>0</v>
      </c>
      <c r="K51" s="27">
        <f>-SUMIFS(KELUAR!$E:$E,KELUAR!$B:$B,"JANGGAN PANJANG",KELUAR!$C:$C,"ROSEGOLD",KELUAR!$D:$D,"8")+SUMIFS(MASUK!$E:$E,MASUK!$B:$B,"JANGGAN PANJANG",MASUK!$C:$C,"ROSEGOLD",MASUK!$D:$D,"8")+SO!K53</f>
        <v>0</v>
      </c>
      <c r="L51" s="27">
        <f>-SUMIFS(KELUAR!$E:$E,KELUAR!$B:$B,"JANGGAN PANJANG",KELUAR!$C:$C,"ROSEGOLD",KELUAR!$D:$D,"10")+SUMIFS(MASUK!$E:$E,MASUK!$B:$B,"JANGGAN PANJANG",MASUK!$C:$C,"ROSEGOLD",MASUK!$D:$D,"10")+SO!L53</f>
        <v>0</v>
      </c>
      <c r="M51" s="27">
        <f>-SUMIFS(KELUAR!$E:$E,KELUAR!$B:$B,"JANGGAN PANJANG",KELUAR!$C:$C,"ROSEGOLD",KELUAR!$D:$D,"12")+SUMIFS(MASUK!$E:$E,MASUK!$B:$B,"JANGGAN PANJANG",MASUK!$C:$C,"ROSEGOLD",MASUK!$D:$D,"12")+SO!M53</f>
        <v>0</v>
      </c>
      <c r="N51" s="27">
        <f>-SUMIFS(KELUAR!$E:$E,KELUAR!$B:$B,"JANGGAN PANJANG",KELUAR!$C:$C,"MAHOGANY",KELUAR!$D:$D,"14")+SUMIFS(MASUK!$E:$E,MASUK!$B:$B,"JANGGAN PANJANG",MASUK!$C:$C,"MAHOGANY",MASUK!$D:$D,"14")+SO!N53</f>
        <v>0</v>
      </c>
      <c r="O51" s="27">
        <f t="shared" si="8"/>
        <v>0</v>
      </c>
    </row>
    <row r="52" spans="2:16" ht="14.5">
      <c r="B52" s="33"/>
      <c r="C52" s="33"/>
      <c r="D52" s="33"/>
      <c r="E52" s="33"/>
      <c r="I52" s="26" t="s">
        <v>19</v>
      </c>
      <c r="J52" s="27">
        <f>-SUMIFS(KELUAR!$E:$E,KELUAR!$B:$B,"JANGGAN PANJANG",KELUAR!$C:$C,"SAGE",KELUAR!$D:$D,"6")+SUMIFS(MASUK!$E:$E,MASUK!$B:$B,"JANGGAN PANJANG",MASUK!$C:$C,"SAGE",MASUK!$D:$D,"6")+SO!J54</f>
        <v>0</v>
      </c>
      <c r="K52" s="27">
        <f>-SUMIFS(KELUAR!$E:$E,KELUAR!$B:$B,"JANGGAN PANJANG",KELUAR!$C:$C,"SAGE",KELUAR!$D:$D,"8")+SUMIFS(MASUK!$E:$E,MASUK!$B:$B,"JANGGAN PANJANG",MASUK!$C:$C,"SAGE",MASUK!$D:$D,"8")+SO!K54</f>
        <v>0</v>
      </c>
      <c r="L52" s="27">
        <f>-SUMIFS(KELUAR!$E:$E,KELUAR!$B:$B,"JANGGAN PANJANG",KELUAR!$C:$C,"SAGE",KELUAR!$D:$D,"10")+SUMIFS(MASUK!$E:$E,MASUK!$B:$B,"JANGGAN PANJANG",MASUK!$C:$C,"SAGE",MASUK!$D:$D,"10")+SO!L54</f>
        <v>0</v>
      </c>
      <c r="M52" s="27">
        <f>-SUMIFS(KELUAR!$E:$E,KELUAR!$B:$B,"JANGGAN PANJANG",KELUAR!$C:$C,"SAGE",KELUAR!$D:$D,"12")+SUMIFS(MASUK!$E:$E,MASUK!$B:$B,"JANGGAN PANJANG",MASUK!$C:$C,"SAGE",MASUK!$D:$D,"12")+SO!M54</f>
        <v>0</v>
      </c>
      <c r="N52" s="27">
        <f>-SUMIFS(KELUAR!$E:$E,KELUAR!$B:$B,"JANGGAN PANJANG",KELUAR!$C:$C,"MAHOGANY",KELUAR!$D:$D,"14")+SUMIFS(MASUK!$E:$E,MASUK!$B:$B,"JANGGAN PANJANG",MASUK!$C:$C,"MAHOGANY",MASUK!$D:$D,"14")+SO!N54</f>
        <v>0</v>
      </c>
      <c r="O52" s="27">
        <f t="shared" si="8"/>
        <v>0</v>
      </c>
    </row>
    <row r="53" spans="2:16" ht="14.5">
      <c r="B53" s="33"/>
      <c r="C53" s="33"/>
      <c r="D53" s="33"/>
      <c r="E53" s="33"/>
      <c r="I53" s="37" t="s">
        <v>15</v>
      </c>
      <c r="J53" s="27">
        <f>-SUMIFS(KELUAR!$E:$E,KELUAR!$B:$B,"JANGGAN PANJANG",KELUAR!$C:$C,"EMERALD GREEN",KELUAR!$D:$D,"6")+SUMIFS(MASUK!$E:$E,MASUK!$B:$B,"JANGGAN PANJANG",MASUK!$C:$C,"EMERALD GREEN",MASUK!$D:$D,"6")+SO!J55</f>
        <v>0</v>
      </c>
      <c r="K53" s="27">
        <f>-SUMIFS(KELUAR!$E:$E,KELUAR!$B:$B,"JANGGAN PANJANG",KELUAR!$C:$C,"EMERALD GREEN",KELUAR!$D:$D,"8")+SUMIFS(MASUK!$E:$E,MASUK!$B:$B,"JANGGAN PANJANG",MASUK!$C:$C,"EMERALD GREEN",MASUK!$D:$D,"8")+SO!K55</f>
        <v>0</v>
      </c>
      <c r="L53" s="27">
        <f>-SUMIFS(KELUAR!$E:$E,KELUAR!$B:$B,"JANGGAN PANJANG",KELUAR!$C:$C,"EMERALD GREEN",KELUAR!$D:$D,"10")+SUMIFS(MASUK!$E:$E,MASUK!$B:$B,"JANGGAN PANJANG",MASUK!$C:$C,"EMERALD GREEN",MASUK!$D:$D,"10")+SO!L55</f>
        <v>0</v>
      </c>
      <c r="M53" s="27">
        <f>-SUMIFS(KELUAR!$E:$E,KELUAR!$B:$B,"JANGGAN PANJANG",KELUAR!$C:$C,"EMERALD GREEN",KELUAR!$D:$D,"12")+SUMIFS(MASUK!$E:$E,MASUK!$B:$B,"JANGGAN PANJANG",MASUK!$C:$C,"EMERALD GREEN",MASUK!$D:$D,"12")+SO!M55</f>
        <v>0</v>
      </c>
      <c r="N53" s="27">
        <f>-SUMIFS(KELUAR!$E:$E,KELUAR!$B:$B,"JANGGAN PANJANG",KELUAR!$C:$C,"MAHOGANY",KELUAR!$D:$D,"14")+SUMIFS(MASUK!$E:$E,MASUK!$B:$B,"JANGGAN PANJANG",MASUK!$C:$C,"MAHOGANY",MASUK!$D:$D,"14")+SO!N55</f>
        <v>0</v>
      </c>
      <c r="O53" s="27">
        <f t="shared" si="8"/>
        <v>0</v>
      </c>
    </row>
    <row r="54" spans="2:16" ht="14.5">
      <c r="B54" s="33"/>
      <c r="C54" s="33"/>
      <c r="D54" s="33"/>
      <c r="E54" s="33"/>
      <c r="I54" s="37" t="s">
        <v>48</v>
      </c>
      <c r="J54" s="27">
        <f>-SUMIFS(KELUAR!$E:$E,KELUAR!$B:$B,"JANGGAN PANJANG",KELUAR!$C:$C,"MILO",KELUAR!$D:$D,"6")+SUMIFS(MASUK!$E:$E,MASUK!$B:$B,"JANGGAN PANJANG",MASUK!$C:$C,"MILO",MASUK!$D:$D,"6")+SO!J56</f>
        <v>0</v>
      </c>
      <c r="K54" s="27">
        <f>-SUMIFS(KELUAR!$E:$E,KELUAR!$B:$B,"JANGGAN PANJANG",KELUAR!$C:$C,"MILO",KELUAR!$D:$D,"8")+SUMIFS(MASUK!$E:$E,MASUK!$B:$B,"JANGGAN PANJANG",MASUK!$C:$C,"MILO",MASUK!$D:$D,"8")+SO!K56</f>
        <v>0</v>
      </c>
      <c r="L54" s="27">
        <f>-SUMIFS(KELUAR!$E:$E,KELUAR!$B:$B,"JANGGAN PANJANG",KELUAR!$C:$C,"MILO",KELUAR!$D:$D,"10")+SUMIFS(MASUK!$E:$E,MASUK!$B:$B,"JANGGAN PANJANG",MASUK!$C:$C,"MILO",MASUK!$D:$D,"10")+SO!L56</f>
        <v>0</v>
      </c>
      <c r="M54" s="27">
        <f>-SUMIFS(KELUAR!$E:$E,KELUAR!$B:$B,"JANGGAN PANJANG",KELUAR!$C:$C,"MILO",KELUAR!$D:$D,"12")+SUMIFS(MASUK!$E:$E,MASUK!$B:$B,"JANGGAN PANJANG",MASUK!$C:$C,"MILO",MASUK!$D:$D,"12")+SO!M56</f>
        <v>0</v>
      </c>
      <c r="N54" s="27">
        <f>-SUMIFS(KELUAR!$E:$E,KELUAR!$B:$B,"JANGGAN PANJANG",KELUAR!$C:$C,"MAHOGANY",KELUAR!$D:$D,"14")+SUMIFS(MASUK!$E:$E,MASUK!$B:$B,"JANGGAN PANJANG",MASUK!$C:$C,"MAHOGANY",MASUK!$D:$D,"14")+SO!N56</f>
        <v>0</v>
      </c>
      <c r="O54" s="27">
        <f t="shared" si="8"/>
        <v>0</v>
      </c>
    </row>
    <row r="55" spans="2:16" ht="14.5">
      <c r="B55" s="33"/>
      <c r="C55" s="33"/>
      <c r="D55" s="33"/>
      <c r="E55" s="33"/>
      <c r="I55" s="62" t="s">
        <v>47</v>
      </c>
      <c r="J55" s="27">
        <f>-SUMIFS(KELUAR!$E:$E,KELUAR!$B:$B,"JANGGAN PANJANG",KELUAR!$C:$C,"BROKEN WHITE",KELUAR!$D:$D,"6")+SUMIFS(MASUK!$E:$E,MASUK!$B:$B,"JANGGAN PANJANG",MASUK!$C:$C,"BROKEN WHITE",MASUK!$D:$D,"6")+SO!J57</f>
        <v>0</v>
      </c>
      <c r="K55" s="27">
        <f>-SUMIFS(KELUAR!$E:$E,KELUAR!$B:$B,"JANGGAN PANJANG",KELUAR!$C:$C,"BROKEN WHITE",KELUAR!$D:$D,"8")+SUMIFS(MASUK!$E:$E,MASUK!$B:$B,"JANGGAN PANJANG",MASUK!$C:$C,"BROKEN WHITE",MASUK!$D:$D,"8")+SO!K57</f>
        <v>0</v>
      </c>
      <c r="L55" s="27">
        <f>-SUMIFS(KELUAR!$E:$E,KELUAR!$B:$B,"JANGGAN PANJANG",KELUAR!$C:$C,"BROKEN WHITE",KELUAR!$D:$D,"10")+SUMIFS(MASUK!$E:$E,MASUK!$B:$B,"JANGGAN PANJANG",MASUK!$C:$C,"BROKEN WHITE",MASUK!$D:$D,"10")+SO!L57</f>
        <v>0</v>
      </c>
      <c r="M55" s="27">
        <f>-SUMIFS(KELUAR!$E:$E,KELUAR!$B:$B,"JANGGAN PANJANG",KELUAR!$C:$C,"BROKEN WHITE",KELUAR!$D:$D,"12")+SUMIFS(MASUK!$E:$E,MASUK!$B:$B,"JANGGAN PANJANG",MASUK!$C:$C,"BROKEN WHITE",MASUK!$D:$D,"12")+SO!M57</f>
        <v>0</v>
      </c>
      <c r="N55" s="27">
        <f>-SUMIFS(KELUAR!$E:$E,KELUAR!$B:$B,"JANGGAN PANJANG",KELUAR!$C:$C,"MAHOGANY",KELUAR!$D:$D,"14")+SUMIFS(MASUK!$E:$E,MASUK!$B:$B,"JANGGAN PANJANG",MASUK!$C:$C,"MAHOGANY",MASUK!$D:$D,"14")+SO!N57</f>
        <v>0</v>
      </c>
      <c r="O55" s="27">
        <f t="shared" ref="O55:O57" si="9">SUM(J55:L55)</f>
        <v>0</v>
      </c>
    </row>
    <row r="56" spans="2:16" ht="14.5">
      <c r="B56" s="33"/>
      <c r="C56" s="33"/>
      <c r="D56" s="33"/>
      <c r="E56" s="33"/>
      <c r="I56" s="44" t="s">
        <v>49</v>
      </c>
      <c r="J56" s="61">
        <f>-SUMIFS(KELUAR!$E:$E,KELUAR!$B:$B,"JANGGAN PANJANG",KELUAR!$C:$C,"BUTTER YELLOW",KELUAR!$D:$D,"6")+SUMIFS(MASUK!$E:$E,MASUK!$B:$B,"JANGGAN PANJANG",MASUK!$C:$C,"BUTTER YELLOW",MASUK!$D:$D,"6")+SO!J58</f>
        <v>0</v>
      </c>
      <c r="K56" s="27">
        <f>-SUMIFS(KELUAR!$E:$E,KELUAR!$B:$B,"JANGGAN PANJANG",KELUAR!$C:$C,"BUTTER YELLOW",KELUAR!$D:$D,"8")+SUMIFS(MASUK!$E:$E,MASUK!$B:$B,"JANGGAN PANJANG",MASUK!$C:$C,"BUTTER YELLOW",MASUK!$D:$D,"8")+SO!K58</f>
        <v>0</v>
      </c>
      <c r="L56" s="27">
        <f>-SUMIFS(KELUAR!$E:$E,KELUAR!$B:$B,"JANGGAN PANJANG",KELUAR!$C:$C,"BUTTER YELLOW",KELUAR!$D:$D,"10")+SUMIFS(MASUK!$E:$E,MASUK!$B:$B,"JANGGAN PANJANG",MASUK!$C:$C,"BUTTER YELLOW",MASUK!$D:$D,"10")+SO!L58</f>
        <v>0</v>
      </c>
      <c r="M56" s="27">
        <f>-SUMIFS(KELUAR!$E:$E,KELUAR!$B:$B,"JANGGAN PANJANG",KELUAR!$C:$C,"BUTTER YELLOW",KELUAR!$D:$D,"12")+SUMIFS(MASUK!$E:$E,MASUK!$B:$B,"JANGGAN PANJANG",MASUK!$C:$C,"BUTTER YELLOW",MASUK!$D:$D,"12")+SO!M58</f>
        <v>0</v>
      </c>
      <c r="N56" s="27">
        <f>-SUMIFS(KELUAR!$E:$E,KELUAR!$B:$B,"JANGGAN PANJANG",KELUAR!$C:$C,"MAHOGANY",KELUAR!$D:$D,"14")+SUMIFS(MASUK!$E:$E,MASUK!$B:$B,"JANGGAN PANJANG",MASUK!$C:$C,"MAHOGANY",MASUK!$D:$D,"14")+SO!N58</f>
        <v>0</v>
      </c>
      <c r="O56" s="27">
        <f t="shared" si="9"/>
        <v>0</v>
      </c>
    </row>
    <row r="57" spans="2:16" ht="14.5">
      <c r="B57" s="33"/>
      <c r="C57" s="33"/>
      <c r="D57" s="33"/>
      <c r="E57" s="33"/>
      <c r="I57" s="44" t="s">
        <v>40</v>
      </c>
      <c r="J57" s="61">
        <f>-SUMIFS(KELUAR!$E:$E,KELUAR!$B:$B,"JANGGAN PANJANG",KELUAR!$C:$C,"EMERALD BLUE",KELUAR!$D:$D,"6")+SUMIFS(MASUK!$E:$E,MASUK!$B:$B,"JANGGAN PANJANG",MASUK!$C:$C,"EMERALD BLUE",MASUK!$D:$D,"6")+SO!J59</f>
        <v>0</v>
      </c>
      <c r="K57" s="27">
        <f>-SUMIFS(KELUAR!$E:$E,KELUAR!$B:$B,"JANGGAN PANJANG",KELUAR!$C:$C,"EMERALD BLUE",KELUAR!$D:$D,"8")+SUMIFS(MASUK!$E:$E,MASUK!$B:$B,"JANGGAN PANJANG",MASUK!$C:$C,"EMERALD BLUE",MASUK!$D:$D,"8")+SO!K59</f>
        <v>0</v>
      </c>
      <c r="L57" s="27">
        <f>-SUMIFS(KELUAR!$E:$E,KELUAR!$B:$B,"JANGGAN PANJANG",KELUAR!$C:$C,"EMERALD BLUE",KELUAR!$D:$D,"10")+SUMIFS(MASUK!$E:$E,MASUK!$B:$B,"JANGGAN PANJANG",MASUK!$C:$C,"EMERALD BLUE",MASUK!$D:$D,"10")+SO!L59</f>
        <v>0</v>
      </c>
      <c r="M57" s="27">
        <f>-SUMIFS(KELUAR!$E:$E,KELUAR!$B:$B,"JANGGAN PANJANG",KELUAR!$C:$C,"EMERALD BLUE",KELUAR!$D:$D,"12")+SUMIFS(MASUK!$E:$E,MASUK!$B:$B,"JANGGAN PANJANG",MASUK!$C:$C,"EMERALD BLUE",MASUK!$D:$D,"12")+SO!M59</f>
        <v>0</v>
      </c>
      <c r="N57" s="27">
        <f>-SUMIFS(KELUAR!$E:$E,KELUAR!$B:$B,"JANGGAN PANJANG",KELUAR!$C:$C,"MAHOGANY",KELUAR!$D:$D,"14")+SUMIFS(MASUK!$E:$E,MASUK!$B:$B,"JANGGAN PANJANG",MASUK!$C:$C,"MAHOGANY",MASUK!$D:$D,"14")+SO!N59</f>
        <v>0</v>
      </c>
      <c r="O57" s="27">
        <f t="shared" si="9"/>
        <v>0</v>
      </c>
      <c r="P57" s="1"/>
    </row>
    <row r="58" spans="2:16" ht="14.5">
      <c r="B58" s="33"/>
      <c r="C58" s="33"/>
      <c r="D58" s="33"/>
      <c r="E58" s="33"/>
      <c r="I58" s="44"/>
      <c r="J58" s="61">
        <f>-SUMIFS(KELUAR!$E:$E,KELUAR!$B:$B,"JANGGAN PANJANG",KELUAR!$C:$C,"SAGE",KELUAR!$D:$D,"6")+SUMIFS(MASUK!$E:$E,MASUK!$B:$B,"JANGGAN PANJANG",MASUK!$C:$C,"SAGE",MASUK!$D:$D,"6")+SO!J61</f>
        <v>0</v>
      </c>
      <c r="K58" s="27">
        <f>-SUMIFS(KELUAR!$E:$E,KELUAR!$B:$B,"JANGGAN PANJANG",KELUAR!$C:$C,"SAGE",KELUAR!$D:$D,"8")+SUMIFS(MASUK!$E:$E,MASUK!$B:$B,"JANGGAN PANJANG",MASUK!$C:$C,"SAGE",MASUK!$D:$D,"8")+SO!K61</f>
        <v>0</v>
      </c>
      <c r="L58" s="27">
        <f>-SUMIFS(KELUAR!$E:$E,KELUAR!$B:$B,"JANGGAN PANJANG",KELUAR!$C:$C,"SAGE",KELUAR!$D:$D,"10")+SUMIFS(MASUK!$E:$E,MASUK!$B:$B,"JANGGAN PANJANG",MASUK!$C:$C,"SAGE",MASUK!$D:$D,"10")+SO!L61</f>
        <v>0</v>
      </c>
      <c r="M58" s="27">
        <f>-SUMIFS(KELUAR!$E:$E,KELUAR!$B:$B,"JANGGAN PANJANG",KELUAR!$C:$C,"SAGE",KELUAR!$D:$D,"12")+SUMIFS(MASUK!$E:$E,MASUK!$B:$B,"JANGGAN PANJANG",MASUK!$C:$C,"SAGE",MASUK!$D:$D,"12")+SO!M61</f>
        <v>0</v>
      </c>
      <c r="N58" s="27">
        <f>-SUMIFS(KELUAR!$E:$E,KELUAR!$B:$B,"JANGGAN PANJANG",KELUAR!$C:$C,"MAHOGANY",KELUAR!$D:$D,"14")+SUMIFS(MASUK!$E:$E,MASUK!$B:$B,"JANGGAN PANJANG",MASUK!$C:$C,"MAHOGANY",MASUK!$D:$D,"14")+SO!N60</f>
        <v>0</v>
      </c>
      <c r="O58" s="27">
        <f t="shared" ref="O58:O59" si="10">SUM(J58:L58)</f>
        <v>0</v>
      </c>
      <c r="P58" s="1"/>
    </row>
    <row r="59" spans="2:16" ht="14.5">
      <c r="B59" s="33"/>
      <c r="C59" s="33"/>
      <c r="D59" s="33"/>
      <c r="E59" s="33"/>
      <c r="I59" s="44"/>
      <c r="J59" s="61">
        <f>-SUMIFS(KELUAR!$E:$E,KELUAR!$B:$B,"JANGGAN PANJANG",KELUAR!$C:$C,"SAGE",KELUAR!$D:$D,"6")+SUMIFS(MASUK!$E:$E,MASUK!$B:$B,"JANGGAN PANJANG",MASUK!$C:$C,"SAGE",MASUK!$D:$D,"6")+SO!J62</f>
        <v>0</v>
      </c>
      <c r="K59" s="27">
        <f>-SUMIFS(KELUAR!$E:$E,KELUAR!$B:$B,"JANGGAN PANJANG",KELUAR!$C:$C,"SAGE",KELUAR!$D:$D,"8")+SUMIFS(MASUK!$E:$E,MASUK!$B:$B,"JANGGAN PANJANG",MASUK!$C:$C,"SAGE",MASUK!$D:$D,"8")+SO!K62</f>
        <v>0</v>
      </c>
      <c r="L59" s="27">
        <f>-SUMIFS(KELUAR!$E:$E,KELUAR!$B:$B,"JANGGAN PANJANG",KELUAR!$C:$C,"SAGE",KELUAR!$D:$D,"10")+SUMIFS(MASUK!$E:$E,MASUK!$B:$B,"JANGGAN PANJANG",MASUK!$C:$C,"SAGE",MASUK!$D:$D,"10")+SO!L62</f>
        <v>0</v>
      </c>
      <c r="M59" s="27">
        <f>-SUMIFS(KELUAR!$E:$E,KELUAR!$B:$B,"JANGGAN PANJANG",KELUAR!$C:$C,"SAGE",KELUAR!$D:$D,"12")+SUMIFS(MASUK!$E:$E,MASUK!$B:$B,"JANGGAN PANJANG",MASUK!$C:$C,"SAGE",MASUK!$D:$D,"12")+SO!M62</f>
        <v>0</v>
      </c>
      <c r="N59" s="27">
        <f>-SUMIFS(KELUAR!$E:$E,KELUAR!$B:$B,"JANGGAN PANJANG",KELUAR!$C:$C,"MAHOGANY",KELUAR!$D:$D,"14")+SUMIFS(MASUK!$E:$E,MASUK!$B:$B,"JANGGAN PANJANG",MASUK!$C:$C,"MAHOGANY",MASUK!$D:$D,"14")+SO!N61</f>
        <v>0</v>
      </c>
      <c r="O59" s="27">
        <f t="shared" si="10"/>
        <v>0</v>
      </c>
      <c r="P59" s="1"/>
    </row>
    <row r="60" spans="2:16" ht="14.5">
      <c r="B60" s="33"/>
      <c r="C60" s="33"/>
      <c r="D60" s="33"/>
      <c r="E60" s="33"/>
      <c r="M60" s="1"/>
      <c r="N60" s="26" t="s">
        <v>10</v>
      </c>
      <c r="O60" s="26">
        <f>SUBTOTAL(9,O44:O59)</f>
        <v>0</v>
      </c>
      <c r="P60" s="1"/>
    </row>
    <row r="61" spans="2:16" ht="14.5">
      <c r="B61" s="33"/>
      <c r="C61" s="33"/>
      <c r="D61" s="33"/>
      <c r="E61" s="33"/>
      <c r="N61" s="1"/>
      <c r="O61" s="1"/>
      <c r="P61" s="1"/>
    </row>
    <row r="62" spans="2:16" ht="14.5">
      <c r="B62" s="33"/>
      <c r="C62" s="33"/>
      <c r="D62" s="33"/>
      <c r="E62" s="33"/>
      <c r="N62" s="1"/>
      <c r="O62" s="1"/>
      <c r="P62" s="1"/>
    </row>
    <row r="63" spans="2:16" ht="14.5">
      <c r="B63" s="33"/>
      <c r="C63" s="33"/>
      <c r="D63" s="33"/>
      <c r="E63" s="33"/>
      <c r="N63" s="1"/>
      <c r="O63" s="1"/>
      <c r="P63" s="1"/>
    </row>
    <row r="64" spans="2:16" ht="14.5">
      <c r="B64" s="33"/>
      <c r="C64" s="33"/>
      <c r="D64" s="33"/>
      <c r="E64" s="33"/>
      <c r="I64" s="84" t="s">
        <v>24</v>
      </c>
      <c r="J64" s="85"/>
      <c r="K64" s="85"/>
      <c r="L64" s="85"/>
      <c r="M64" s="85"/>
      <c r="N64" s="85"/>
      <c r="O64" s="86"/>
      <c r="P64" s="87" t="s">
        <v>27</v>
      </c>
    </row>
    <row r="65" spans="2:16" ht="14.5">
      <c r="B65" s="33"/>
      <c r="C65" s="33"/>
      <c r="D65" s="33"/>
      <c r="E65" s="33"/>
      <c r="I65" s="63" t="s">
        <v>28</v>
      </c>
      <c r="J65" s="63">
        <v>4</v>
      </c>
      <c r="K65" s="63">
        <v>6</v>
      </c>
      <c r="L65" s="63">
        <v>8</v>
      </c>
      <c r="M65" s="63">
        <v>10</v>
      </c>
      <c r="N65" s="64">
        <v>12</v>
      </c>
      <c r="O65" s="64">
        <v>14</v>
      </c>
      <c r="P65" s="88"/>
    </row>
    <row r="66" spans="2:16" ht="14.5">
      <c r="B66" s="33"/>
      <c r="C66" s="33"/>
      <c r="D66" s="33"/>
      <c r="E66" s="33"/>
      <c r="I66" s="26" t="s">
        <v>18</v>
      </c>
      <c r="J66" s="27">
        <f>-SUMIFS(KELUAR!$E:$E,KELUAR!$B:$B,"GOTIK",KELUAR!$C:$C,"MAHOGANY",KELUAR!$D:$D,"4")+SUMIFS(MASUK!$E:$E,MASUK!$B:$B,"GOTIK",MASUK!$C:$C,"MAHOGANY",MASUK!$D:$D,"4")+SO!J69</f>
        <v>0</v>
      </c>
      <c r="K66" s="27">
        <f>-SUMIFS(KELUAR!$E:$E,KELUAR!$B:$B,"GOTIK",KELUAR!$C:$C,"MAHOGANY",KELUAR!$D:$D,"6")+SUMIFS(MASUK!$E:$E,MASUK!$B:$B,"GOTIK",MASUK!$C:$C,"MAHOGANY",MASUK!$D:$D,"6")+SO!K69</f>
        <v>0</v>
      </c>
      <c r="L66" s="27">
        <f>-SUMIFS(KELUAR!$E:$E,KELUAR!$B:$B,"GOTIK",KELUAR!$C:$C,"MAHOGANY",KELUAR!$D:$D,"8")+SUMIFS(MASUK!$E:$E,MASUK!$B:$B,"GOTIK",MASUK!$C:$C,"MAHOGANY",MASUK!$D:$D,"8")+SO!L69</f>
        <v>0</v>
      </c>
      <c r="M66" s="27">
        <f>-SUMIFS(KELUAR!$E:$E,KELUAR!$B:$B,"GOTIK",KELUAR!$C:$C,"MAHOGANY",KELUAR!$D:$D,"10")+SUMIFS(MASUK!$E:$E,MASUK!$B:$B,"GOTIK",MASUK!$C:$C,"MAHOGANY",MASUK!$D:$D,"10")+SO!M69</f>
        <v>0</v>
      </c>
      <c r="N66" s="27">
        <f>-SUMIFS(KELUAR!$E:$E,KELUAR!$B:$B,"GOTIK",KELUAR!$C:$C,"MAHOGANY",KELUAR!$D:$D,"12")+SUMIFS(MASUK!$E:$E,MASUK!$B:$B,"GOTIK",MASUK!$C:$C,"MAHOGANY",MASUK!$D:$D,"12")+SO!N69</f>
        <v>0</v>
      </c>
      <c r="O66" s="27">
        <f>-SUMIFS(KELUAR!$E:$E,KELUAR!$B:$B,"GOTIK",KELUAR!$C:$C,"MAHOGANY",KELUAR!$D:$D,"14")+SUMIFS(MASUK!$E:$E,MASUK!$B:$B,"GOTIK",MASUK!$C:$C,"MAHOGANY",MASUK!$D:$D,"14")+SO!O69</f>
        <v>0</v>
      </c>
      <c r="P66" s="27">
        <f>SUM(J66:O66)</f>
        <v>0</v>
      </c>
    </row>
    <row r="67" spans="2:16" ht="14.5">
      <c r="B67" s="33"/>
      <c r="C67" s="33"/>
      <c r="D67" s="33"/>
      <c r="E67" s="33"/>
      <c r="I67" s="26" t="s">
        <v>20</v>
      </c>
      <c r="J67" s="27">
        <f>-SUMIFS(KELUAR!$E:$E,KELUAR!$B:$B,"GOTIK",KELUAR!$C:$C,"BURGUNDY",KELUAR!$D:$D,"4")+SUMIFS(MASUK!$E:$E,MASUK!$B:$B,"GOTIK",MASUK!$C:$C,"BURGUNDY",MASUK!$D:$D,"4")+SO!J70</f>
        <v>0</v>
      </c>
      <c r="K67" s="27">
        <f>-SUMIFS(KELUAR!$E:$E,KELUAR!$B:$B,"GOTIK",KELUAR!$C:$C,"BURGUNDY",KELUAR!$D:$D,"6")+SUMIFS(MASUK!$E:$E,MASUK!$B:$B,"GOTIK",MASUK!$C:$C,"BURGUNDY",MASUK!$D:$D,"6")+SO!K70</f>
        <v>0</v>
      </c>
      <c r="L67" s="27">
        <f>-SUMIFS(KELUAR!$E:$E,KELUAR!$B:$B,"GOTIK",KELUAR!$C:$C,"BURGUNDY",KELUAR!$D:$D,"8")+SUMIFS(MASUK!$E:$E,MASUK!$B:$B,"GOTIK",MASUK!$C:$C,"BURGUNDY",MASUK!$D:$D,"8")+SO!L70</f>
        <v>0</v>
      </c>
      <c r="M67" s="27">
        <f>-SUMIFS(KELUAR!$E:$E,KELUAR!$B:$B,"GOTIK",KELUAR!$C:$C,"BURGUNDY",KELUAR!$D:$D,"10")+SUMIFS(MASUK!$E:$E,MASUK!$B:$B,"GOTIK",MASUK!$C:$C,"BURGUNDY",MASUK!$D:$D,"10")+SO!M70</f>
        <v>0</v>
      </c>
      <c r="N67" s="27">
        <f>-SUMIFS(KELUAR!$E:$E,KELUAR!$B:$B,"GOTIK",KELUAR!$C:$C,"BURGUNDY",KELUAR!$D:$D,"12")+SUMIFS(MASUK!$E:$E,MASUK!$B:$B,"GOTIK",MASUK!$C:$C,"BURGUNDY",MASUK!$D:$D,"12")+SO!N70</f>
        <v>0</v>
      </c>
      <c r="O67" s="27">
        <f>-SUMIFS(KELUAR!$E:$E,KELUAR!$B:$B,"GOTIK",KELUAR!$C:$C,"BURGUNDY",KELUAR!$D:$D,"14")+SUMIFS(MASUK!$E:$E,MASUK!$B:$B,"GOTIK",MASUK!$C:$C,"BURGUNDY",MASUK!$D:$D,"14")+SO!O70</f>
        <v>0</v>
      </c>
      <c r="P67" s="27">
        <f t="shared" ref="P67:P82" si="11">SUM(J67:O67)</f>
        <v>0</v>
      </c>
    </row>
    <row r="68" spans="2:16" ht="14.5">
      <c r="B68" s="33"/>
      <c r="C68" s="33"/>
      <c r="D68" s="33"/>
      <c r="E68" s="33"/>
      <c r="I68" s="26" t="s">
        <v>17</v>
      </c>
      <c r="J68" s="27">
        <f>-SUMIFS(KELUAR!$E:$E,KELUAR!$B:$B,"GOTIK",KELUAR!$C:$C,"DENIM",KELUAR!$D:$D,"4")+SUMIFS(MASUK!$E:$E,MASUK!$B:$B,"GOTIK",MASUK!$C:$C,"DENIM",MASUK!$D:$D,"4")+SO!J71</f>
        <v>0</v>
      </c>
      <c r="K68" s="27">
        <f>-SUMIFS(KELUAR!$E:$E,KELUAR!$B:$B,"GOTIK",KELUAR!$C:$C,"DENIM",KELUAR!$D:$D,"6")+SUMIFS(MASUK!$E:$E,MASUK!$B:$B,"GOTIK",MASUK!$C:$C,"DENIM",MASUK!$D:$D,"6")+SO!K71</f>
        <v>0</v>
      </c>
      <c r="L68" s="27">
        <f>-SUMIFS(KELUAR!$E:$E,KELUAR!$B:$B,"GOTIK",KELUAR!$C:$C,"DENIM",KELUAR!$D:$D,"8")+SUMIFS(MASUK!$E:$E,MASUK!$B:$B,"GOTIK",MASUK!$C:$C,"DENIM",MASUK!$D:$D,"8")+SO!L71</f>
        <v>0</v>
      </c>
      <c r="M68" s="27">
        <f>-SUMIFS(KELUAR!$E:$E,KELUAR!$B:$B,"GOTIK",KELUAR!$C:$C,"DENIM",KELUAR!$D:$D,"10")+SUMIFS(MASUK!$E:$E,MASUK!$B:$B,"GOTIK",MASUK!$C:$C,"DENIM",MASUK!$D:$D,"10")+SO!M71</f>
        <v>0</v>
      </c>
      <c r="N68" s="27">
        <f>-SUMIFS(KELUAR!$E:$E,KELUAR!$B:$B,"GOTIK",KELUAR!$C:$C,"DENIM",KELUAR!$D:$D,"12")+SUMIFS(MASUK!$E:$E,MASUK!$B:$B,"GOTIK",MASUK!$C:$C,"DENIM",MASUK!$D:$D,"12")+SO!N71</f>
        <v>0</v>
      </c>
      <c r="O68" s="27">
        <f>-SUMIFS(KELUAR!$E:$E,KELUAR!$B:$B,"GOTIK",KELUAR!$C:$C,"DENIM",KELUAR!$D:$D,"14")+SUMIFS(MASUK!$E:$E,MASUK!$B:$B,"GOTIK",MASUK!$C:$C,"DENIM",MASUK!$D:$D,"14")+SO!O71</f>
        <v>0</v>
      </c>
      <c r="P68" s="27">
        <f t="shared" si="11"/>
        <v>0</v>
      </c>
    </row>
    <row r="69" spans="2:16" ht="14.5">
      <c r="B69" s="33"/>
      <c r="C69" s="33"/>
      <c r="D69" s="33"/>
      <c r="E69" s="33"/>
      <c r="I69" s="26" t="s">
        <v>23</v>
      </c>
      <c r="J69" s="27">
        <f>-SUMIFS(KELUAR!$E:$E,KELUAR!$B:$B,"GOTIK",KELUAR!$C:$C,"COKSU",KELUAR!$D:$D,"4")+SUMIFS(MASUK!$E:$E,MASUK!$B:$B,"GOTIK",MASUK!$C:$C,"COKSU",MASUK!$D:$D,"4")+SO!J72</f>
        <v>0</v>
      </c>
      <c r="K69" s="27">
        <f>-SUMIFS(KELUAR!$E:$E,KELUAR!$B:$B,"GOTIK",KELUAR!$C:$C,"COKSU",KELUAR!$D:$D,"6")+SUMIFS(MASUK!$E:$E,MASUK!$B:$B,"GOTIK",MASUK!$C:$C,"COKSU",MASUK!$D:$D,"6")+SO!K72</f>
        <v>0</v>
      </c>
      <c r="L69" s="27">
        <f>-SUMIFS(KELUAR!$E:$E,KELUAR!$B:$B,"GOTIK",KELUAR!$C:$C,"COKSU",KELUAR!$D:$D,"8")+SUMIFS(MASUK!$E:$E,MASUK!$B:$B,"GOTIK",MASUK!$C:$C,"COKSU",MASUK!$D:$D,"8")+SO!L72</f>
        <v>0</v>
      </c>
      <c r="M69" s="27">
        <f>-SUMIFS(KELUAR!$E:$E,KELUAR!$B:$B,"GOTIK",KELUAR!$C:$C,"COKSU",KELUAR!$D:$D,"10")+SUMIFS(MASUK!$E:$E,MASUK!$B:$B,"GOTIK",MASUK!$C:$C,"COKSU",MASUK!$D:$D,"10")+SO!M72</f>
        <v>0</v>
      </c>
      <c r="N69" s="27">
        <f>-SUMIFS(KELUAR!$E:$E,KELUAR!$B:$B,"GOTIK",KELUAR!$C:$C,"COKSU",KELUAR!$D:$D,"12")+SUMIFS(MASUK!$E:$E,MASUK!$B:$B,"GOTIK",MASUK!$C:$C,"COKSU",MASUK!$D:$D,"12")+SO!N72</f>
        <v>0</v>
      </c>
      <c r="O69" s="27">
        <f>-SUMIFS(KELUAR!$E:$E,KELUAR!$B:$B,"GOTIK",KELUAR!$C:$C,"COKSU",KELUAR!$D:$D,"14")+SUMIFS(MASUK!$E:$E,MASUK!$B:$B,"GOTIK",MASUK!$C:$C,"COKSU",MASUK!$D:$D,"14")+SO!O72</f>
        <v>0</v>
      </c>
      <c r="P69" s="27">
        <f t="shared" si="11"/>
        <v>0</v>
      </c>
    </row>
    <row r="70" spans="2:16" ht="14.5">
      <c r="B70" s="33"/>
      <c r="C70" s="33"/>
      <c r="D70" s="33"/>
      <c r="E70" s="33"/>
      <c r="I70" s="26" t="s">
        <v>14</v>
      </c>
      <c r="J70" s="27">
        <f>-SUMIFS(KELUAR!$E:$E,KELUAR!$B:$B,"GOTIK",KELUAR!$C:$C,"NAVY",KELUAR!$D:$D,"4")+SUMIFS(MASUK!$E:$E,MASUK!$B:$B,"GOTIK",MASUK!$C:$C,"NAVY",MASUK!$D:$D,"4")+SO!J73</f>
        <v>0</v>
      </c>
      <c r="K70" s="27">
        <f>-SUMIFS(KELUAR!$E:$E,KELUAR!$B:$B,"GOTIK",KELUAR!$C:$C,"NAVY",KELUAR!$D:$D,"6")+SUMIFS(MASUK!$E:$E,MASUK!$B:$B,"GOTIK",MASUK!$C:$C,"NAVY",MASUK!$D:$D,"6")+SO!K73</f>
        <v>0</v>
      </c>
      <c r="L70" s="27">
        <f>-SUMIFS(KELUAR!$E:$E,KELUAR!$B:$B,"GOTIK",KELUAR!$C:$C,"NAVY",KELUAR!$D:$D,"8")+SUMIFS(MASUK!$E:$E,MASUK!$B:$B,"GOTIK",MASUK!$C:$C,"NAVY",MASUK!$D:$D,"8")+SO!L73</f>
        <v>0</v>
      </c>
      <c r="M70" s="27">
        <f>-SUMIFS(KELUAR!$E:$E,KELUAR!$B:$B,"GOTIK",KELUAR!$C:$C,"NAVY",KELUAR!$D:$D,"10")+SUMIFS(MASUK!$E:$E,MASUK!$B:$B,"GOTIK",MASUK!$C:$C,"NAVY",MASUK!$D:$D,"10")+SO!M73</f>
        <v>0</v>
      </c>
      <c r="N70" s="27">
        <f>-SUMIFS(KELUAR!$E:$E,KELUAR!$B:$B,"GOTIK",KELUAR!$C:$C,"NAVY",KELUAR!$D:$D,"12")+SUMIFS(MASUK!$E:$E,MASUK!$B:$B,"GOTIK",MASUK!$C:$C,"NAVY",MASUK!$D:$D,"12")+SO!N73</f>
        <v>0</v>
      </c>
      <c r="O70" s="27">
        <f>-SUMIFS(KELUAR!$E:$E,KELUAR!$B:$B,"GOTIK",KELUAR!$C:$C,"NAVY",KELUAR!$D:$D,"14")+SUMIFS(MASUK!$E:$E,MASUK!$B:$B,"GOTIK",MASUK!$C:$C,"NAVY",MASUK!$D:$D,"14")+SO!O73</f>
        <v>0</v>
      </c>
      <c r="P70" s="27">
        <f t="shared" si="11"/>
        <v>0</v>
      </c>
    </row>
    <row r="71" spans="2:16" ht="14.5">
      <c r="B71" s="33"/>
      <c r="C71" s="33"/>
      <c r="D71" s="33"/>
      <c r="E71" s="33"/>
      <c r="I71" s="26" t="s">
        <v>26</v>
      </c>
      <c r="J71" s="27">
        <f>-SUMIFS(KELUAR!$E:$E,KELUAR!$B:$B,"GOTIK",KELUAR!$C:$C,"HITAM",KELUAR!$D:$D,"4")+SUMIFS(MASUK!$E:$E,MASUK!$B:$B,"GOTIK",MASUK!$C:$C,"HITAM",MASUK!$D:$D,"4")+SO!J74</f>
        <v>0</v>
      </c>
      <c r="K71" s="27">
        <f>-SUMIFS(KELUAR!$E:$E,KELUAR!$B:$B,"GOTIK",KELUAR!$C:$C,"HITAM",KELUAR!$D:$D,"6")+SUMIFS(MASUK!$E:$E,MASUK!$B:$B,"GOTIK",MASUK!$C:$C,"HITAM",MASUK!$D:$D,"6")+SO!K74</f>
        <v>0</v>
      </c>
      <c r="L71" s="27">
        <f>-SUMIFS(KELUAR!$E:$E,KELUAR!$B:$B,"GOTIK",KELUAR!$C:$C,"HITAM",KELUAR!$D:$D,"8")+SUMIFS(MASUK!$E:$E,MASUK!$B:$B,"GOTIK",MASUK!$C:$C,"HITAM",MASUK!$D:$D,"8")+SO!L74</f>
        <v>0</v>
      </c>
      <c r="M71" s="27">
        <f>-SUMIFS(KELUAR!$E:$E,KELUAR!$B:$B,"GOTIK",KELUAR!$C:$C,"HITAM",KELUAR!$D:$D,"10")+SUMIFS(MASUK!$E:$E,MASUK!$B:$B,"GOTIK",MASUK!$C:$C,"HITAM",MASUK!$D:$D,"10")+SO!M74</f>
        <v>0</v>
      </c>
      <c r="N71" s="27">
        <f>-SUMIFS(KELUAR!$E:$E,KELUAR!$B:$B,"GOTIK",KELUAR!$C:$C,"HITAM",KELUAR!$D:$D,"12")+SUMIFS(MASUK!$E:$E,MASUK!$B:$B,"GOTIK",MASUK!$C:$C,"HITAM",MASUK!$D:$D,"12")+SO!N74</f>
        <v>0</v>
      </c>
      <c r="O71" s="27">
        <f>-SUMIFS(KELUAR!$E:$E,KELUAR!$B:$B,"GOTIK",KELUAR!$C:$C,"HITAM",KELUAR!$D:$D,"14")+SUMIFS(MASUK!$E:$E,MASUK!$B:$B,"GOTIK",MASUK!$C:$C,"HITAM",MASUK!$D:$D,"14")+SO!O74</f>
        <v>0</v>
      </c>
      <c r="P71" s="27">
        <f t="shared" si="11"/>
        <v>0</v>
      </c>
    </row>
    <row r="72" spans="2:16" ht="14.5">
      <c r="B72" s="33"/>
      <c r="C72" s="33"/>
      <c r="D72" s="33"/>
      <c r="E72" s="33"/>
      <c r="I72" s="26" t="s">
        <v>13</v>
      </c>
      <c r="J72" s="27">
        <f>-SUMIFS(KELUAR!$E:$E,KELUAR!$B:$B,"GOTIK",KELUAR!$C:$C,"DUSTY",KELUAR!$D:$D,"4")+SUMIFS(MASUK!$E:$E,MASUK!$B:$B,"GOTIK",MASUK!$C:$C,"DUSTY",MASUK!$D:$D,"4")+SO!J75</f>
        <v>0</v>
      </c>
      <c r="K72" s="27">
        <f>-SUMIFS(KELUAR!$E:$E,KELUAR!$B:$B,"GOTIK",KELUAR!$C:$C,"DUSTY",KELUAR!$D:$D,"6")+SUMIFS(MASUK!$E:$E,MASUK!$B:$B,"GOTIK",MASUK!$C:$C,"DUSTY",MASUK!$D:$D,"6")+SO!K75</f>
        <v>0</v>
      </c>
      <c r="L72" s="27">
        <f>-SUMIFS(KELUAR!$E:$E,KELUAR!$B:$B,"GOTIK",KELUAR!$C:$C,"DUSTY",KELUAR!$D:$D,"8")+SUMIFS(MASUK!$E:$E,MASUK!$B:$B,"GOTIK",MASUK!$C:$C,"DUSTY",MASUK!$D:$D,"8")+SO!L75</f>
        <v>0</v>
      </c>
      <c r="M72" s="27">
        <f>-SUMIFS(KELUAR!$E:$E,KELUAR!$B:$B,"GOTIK",KELUAR!$C:$C,"DUSTY",KELUAR!$D:$D,"10")+SUMIFS(MASUK!$E:$E,MASUK!$B:$B,"GOTIK",MASUK!$C:$C,"DUSTY",MASUK!$D:$D,"10")+SO!M75</f>
        <v>0</v>
      </c>
      <c r="N72" s="27">
        <f>-SUMIFS(KELUAR!$E:$E,KELUAR!$B:$B,"GOTIK",KELUAR!$C:$C,"DUSTY",KELUAR!$D:$D,"12")+SUMIFS(MASUK!$E:$E,MASUK!$B:$B,"GOTIK",MASUK!$C:$C,"DUSTY",MASUK!$D:$D,"12")+SO!N75</f>
        <v>0</v>
      </c>
      <c r="O72" s="27">
        <f>-SUMIFS(KELUAR!$E:$E,KELUAR!$B:$B,"GOTIK",KELUAR!$C:$C,"DUSTY",KELUAR!$D:$D,"14")+SUMIFS(MASUK!$E:$E,MASUK!$B:$B,"GOTIK",MASUK!$C:$C,"DUSTY",MASUK!$D:$D,"14")+SO!O75</f>
        <v>0</v>
      </c>
      <c r="P72" s="27">
        <f t="shared" si="11"/>
        <v>0</v>
      </c>
    </row>
    <row r="73" spans="2:16" ht="14.5">
      <c r="B73" s="33"/>
      <c r="C73" s="33"/>
      <c r="D73" s="33"/>
      <c r="E73" s="33"/>
      <c r="I73" s="26" t="s">
        <v>22</v>
      </c>
      <c r="J73" s="27">
        <f>-SUMIFS(KELUAR!$E:$E,KELUAR!$B:$B,"GOTIK",KELUAR!$C:$C,"BABYBLUE",KELUAR!$D:$D,"4")+SUMIFS(MASUK!$E:$E,MASUK!$B:$B,"GOTIK",MASUK!$C:$C,"BABYBLUE",MASUK!$D:$D,"4")+SO!J76</f>
        <v>0</v>
      </c>
      <c r="K73" s="27">
        <f>-SUMIFS(KELUAR!$E:$E,KELUAR!$B:$B,"GOTIK",KELUAR!$C:$C,"BABYBLUE",KELUAR!$D:$D,"6")+SUMIFS(MASUK!$E:$E,MASUK!$B:$B,"GOTIK",MASUK!$C:$C,"BABYBLUE",MASUK!$D:$D,"6")+SO!K76</f>
        <v>0</v>
      </c>
      <c r="L73" s="27">
        <f>-SUMIFS(KELUAR!$E:$E,KELUAR!$B:$B,"GOTIK",KELUAR!$C:$C,"BABYBLUE",KELUAR!$D:$D,"8")+SUMIFS(MASUK!$E:$E,MASUK!$B:$B,"GOTIK",MASUK!$C:$C,"BABYBLUE",MASUK!$D:$D,"8")+SO!L76</f>
        <v>0</v>
      </c>
      <c r="M73" s="27">
        <f>-SUMIFS(KELUAR!$E:$E,KELUAR!$B:$B,"GOTIK",KELUAR!$C:$C,"BABYBLUE",KELUAR!$D:$D,"10")+SUMIFS(MASUK!$E:$E,MASUK!$B:$B,"GOTIK",MASUK!$C:$C,"BABYBLUE",MASUK!$D:$D,"10")+SO!M76</f>
        <v>0</v>
      </c>
      <c r="N73" s="27">
        <f>-SUMIFS(KELUAR!$E:$E,KELUAR!$B:$B,"GOTIK",KELUAR!$C:$C,"BABYBLUE",KELUAR!$D:$D,"12")+SUMIFS(MASUK!$E:$E,MASUK!$B:$B,"GOTIK",MASUK!$C:$C,"BABYBLUE",MASUK!$D:$D,"12")+SO!N76</f>
        <v>0</v>
      </c>
      <c r="O73" s="27">
        <f>-SUMIFS(KELUAR!$E:$E,KELUAR!$B:$B,"GOTIK",KELUAR!$C:$C,"BABYBLUE",KELUAR!$D:$D,"14")+SUMIFS(MASUK!$E:$E,MASUK!$B:$B,"GOTIK",MASUK!$C:$C,"BABYBLUE",MASUK!$D:$D,"14")+SO!O76</f>
        <v>0</v>
      </c>
      <c r="P73" s="27">
        <f t="shared" si="11"/>
        <v>0</v>
      </c>
    </row>
    <row r="74" spans="2:16" ht="14.5">
      <c r="B74" s="33"/>
      <c r="C74" s="33"/>
      <c r="D74" s="33"/>
      <c r="E74" s="33"/>
      <c r="I74" s="26" t="s">
        <v>25</v>
      </c>
      <c r="J74" s="27">
        <f>-SUMIFS(KELUAR!$E:$E,KELUAR!$B:$B,"GOTIK",KELUAR!$C:$C,"MAROON",KELUAR!$D:$D,"4")+SUMIFS(MASUK!$E:$E,MASUK!$B:$B,"GOTIK",MASUK!$C:$C,"MAROON",MASUK!$D:$D,"4")+SO!J77</f>
        <v>0</v>
      </c>
      <c r="K74" s="27">
        <f>-SUMIFS(KELUAR!$E:$E,KELUAR!$B:$B,"GOTIK",KELUAR!$C:$C,"MAROON",KELUAR!$D:$D,"6")+SUMIFS(MASUK!$E:$E,MASUK!$B:$B,"GOTIK",MASUK!$C:$C,"MAROON",MASUK!$D:$D,"6")+SO!K77</f>
        <v>0</v>
      </c>
      <c r="L74" s="27">
        <f>-SUMIFS(KELUAR!$E:$E,KELUAR!$B:$B,"GOTIK",KELUAR!$C:$C,"MAROON",KELUAR!$D:$D,"8")+SUMIFS(MASUK!$E:$E,MASUK!$B:$B,"GOTIK",MASUK!$C:$C,"MAROON",MASUK!$D:$D,"8")+SO!L77</f>
        <v>0</v>
      </c>
      <c r="M74" s="27">
        <f>-SUMIFS(KELUAR!$E:$E,KELUAR!$B:$B,"GOTIK",KELUAR!$C:$C,"MAROON",KELUAR!$D:$D,"10")+SUMIFS(MASUK!$E:$E,MASUK!$B:$B,"GOTIK",MASUK!$C:$C,"MAROON",MASUK!$D:$D,"10")+SO!M77</f>
        <v>0</v>
      </c>
      <c r="N74" s="27">
        <f>-SUMIFS(KELUAR!$E:$E,KELUAR!$B:$B,"GOTIK",KELUAR!$C:$C,"MAROON",KELUAR!$D:$D,"12")+SUMIFS(MASUK!$E:$E,MASUK!$B:$B,"GOTIK",MASUK!$C:$C,"MAROON",MASUK!$D:$D,"12")+SO!N77</f>
        <v>0</v>
      </c>
      <c r="O74" s="27">
        <f>-SUMIFS(KELUAR!$E:$E,KELUAR!$B:$B,"GOTIK",KELUAR!$C:$C,"MAROON",KELUAR!$D:$D,"14")+SUMIFS(MASUK!$E:$E,MASUK!$B:$B,"GOTIK",MASUK!$C:$C,"MAROON",MASUK!$D:$D,"14")+SO!O77</f>
        <v>0</v>
      </c>
      <c r="P74" s="27">
        <f t="shared" si="11"/>
        <v>0</v>
      </c>
    </row>
    <row r="75" spans="2:16" ht="14.5">
      <c r="B75" s="33"/>
      <c r="C75" s="33"/>
      <c r="D75" s="33"/>
      <c r="E75" s="33"/>
      <c r="I75" s="29" t="s">
        <v>35</v>
      </c>
      <c r="J75" s="27">
        <f>-SUMIFS(KELUAR!$E:$E,KELUAR!$B:$B,"GOTIK",KELUAR!$C:$C,"GOLD",KELUAR!$D:$D,"4")+SUMIFS(MASUK!$E:$E,MASUK!$B:$B,"GOTIK",MASUK!$C:$C,"GOLD",MASUK!$D:$D,"4")+SO!J78</f>
        <v>0</v>
      </c>
      <c r="K75" s="27">
        <f>-SUMIFS(KELUAR!$E:$E,KELUAR!$B:$B,"GOTIK",KELUAR!$C:$C,"GOLD",KELUAR!$D:$D,"6")+SUMIFS(MASUK!$E:$E,MASUK!$B:$B,"GOTIK",MASUK!$C:$C,"GOLD",MASUK!$D:$D,"6")+SO!K78</f>
        <v>0</v>
      </c>
      <c r="L75" s="27">
        <f>-SUMIFS(KELUAR!$E:$E,KELUAR!$B:$B,"GOTIK",KELUAR!$C:$C,"GOLD",KELUAR!$D:$D,"8")+SUMIFS(MASUK!$E:$E,MASUK!$B:$B,"GOTIK",MASUK!$C:$C,"GOLD",MASUK!$D:$D,"8")+SO!L78</f>
        <v>0</v>
      </c>
      <c r="M75" s="27">
        <f>-SUMIFS(KELUAR!$E:$E,KELUAR!$B:$B,"GOTIK",KELUAR!$C:$C,"GOLD",KELUAR!$D:$D,"10")+SUMIFS(MASUK!$E:$E,MASUK!$B:$B,"GOTIK",MASUK!$C:$C,"GOLD",MASUK!$D:$D,"10")+SO!M78</f>
        <v>0</v>
      </c>
      <c r="N75" s="27">
        <f>-SUMIFS(KELUAR!$E:$E,KELUAR!$B:$B,"GOTIK",KELUAR!$C:$C,"GOLD",KELUAR!$D:$D,"12")+SUMIFS(MASUK!$E:$E,MASUK!$B:$B,"GOTIK",MASUK!$C:$C,"GOLD",MASUK!$D:$D,"12")+SO!N78</f>
        <v>0</v>
      </c>
      <c r="O75" s="27">
        <f>-SUMIFS(KELUAR!$E:$E,KELUAR!$B:$B,"GOTIK",KELUAR!$C:$C,"GOLD",KELUAR!$D:$D,"14")+SUMIFS(MASUK!$E:$E,MASUK!$B:$B,"GOTIK",MASUK!$C:$C,"GOLD",MASUK!$D:$D,"14")+SO!O78</f>
        <v>0</v>
      </c>
      <c r="P75" s="27">
        <f t="shared" si="11"/>
        <v>0</v>
      </c>
    </row>
    <row r="76" spans="2:16" ht="14.5">
      <c r="B76" s="33"/>
      <c r="C76" s="33"/>
      <c r="D76" s="33"/>
      <c r="E76" s="33"/>
      <c r="I76" s="26" t="s">
        <v>19</v>
      </c>
      <c r="J76" s="27">
        <f>-SUMIFS(KELUAR!$E:$E,KELUAR!$B:$B,"GOTIK",KELUAR!$C:$C,"sage",KELUAR!$D:$D,"4")+SUMIFS(MASUK!$E:$E,MASUK!$B:$B,"GOTIK",MASUK!$C:$C,"sage",MASUK!$D:$D,"4")+SO!J79</f>
        <v>0</v>
      </c>
      <c r="K76" s="27">
        <f>-SUMIFS(KELUAR!$E:$E,KELUAR!$B:$B,"GOTIK",KELUAR!$C:$C,"sage",KELUAR!$D:$D,"6")+SUMIFS(MASUK!$E:$E,MASUK!$B:$B,"GOTIK",MASUK!$C:$C,"sage",MASUK!$D:$D,"6")+SO!K79</f>
        <v>0</v>
      </c>
      <c r="L76" s="27">
        <f>-SUMIFS(KELUAR!$E:$E,KELUAR!$B:$B,"GOTIK",KELUAR!$C:$C,"sage",KELUAR!$D:$D,"8")+SUMIFS(MASUK!$E:$E,MASUK!$B:$B,"GOTIK",MASUK!$C:$C,"sage",MASUK!$D:$D,"8")+SO!L79</f>
        <v>0</v>
      </c>
      <c r="M76" s="27">
        <f>-SUMIFS(KELUAR!$E:$E,KELUAR!$B:$B,"GOTIK",KELUAR!$C:$C,"sage",KELUAR!$D:$D,"10")+SUMIFS(MASUK!$E:$E,MASUK!$B:$B,"GOTIK",MASUK!$C:$C,"sage",MASUK!$D:$D,"10")+SO!M79</f>
        <v>0</v>
      </c>
      <c r="N76" s="27">
        <f>-SUMIFS(KELUAR!$E:$E,KELUAR!$B:$B,"GOTIK",KELUAR!$C:$C,"sage",KELUAR!$D:$D,"12")+SUMIFS(MASUK!$E:$E,MASUK!$B:$B,"GOTIK",MASUK!$C:$C,"sage",MASUK!$D:$D,"12")+SO!N79</f>
        <v>0</v>
      </c>
      <c r="O76" s="27">
        <f>-SUMIFS(KELUAR!$E:$E,KELUAR!$B:$B,"GOTIK",KELUAR!$C:$C,"sage",KELUAR!$D:$D,"14")+SUMIFS(MASUK!$E:$E,MASUK!$B:$B,"GOTIK",MASUK!$C:$C,"sage",MASUK!$D:$D,"14")+SO!O79</f>
        <v>0</v>
      </c>
      <c r="P76" s="27">
        <f t="shared" si="11"/>
        <v>0</v>
      </c>
    </row>
    <row r="77" spans="2:16" ht="14.5">
      <c r="B77" s="33"/>
      <c r="C77" s="33"/>
      <c r="D77" s="33"/>
      <c r="E77" s="33"/>
      <c r="I77" s="26" t="s">
        <v>40</v>
      </c>
      <c r="J77" s="27">
        <f>-SUMIFS(KELUAR!$E:$E,KELUAR!$B:$B,"GOTIK",KELUAR!$C:$C,"emerald blue",KELUAR!$D:$D,"4")+SUMIFS(MASUK!$E:$E,MASUK!$B:$B,"GOTIK",MASUK!$C:$C,"emerald blue",MASUK!$D:$D,"4")+SO!J80</f>
        <v>0</v>
      </c>
      <c r="K77" s="27">
        <f>-SUMIFS(KELUAR!$E:$E,KELUAR!$B:$B,"GOTIK",KELUAR!$C:$C,"emerald blue",KELUAR!$D:$D,"6")+SUMIFS(MASUK!$E:$E,MASUK!$B:$B,"GOTIK",MASUK!$C:$C,"emerald blue",MASUK!$D:$D,"6")+SO!K80</f>
        <v>0</v>
      </c>
      <c r="L77" s="27">
        <f>-SUMIFS(KELUAR!$E:$E,KELUAR!$B:$B,"GOTIK",KELUAR!$C:$C,"emerald blue",KELUAR!$D:$D,"8")+SUMIFS(MASUK!$E:$E,MASUK!$B:$B,"GOTIK",MASUK!$C:$C,"emerald blue",MASUK!$D:$D,"8")+SO!L80</f>
        <v>0</v>
      </c>
      <c r="M77" s="27">
        <f>-SUMIFS(KELUAR!$E:$E,KELUAR!$B:$B,"GOTIK",KELUAR!$C:$C,"emerald blue",KELUAR!$D:$D,"10")+SUMIFS(MASUK!$E:$E,MASUK!$B:$B,"GOTIK",MASUK!$C:$C,"emerald blue",MASUK!$D:$D,"10")+SO!M80</f>
        <v>0</v>
      </c>
      <c r="N77" s="27">
        <f>-SUMIFS(KELUAR!$E:$E,KELUAR!$B:$B,"GOTIK",KELUAR!$C:$C,"emerald blue",KELUAR!$D:$D,"12")+SUMIFS(MASUK!$E:$E,MASUK!$B:$B,"GOTIK",MASUK!$C:$C,"emerald blue",MASUK!$D:$D,"12")+SO!N80</f>
        <v>0</v>
      </c>
      <c r="O77" s="27">
        <f>-SUMIFS(KELUAR!$E:$E,KELUAR!$B:$B,"GOTIK",KELUAR!$C:$C,"emerald blue",KELUAR!$D:$D,"14")+SUMIFS(MASUK!$E:$E,MASUK!$B:$B,"GOTIK",MASUK!$C:$C,"emerald blue",MASUK!$D:$D,"14")+SO!O80</f>
        <v>0</v>
      </c>
      <c r="P77" s="27">
        <f t="shared" si="11"/>
        <v>0</v>
      </c>
    </row>
    <row r="78" spans="2:16" ht="14.5">
      <c r="B78" s="33"/>
      <c r="C78" s="33"/>
      <c r="D78" s="33"/>
      <c r="E78" s="33"/>
      <c r="I78" s="26" t="s">
        <v>37</v>
      </c>
      <c r="J78" s="27">
        <f>-SUMIFS(KELUAR!$E:$E,KELUAR!$B:$B,"GOTIK",KELUAR!$C:$C,"silver",KELUAR!$D:$D,"4")+SUMIFS(MASUK!$E:$E,MASUK!$B:$B,"GOTIK",MASUK!$C:$C,"silver",MASUK!$D:$D,"4")+SO!J81</f>
        <v>0</v>
      </c>
      <c r="K78" s="27">
        <f>-SUMIFS(KELUAR!$E:$E,KELUAR!$B:$B,"GOTIK",KELUAR!$C:$C,"silver",KELUAR!$D:$D,"6")+SUMIFS(MASUK!$E:$E,MASUK!$B:$B,"GOTIK",MASUK!$C:$C,"silver",MASUK!$D:$D,"6")+SO!K81</f>
        <v>0</v>
      </c>
      <c r="L78" s="27">
        <f>-SUMIFS(KELUAR!$E:$E,KELUAR!$B:$B,"GOTIK",KELUAR!$C:$C,"silver",KELUAR!$D:$D,"8")+SUMIFS(MASUK!$E:$E,MASUK!$B:$B,"GOTIK",MASUK!$C:$C,"silver",MASUK!$D:$D,"8")+SO!L81</f>
        <v>0</v>
      </c>
      <c r="M78" s="27">
        <f>-SUMIFS(KELUAR!$E:$E,KELUAR!$B:$B,"GOTIK",KELUAR!$C:$C,"silver",KELUAR!$D:$D,"10")+SUMIFS(MASUK!$E:$E,MASUK!$B:$B,"GOTIK",MASUK!$C:$C,"silver",MASUK!$D:$D,"10")+SO!M81</f>
        <v>0</v>
      </c>
      <c r="N78" s="27">
        <f>-SUMIFS(KELUAR!$E:$E,KELUAR!$B:$B,"GOTIK",KELUAR!$C:$C,"silver",KELUAR!$D:$D,"12")+SUMIFS(MASUK!$E:$E,MASUK!$B:$B,"GOTIK",MASUK!$C:$C,"silver",MASUK!$D:$D,"12")+SO!N81</f>
        <v>0</v>
      </c>
      <c r="O78" s="27">
        <f>-SUMIFS(KELUAR!$E:$E,KELUAR!$B:$B,"GOTIK",KELUAR!$C:$C,"silver",KELUAR!$D:$D,"14")+SUMIFS(MASUK!$E:$E,MASUK!$B:$B,"GOTIK",MASUK!$C:$C,"silver",MASUK!$D:$D,"14")+SO!O81</f>
        <v>0</v>
      </c>
      <c r="P78" s="27">
        <f t="shared" si="11"/>
        <v>0</v>
      </c>
    </row>
    <row r="79" spans="2:16" ht="14.5">
      <c r="B79" s="33"/>
      <c r="C79" s="33"/>
      <c r="D79" s="33"/>
      <c r="E79" s="33"/>
      <c r="I79" s="26" t="s">
        <v>49</v>
      </c>
      <c r="J79" s="27">
        <f>-SUMIFS(KELUAR!$E:$E,KELUAR!$B:$B,"GOTIK",KELUAR!$C:$C,"butter yellow",KELUAR!$D:$D,"4")+SUMIFS(MASUK!$E:$E,MASUK!$B:$B,"GOTIK",MASUK!$C:$C,"butter yellow",MASUK!$D:$D,"4")+SO!J82</f>
        <v>0</v>
      </c>
      <c r="K79" s="27">
        <f>-SUMIFS(KELUAR!$E:$E,KELUAR!$B:$B,"GOTIK",KELUAR!$C:$C,"butter yellow",KELUAR!$D:$D,"6")+SUMIFS(MASUK!$E:$E,MASUK!$B:$B,"GOTIK",MASUK!$C:$C,"butter yellow",MASUK!$D:$D,"6")+SO!K82</f>
        <v>0</v>
      </c>
      <c r="L79" s="27">
        <f>-SUMIFS(KELUAR!$E:$E,KELUAR!$B:$B,"GOTIK",KELUAR!$C:$C,"butter yellow",KELUAR!$D:$D,"8")+SUMIFS(MASUK!$E:$E,MASUK!$B:$B,"GOTIK",MASUK!$C:$C,"butter yellow",MASUK!$D:$D,"8")+SO!L82</f>
        <v>0</v>
      </c>
      <c r="M79" s="27">
        <f>-SUMIFS(KELUAR!$E:$E,KELUAR!$B:$B,"GOTIK",KELUAR!$C:$C,"butter yellow",KELUAR!$D:$D,"10")+SUMIFS(MASUK!$E:$E,MASUK!$B:$B,"GOTIK",MASUK!$C:$C,"butter yellow",MASUK!$D:$D,"10")+SO!M82</f>
        <v>0</v>
      </c>
      <c r="N79" s="27">
        <f>-SUMIFS(KELUAR!$E:$E,KELUAR!$B:$B,"GOTIK",KELUAR!$C:$C,"butter yellow",KELUAR!$D:$D,"12")+SUMIFS(MASUK!$E:$E,MASUK!$B:$B,"GOTIK",MASUK!$C:$C,"butter yellow",MASUK!$D:$D,"12")+SO!N82</f>
        <v>0</v>
      </c>
      <c r="O79" s="27">
        <f>-SUMIFS(KELUAR!$E:$E,KELUAR!$B:$B,"GOTIK",KELUAR!$C:$C,"butter yellow",KELUAR!$D:$D,"14")+SUMIFS(MASUK!$E:$E,MASUK!$B:$B,"GOTIK",MASUK!$C:$C,"butter yellow",MASUK!$D:$D,"14")+SO!O82</f>
        <v>0</v>
      </c>
      <c r="P79" s="27">
        <f t="shared" si="11"/>
        <v>0</v>
      </c>
    </row>
    <row r="80" spans="2:16" ht="14.5">
      <c r="B80" s="33"/>
      <c r="C80" s="33"/>
      <c r="D80" s="33"/>
      <c r="E80" s="33"/>
      <c r="I80" s="26"/>
      <c r="J80" s="27">
        <f>-SUMIFS(KELUAR!$E:$E,KELUAR!$B:$B,"GOTIK",KELUAR!$C:$C,"butter yellow",KELUAR!$D:$D,"4")+SUMIFS(MASUK!$E:$E,MASUK!$B:$B,"GOTIK",MASUK!$C:$C,"butter yellow",MASUK!$D:$D,"4")+SO!J83</f>
        <v>0</v>
      </c>
      <c r="K80" s="27">
        <f>-SUMIFS(KELUAR!$E:$E,KELUAR!$B:$B,"GOTIK",KELUAR!$C:$C,"butter yellow",KELUAR!$D:$D,"6")+SUMIFS(MASUK!$E:$E,MASUK!$B:$B,"GOTIK",MASUK!$C:$C,"butter yellow",MASUK!$D:$D,"6")+SO!K83</f>
        <v>0</v>
      </c>
      <c r="L80" s="27">
        <f>-SUMIFS(KELUAR!$E:$E,KELUAR!$B:$B,"GOTIK",KELUAR!$C:$C,"butter yellow",KELUAR!$D:$D,"8")+SUMIFS(MASUK!$E:$E,MASUK!$B:$B,"GOTIK",MASUK!$C:$C,"butter yellow",MASUK!$D:$D,"8")+SO!L83</f>
        <v>0</v>
      </c>
      <c r="M80" s="27">
        <f>-SUMIFS(KELUAR!$E:$E,KELUAR!$B:$B,"GOTIK",KELUAR!$C:$C,"butter yellow",KELUAR!$D:$D,"10")+SUMIFS(MASUK!$E:$E,MASUK!$B:$B,"GOTIK",MASUK!$C:$C,"butter yellow",MASUK!$D:$D,"10")+SO!M83</f>
        <v>0</v>
      </c>
      <c r="N80" s="27">
        <f>-SUMIFS(KELUAR!$E:$E,KELUAR!$B:$B,"GOTIK",KELUAR!$C:$C,"butter yellow",KELUAR!$D:$D,"12")+SUMIFS(MASUK!$E:$E,MASUK!$B:$B,"GOTIK",MASUK!$C:$C,"butter yellow",MASUK!$D:$D,"12")+SO!N83</f>
        <v>0</v>
      </c>
      <c r="O80" s="27">
        <f>-SUMIFS(KELUAR!$E:$E,KELUAR!$B:$B,"GOTIK",KELUAR!$C:$C,"butter yellow",KELUAR!$D:$D,"14")+SUMIFS(MASUK!$E:$E,MASUK!$B:$B,"GOTIK",MASUK!$C:$C,"butter yellow",MASUK!$D:$D,"14")+SO!O83</f>
        <v>0</v>
      </c>
      <c r="P80" s="27">
        <f t="shared" si="11"/>
        <v>0</v>
      </c>
    </row>
    <row r="81" spans="2:16" ht="14.5">
      <c r="B81" s="33"/>
      <c r="C81" s="33"/>
      <c r="D81" s="33"/>
      <c r="E81" s="33"/>
      <c r="I81" s="26"/>
      <c r="J81" s="27">
        <f>-SUMIFS(KELUAR!$E:$E,KELUAR!$B:$B,"GOTIK",KELUAR!$C:$C,"butter yellow",KELUAR!$D:$D,"4")+SUMIFS(MASUK!$E:$E,MASUK!$B:$B,"GOTIK",MASUK!$C:$C,"butter yellow",MASUK!$D:$D,"4")+SO!J84</f>
        <v>0</v>
      </c>
      <c r="K81" s="27">
        <f>-SUMIFS(KELUAR!$E:$E,KELUAR!$B:$B,"GOTIK",KELUAR!$C:$C,"butter yellow",KELUAR!$D:$D,"6")+SUMIFS(MASUK!$E:$E,MASUK!$B:$B,"GOTIK",MASUK!$C:$C,"butter yellow",MASUK!$D:$D,"6")+SO!K84</f>
        <v>0</v>
      </c>
      <c r="L81" s="27">
        <f>-SUMIFS(KELUAR!$E:$E,KELUAR!$B:$B,"GOTIK",KELUAR!$C:$C,"butter yellow",KELUAR!$D:$D,"8")+SUMIFS(MASUK!$E:$E,MASUK!$B:$B,"GOTIK",MASUK!$C:$C,"butter yellow",MASUK!$D:$D,"8")+SO!L84</f>
        <v>0</v>
      </c>
      <c r="M81" s="27">
        <f>-SUMIFS(KELUAR!$E:$E,KELUAR!$B:$B,"GOTIK",KELUAR!$C:$C,"butter yellow",KELUAR!$D:$D,"10")+SUMIFS(MASUK!$E:$E,MASUK!$B:$B,"GOTIK",MASUK!$C:$C,"butter yellow",MASUK!$D:$D,"10")+SO!M84</f>
        <v>0</v>
      </c>
      <c r="N81" s="27">
        <f>-SUMIFS(KELUAR!$E:$E,KELUAR!$B:$B,"GOTIK",KELUAR!$C:$C,"butter yellow",KELUAR!$D:$D,"12")+SUMIFS(MASUK!$E:$E,MASUK!$B:$B,"GOTIK",MASUK!$C:$C,"butter yellow",MASUK!$D:$D,"12")+SO!N84</f>
        <v>0</v>
      </c>
      <c r="O81" s="27">
        <f>-SUMIFS(KELUAR!$E:$E,KELUAR!$B:$B,"GOTIK",KELUAR!$C:$C,"butter yellow",KELUAR!$D:$D,"14")+SUMIFS(MASUK!$E:$E,MASUK!$B:$B,"GOTIK",MASUK!$C:$C,"butter yellow",MASUK!$D:$D,"14")+SO!O84</f>
        <v>0</v>
      </c>
      <c r="P81" s="27">
        <f t="shared" si="11"/>
        <v>0</v>
      </c>
    </row>
    <row r="82" spans="2:16" ht="14.5">
      <c r="B82" s="33"/>
      <c r="C82" s="33"/>
      <c r="D82" s="33"/>
      <c r="E82" s="33"/>
      <c r="I82" s="26"/>
      <c r="J82" s="27">
        <f>-SUMIFS(KELUAR!$E:$E,KELUAR!$B:$B,"GOTIK",KELUAR!$C:$C,"butter yellow",KELUAR!$D:$D,"4")+SUMIFS(MASUK!$E:$E,MASUK!$B:$B,"GOTIK",MASUK!$C:$C,"butter yellow",MASUK!$D:$D,"4")+SO!J85</f>
        <v>0</v>
      </c>
      <c r="K82" s="27">
        <f>-SUMIFS(KELUAR!$E:$E,KELUAR!$B:$B,"GOTIK",KELUAR!$C:$C,"butter yellow",KELUAR!$D:$D,"6")+SUMIFS(MASUK!$E:$E,MASUK!$B:$B,"GOTIK",MASUK!$C:$C,"butter yellow",MASUK!$D:$D,"6")+SO!K85</f>
        <v>0</v>
      </c>
      <c r="L82" s="27">
        <f>-SUMIFS(KELUAR!$E:$E,KELUAR!$B:$B,"GOTIK",KELUAR!$C:$C,"butter yellow",KELUAR!$D:$D,"8")+SUMIFS(MASUK!$E:$E,MASUK!$B:$B,"GOTIK",MASUK!$C:$C,"butter yellow",MASUK!$D:$D,"8")+SO!L85</f>
        <v>0</v>
      </c>
      <c r="M82" s="27">
        <f>-SUMIFS(KELUAR!$E:$E,KELUAR!$B:$B,"GOTIK",KELUAR!$C:$C,"butter yellow",KELUAR!$D:$D,"10")+SUMIFS(MASUK!$E:$E,MASUK!$B:$B,"GOTIK",MASUK!$C:$C,"butter yellow",MASUK!$D:$D,"10")+SO!M85</f>
        <v>0</v>
      </c>
      <c r="N82" s="27">
        <f>-SUMIFS(KELUAR!$E:$E,KELUAR!$B:$B,"GOTIK",KELUAR!$C:$C,"butter yellow",KELUAR!$D:$D,"12")+SUMIFS(MASUK!$E:$E,MASUK!$B:$B,"GOTIK",MASUK!$C:$C,"butter yellow",MASUK!$D:$D,"12")+SO!N85</f>
        <v>0</v>
      </c>
      <c r="O82" s="27">
        <f>-SUMIFS(KELUAR!$E:$E,KELUAR!$B:$B,"GOTIK",KELUAR!$C:$C,"butter yellow",KELUAR!$D:$D,"14")+SUMIFS(MASUK!$E:$E,MASUK!$B:$B,"GOTIK",MASUK!$C:$C,"butter yellow",MASUK!$D:$D,"14")+SO!O85</f>
        <v>0</v>
      </c>
      <c r="P82" s="27">
        <f t="shared" si="11"/>
        <v>0</v>
      </c>
    </row>
    <row r="83" spans="2:16" ht="14.5">
      <c r="B83" s="33"/>
      <c r="C83" s="33"/>
      <c r="D83" s="33"/>
      <c r="E83" s="33"/>
      <c r="N83" s="1"/>
      <c r="O83" s="26" t="s">
        <v>10</v>
      </c>
      <c r="P83" s="26">
        <f>SUBTOTAL(9,P66:P82)</f>
        <v>0</v>
      </c>
    </row>
    <row r="84" spans="2:16" ht="14.5">
      <c r="B84" s="33"/>
      <c r="C84" s="33"/>
      <c r="D84" s="33"/>
      <c r="E84" s="33"/>
      <c r="N84" s="1"/>
      <c r="O84" s="1"/>
      <c r="P84" s="1"/>
    </row>
    <row r="85" spans="2:16" ht="14.5">
      <c r="B85" s="33"/>
      <c r="C85" s="33"/>
      <c r="D85" s="33"/>
      <c r="E85" s="33"/>
      <c r="N85" s="1"/>
      <c r="O85" s="1"/>
      <c r="P85" s="1"/>
    </row>
    <row r="86" spans="2:16" ht="14.5">
      <c r="B86" s="33"/>
      <c r="C86" s="33"/>
      <c r="D86" s="33"/>
      <c r="E86" s="33"/>
      <c r="N86" s="1"/>
      <c r="O86" s="1"/>
      <c r="P86" s="1"/>
    </row>
    <row r="87" spans="2:16" ht="14.5">
      <c r="B87" s="33"/>
      <c r="C87" s="33"/>
      <c r="D87" s="33"/>
      <c r="E87" s="33"/>
      <c r="N87" s="1"/>
      <c r="O87" s="1"/>
      <c r="P87" s="1"/>
    </row>
    <row r="88" spans="2:16" ht="14.5">
      <c r="B88" s="33"/>
      <c r="C88" s="33"/>
      <c r="D88" s="33"/>
      <c r="E88" s="33"/>
      <c r="N88" s="1"/>
      <c r="O88" s="1"/>
      <c r="P88" s="1"/>
    </row>
    <row r="89" spans="2:16" ht="14.5">
      <c r="B89" s="33"/>
      <c r="C89" s="33"/>
      <c r="D89" s="33"/>
      <c r="E89" s="33"/>
      <c r="N89" s="1"/>
      <c r="O89" s="1"/>
      <c r="P89" s="1"/>
    </row>
    <row r="90" spans="2:16" ht="14.5">
      <c r="B90" s="33"/>
      <c r="C90" s="33"/>
      <c r="D90" s="33"/>
      <c r="E90" s="33"/>
      <c r="N90" s="1"/>
      <c r="O90" s="1"/>
      <c r="P90" s="1"/>
    </row>
    <row r="91" spans="2:16" ht="14.5">
      <c r="B91" s="33"/>
      <c r="C91" s="33"/>
      <c r="D91" s="33"/>
      <c r="E91" s="33"/>
      <c r="N91" s="1"/>
      <c r="O91" s="1"/>
      <c r="P91" s="1"/>
    </row>
    <row r="92" spans="2:16" ht="14.5">
      <c r="B92" s="33"/>
      <c r="C92" s="33"/>
      <c r="D92" s="33"/>
      <c r="E92" s="33"/>
      <c r="N92" s="1"/>
      <c r="O92" s="1"/>
      <c r="P92" s="1"/>
    </row>
    <row r="93" spans="2:16" ht="14.5">
      <c r="B93" s="33"/>
      <c r="C93" s="33"/>
      <c r="D93" s="33"/>
      <c r="E93" s="33"/>
      <c r="N93" s="1"/>
      <c r="O93" s="1"/>
      <c r="P93" s="1"/>
    </row>
    <row r="94" spans="2:16" ht="14.5">
      <c r="B94" s="33"/>
      <c r="C94" s="33"/>
      <c r="D94" s="33"/>
      <c r="E94" s="33"/>
      <c r="N94" s="1"/>
      <c r="O94" s="1"/>
      <c r="P94" s="1"/>
    </row>
    <row r="95" spans="2:16" ht="14.5">
      <c r="B95" s="33"/>
      <c r="C95" s="33"/>
      <c r="D95" s="33"/>
      <c r="E95" s="33"/>
      <c r="N95" s="1"/>
      <c r="O95" s="1"/>
      <c r="P95" s="1"/>
    </row>
    <row r="96" spans="2:16" ht="14.5">
      <c r="B96" s="33"/>
      <c r="C96" s="33"/>
      <c r="D96" s="33"/>
      <c r="E96" s="33"/>
      <c r="N96" s="1"/>
      <c r="O96" s="1"/>
      <c r="P96" s="1"/>
    </row>
    <row r="97" spans="2:16" ht="14.5">
      <c r="B97" s="33"/>
      <c r="C97" s="33"/>
      <c r="D97" s="33"/>
      <c r="E97" s="33"/>
      <c r="N97" s="1"/>
      <c r="O97" s="1"/>
      <c r="P97" s="1"/>
    </row>
    <row r="98" spans="2:16" ht="14.5">
      <c r="B98" s="33"/>
      <c r="C98" s="33"/>
      <c r="D98" s="33"/>
      <c r="E98" s="33"/>
      <c r="N98" s="1"/>
      <c r="O98" s="1"/>
      <c r="P98" s="1"/>
    </row>
    <row r="99" spans="2:16" ht="14.5">
      <c r="B99" s="33"/>
      <c r="C99" s="33"/>
      <c r="D99" s="33"/>
      <c r="E99" s="33"/>
      <c r="N99" s="1"/>
      <c r="O99" s="1"/>
      <c r="P99" s="1"/>
    </row>
    <row r="100" spans="2:16" ht="14.5">
      <c r="B100" s="33"/>
      <c r="C100" s="33"/>
      <c r="D100" s="33"/>
      <c r="E100" s="33"/>
      <c r="N100" s="1"/>
      <c r="O100" s="1"/>
      <c r="P100" s="1"/>
    </row>
    <row r="101" spans="2:16" ht="14.5">
      <c r="B101" s="33"/>
      <c r="C101" s="33"/>
      <c r="D101" s="33"/>
      <c r="E101" s="33"/>
      <c r="N101" s="1"/>
      <c r="O101" s="1"/>
      <c r="P101" s="1"/>
    </row>
    <row r="102" spans="2:16" ht="14.5">
      <c r="B102" s="33"/>
      <c r="C102" s="33"/>
      <c r="D102" s="33"/>
      <c r="E102" s="33"/>
      <c r="N102" s="1"/>
      <c r="O102" s="1"/>
      <c r="P102" s="1"/>
    </row>
    <row r="103" spans="2:16" ht="14.5">
      <c r="B103" s="33"/>
      <c r="C103" s="33"/>
      <c r="D103" s="33"/>
      <c r="E103" s="33"/>
      <c r="N103" s="1"/>
      <c r="O103" s="1"/>
      <c r="P103" s="1"/>
    </row>
    <row r="104" spans="2:16" ht="14.5">
      <c r="B104" s="33"/>
      <c r="C104" s="33"/>
      <c r="D104" s="33"/>
      <c r="E104" s="33"/>
      <c r="N104" s="1"/>
      <c r="O104" s="1"/>
      <c r="P104" s="1"/>
    </row>
    <row r="105" spans="2:16" ht="14.5">
      <c r="B105" s="33"/>
      <c r="C105" s="33"/>
      <c r="D105" s="33"/>
      <c r="E105" s="33"/>
      <c r="N105" s="1"/>
      <c r="O105" s="1"/>
      <c r="P105" s="1"/>
    </row>
    <row r="106" spans="2:16" ht="14.5">
      <c r="B106" s="33"/>
      <c r="C106" s="33"/>
      <c r="D106" s="33"/>
      <c r="E106" s="33"/>
      <c r="N106" s="1"/>
      <c r="O106" s="1"/>
      <c r="P106" s="1"/>
    </row>
    <row r="107" spans="2:16" ht="14.5">
      <c r="B107" s="33"/>
      <c r="C107" s="33"/>
      <c r="D107" s="33"/>
      <c r="E107" s="33"/>
      <c r="N107" s="1"/>
      <c r="O107" s="1"/>
      <c r="P107" s="1"/>
    </row>
    <row r="108" spans="2:16" ht="14.5">
      <c r="B108" s="33"/>
      <c r="C108" s="33"/>
      <c r="D108" s="33"/>
      <c r="E108" s="33"/>
      <c r="N108" s="1"/>
      <c r="O108" s="1"/>
      <c r="P108" s="1"/>
    </row>
    <row r="109" spans="2:16" ht="14.5">
      <c r="B109" s="33"/>
      <c r="C109" s="33"/>
      <c r="D109" s="33"/>
      <c r="E109" s="33"/>
      <c r="N109" s="1"/>
      <c r="O109" s="1"/>
      <c r="P109" s="1"/>
    </row>
    <row r="110" spans="2:16" ht="14.5">
      <c r="B110" s="33"/>
      <c r="C110" s="33"/>
      <c r="D110" s="33"/>
      <c r="E110" s="33"/>
      <c r="N110" s="1"/>
      <c r="O110" s="1"/>
      <c r="P110" s="1"/>
    </row>
    <row r="111" spans="2:16" ht="14.5">
      <c r="B111" s="33"/>
      <c r="C111" s="33"/>
      <c r="D111" s="33"/>
      <c r="E111" s="33"/>
      <c r="N111" s="1"/>
      <c r="O111" s="1"/>
      <c r="P111" s="1"/>
    </row>
    <row r="112" spans="2:16" ht="14.5">
      <c r="B112" s="33"/>
      <c r="C112" s="33"/>
      <c r="D112" s="33"/>
      <c r="E112" s="33"/>
      <c r="N112" s="1"/>
      <c r="O112" s="1"/>
      <c r="P112" s="1"/>
    </row>
    <row r="113" spans="2:16" ht="14.5">
      <c r="B113" s="33"/>
      <c r="C113" s="33"/>
      <c r="D113" s="33"/>
      <c r="E113" s="33"/>
      <c r="N113" s="1"/>
      <c r="O113" s="1"/>
      <c r="P113" s="1"/>
    </row>
    <row r="114" spans="2:16" ht="14.5">
      <c r="B114" s="33"/>
      <c r="C114" s="33"/>
      <c r="D114" s="33"/>
      <c r="E114" s="33"/>
      <c r="N114" s="1"/>
      <c r="O114" s="1"/>
      <c r="P114" s="1"/>
    </row>
    <row r="115" spans="2:16" ht="14.5">
      <c r="B115" s="33"/>
      <c r="C115" s="33"/>
      <c r="D115" s="33"/>
      <c r="E115" s="33"/>
      <c r="N115" s="1"/>
      <c r="O115" s="1"/>
      <c r="P115" s="1"/>
    </row>
    <row r="116" spans="2:16" ht="14.5">
      <c r="B116" s="33"/>
      <c r="C116" s="33"/>
      <c r="D116" s="33"/>
      <c r="E116" s="33"/>
      <c r="N116" s="1"/>
      <c r="O116" s="1"/>
      <c r="P116" s="1"/>
    </row>
    <row r="117" spans="2:16" ht="14.5">
      <c r="B117" s="33"/>
      <c r="C117" s="33"/>
      <c r="D117" s="33"/>
      <c r="E117" s="33"/>
      <c r="N117" s="1"/>
      <c r="O117" s="1"/>
      <c r="P117" s="1"/>
    </row>
    <row r="118" spans="2:16" ht="14.5">
      <c r="B118" s="33"/>
      <c r="C118" s="33"/>
      <c r="D118" s="33"/>
      <c r="E118" s="33"/>
      <c r="N118" s="1"/>
      <c r="O118" s="1"/>
      <c r="P118" s="1"/>
    </row>
    <row r="119" spans="2:16" ht="14.5">
      <c r="B119" s="33"/>
      <c r="C119" s="33"/>
      <c r="D119" s="33"/>
      <c r="E119" s="33"/>
      <c r="N119" s="1"/>
      <c r="O119" s="1"/>
      <c r="P119" s="1"/>
    </row>
    <row r="120" spans="2:16" ht="14.5">
      <c r="B120" s="33"/>
      <c r="C120" s="33"/>
      <c r="D120" s="33"/>
      <c r="E120" s="33"/>
      <c r="N120" s="1"/>
      <c r="O120" s="1"/>
      <c r="P120" s="1"/>
    </row>
    <row r="121" spans="2:16" ht="14.5">
      <c r="B121" s="33"/>
      <c r="C121" s="33"/>
      <c r="D121" s="33"/>
      <c r="E121" s="33"/>
      <c r="N121" s="1"/>
      <c r="O121" s="1"/>
      <c r="P121" s="1"/>
    </row>
    <row r="122" spans="2:16" ht="14.5">
      <c r="B122" s="33"/>
      <c r="C122" s="33"/>
      <c r="D122" s="33"/>
      <c r="E122" s="33"/>
      <c r="N122" s="1"/>
      <c r="O122" s="1"/>
      <c r="P122" s="1"/>
    </row>
    <row r="123" spans="2:16" ht="14.5">
      <c r="B123" s="33"/>
      <c r="C123" s="33"/>
      <c r="D123" s="33"/>
      <c r="E123" s="33"/>
      <c r="N123" s="1"/>
      <c r="O123" s="1"/>
      <c r="P123" s="1"/>
    </row>
    <row r="124" spans="2:16" ht="14.5">
      <c r="B124" s="33"/>
      <c r="C124" s="33"/>
      <c r="D124" s="33"/>
      <c r="E124" s="33"/>
      <c r="N124" s="1"/>
      <c r="O124" s="1"/>
      <c r="P124" s="1"/>
    </row>
    <row r="125" spans="2:16" ht="14.5">
      <c r="B125" s="33"/>
      <c r="C125" s="33"/>
      <c r="D125" s="33"/>
      <c r="E125" s="33"/>
      <c r="N125" s="1"/>
      <c r="O125" s="1"/>
      <c r="P125" s="1"/>
    </row>
    <row r="126" spans="2:16" ht="14.5">
      <c r="B126" s="33"/>
      <c r="C126" s="33"/>
      <c r="D126" s="33"/>
      <c r="E126" s="33"/>
      <c r="N126" s="1"/>
      <c r="O126" s="1"/>
      <c r="P126" s="1"/>
    </row>
    <row r="127" spans="2:16" ht="14.5">
      <c r="B127" s="33"/>
      <c r="C127" s="33"/>
      <c r="D127" s="33"/>
      <c r="E127" s="33"/>
      <c r="N127" s="1"/>
      <c r="O127" s="1"/>
      <c r="P127" s="1"/>
    </row>
    <row r="128" spans="2:16" ht="14.5">
      <c r="B128" s="33"/>
      <c r="C128" s="33"/>
      <c r="D128" s="33"/>
      <c r="E128" s="33"/>
      <c r="N128" s="1"/>
      <c r="O128" s="1"/>
      <c r="P128" s="1"/>
    </row>
    <row r="129" spans="2:16" ht="14.5">
      <c r="B129" s="33"/>
      <c r="C129" s="33"/>
      <c r="D129" s="33"/>
      <c r="E129" s="33"/>
      <c r="N129" s="1"/>
      <c r="O129" s="1"/>
      <c r="P129" s="1"/>
    </row>
    <row r="130" spans="2:16" ht="14.5">
      <c r="B130" s="33"/>
      <c r="C130" s="33"/>
      <c r="D130" s="33"/>
      <c r="E130" s="33"/>
      <c r="N130" s="1"/>
      <c r="O130" s="1"/>
      <c r="P130" s="1"/>
    </row>
    <row r="131" spans="2:16" ht="14.5">
      <c r="B131" s="33"/>
      <c r="C131" s="33"/>
      <c r="D131" s="33"/>
      <c r="E131" s="33"/>
      <c r="N131" s="1"/>
      <c r="O131" s="1"/>
      <c r="P131" s="1"/>
    </row>
    <row r="132" spans="2:16" ht="14.5">
      <c r="B132" s="33"/>
      <c r="C132" s="33"/>
      <c r="D132" s="33"/>
      <c r="E132" s="33"/>
      <c r="N132" s="1"/>
      <c r="O132" s="1"/>
      <c r="P132" s="1"/>
    </row>
    <row r="133" spans="2:16" ht="14.5">
      <c r="B133" s="33"/>
      <c r="C133" s="33"/>
      <c r="D133" s="33"/>
      <c r="E133" s="33"/>
      <c r="N133" s="1"/>
      <c r="O133" s="1"/>
      <c r="P133" s="1"/>
    </row>
    <row r="134" spans="2:16" ht="14.5">
      <c r="B134" s="33"/>
      <c r="C134" s="33"/>
      <c r="D134" s="33"/>
      <c r="E134" s="33"/>
      <c r="N134" s="1"/>
      <c r="O134" s="1"/>
      <c r="P134" s="1"/>
    </row>
    <row r="135" spans="2:16" ht="14.5">
      <c r="B135" s="33"/>
      <c r="C135" s="33"/>
      <c r="D135" s="33"/>
      <c r="E135" s="33"/>
      <c r="N135" s="1"/>
      <c r="O135" s="1"/>
      <c r="P135" s="1"/>
    </row>
    <row r="136" spans="2:16" ht="14.5">
      <c r="B136" s="33"/>
      <c r="C136" s="33"/>
      <c r="D136" s="33"/>
      <c r="E136" s="33"/>
      <c r="N136" s="1"/>
      <c r="O136" s="1"/>
      <c r="P136" s="1"/>
    </row>
    <row r="137" spans="2:16" ht="14.5">
      <c r="B137" s="33"/>
      <c r="C137" s="33"/>
      <c r="D137" s="33"/>
      <c r="E137" s="33"/>
      <c r="N137" s="1"/>
      <c r="O137" s="1"/>
      <c r="P137" s="1"/>
    </row>
    <row r="138" spans="2:16" ht="14.5">
      <c r="B138" s="33"/>
      <c r="C138" s="33"/>
      <c r="D138" s="33"/>
      <c r="E138" s="33"/>
      <c r="N138" s="1"/>
      <c r="O138" s="1"/>
      <c r="P138" s="1"/>
    </row>
    <row r="139" spans="2:16" ht="14.5">
      <c r="B139" s="33"/>
      <c r="C139" s="33"/>
      <c r="D139" s="33"/>
      <c r="E139" s="33"/>
      <c r="N139" s="1"/>
      <c r="O139" s="1"/>
      <c r="P139" s="1"/>
    </row>
    <row r="140" spans="2:16" ht="14.5">
      <c r="B140" s="33"/>
      <c r="C140" s="33"/>
      <c r="D140" s="33"/>
      <c r="E140" s="33"/>
      <c r="N140" s="1"/>
      <c r="O140" s="1"/>
      <c r="P140" s="1"/>
    </row>
    <row r="141" spans="2:16" ht="14.5">
      <c r="B141" s="33"/>
      <c r="C141" s="33"/>
      <c r="D141" s="33"/>
      <c r="E141" s="33"/>
      <c r="N141" s="1"/>
      <c r="O141" s="1"/>
      <c r="P141" s="1"/>
    </row>
    <row r="142" spans="2:16" ht="14.5">
      <c r="B142" s="33"/>
      <c r="C142" s="33"/>
      <c r="D142" s="33"/>
      <c r="E142" s="33"/>
      <c r="N142" s="1"/>
      <c r="O142" s="1"/>
      <c r="P142" s="1"/>
    </row>
    <row r="143" spans="2:16" ht="14.5">
      <c r="B143" s="33"/>
      <c r="C143" s="33"/>
      <c r="D143" s="33"/>
      <c r="E143" s="33"/>
      <c r="N143" s="1"/>
      <c r="O143" s="1"/>
      <c r="P143" s="1"/>
    </row>
    <row r="144" spans="2:16" ht="14.5">
      <c r="B144" s="33"/>
      <c r="C144" s="33"/>
      <c r="D144" s="33"/>
      <c r="E144" s="33"/>
      <c r="N144" s="1"/>
      <c r="O144" s="1"/>
      <c r="P144" s="1"/>
    </row>
    <row r="145" spans="2:16" ht="14.5">
      <c r="B145" s="33"/>
      <c r="C145" s="33"/>
      <c r="D145" s="33"/>
      <c r="E145" s="33"/>
      <c r="N145" s="1"/>
      <c r="O145" s="1"/>
      <c r="P145" s="1"/>
    </row>
    <row r="146" spans="2:16" ht="14.5">
      <c r="B146" s="33"/>
      <c r="C146" s="33"/>
      <c r="D146" s="33"/>
      <c r="E146" s="33"/>
      <c r="N146" s="1"/>
      <c r="O146" s="1"/>
      <c r="P146" s="1"/>
    </row>
    <row r="147" spans="2:16" ht="14.5">
      <c r="B147" s="33"/>
      <c r="C147" s="33"/>
      <c r="D147" s="33"/>
      <c r="E147" s="33"/>
      <c r="N147" s="1"/>
      <c r="O147" s="1"/>
      <c r="P147" s="1"/>
    </row>
    <row r="148" spans="2:16" ht="14.5">
      <c r="B148" s="33"/>
      <c r="C148" s="33"/>
      <c r="D148" s="33"/>
      <c r="E148" s="33"/>
      <c r="N148" s="1"/>
      <c r="O148" s="1"/>
      <c r="P148" s="1"/>
    </row>
    <row r="149" spans="2:16" ht="14.5">
      <c r="B149" s="33"/>
      <c r="C149" s="33"/>
      <c r="D149" s="33"/>
      <c r="E149" s="33"/>
      <c r="N149" s="1"/>
      <c r="O149" s="1"/>
      <c r="P149" s="1"/>
    </row>
    <row r="150" spans="2:16" ht="14.5">
      <c r="B150" s="33"/>
      <c r="C150" s="33"/>
      <c r="D150" s="33"/>
      <c r="E150" s="33"/>
      <c r="N150" s="1"/>
      <c r="O150" s="1"/>
      <c r="P150" s="1"/>
    </row>
    <row r="151" spans="2:16" ht="14.5">
      <c r="B151" s="33"/>
      <c r="C151" s="33"/>
      <c r="D151" s="33"/>
      <c r="E151" s="33"/>
      <c r="N151" s="1"/>
      <c r="O151" s="1"/>
      <c r="P151" s="1"/>
    </row>
    <row r="152" spans="2:16" ht="14.5">
      <c r="B152" s="33"/>
      <c r="C152" s="33"/>
      <c r="D152" s="33"/>
      <c r="E152" s="33"/>
      <c r="N152" s="1"/>
      <c r="O152" s="1"/>
      <c r="P152" s="1"/>
    </row>
    <row r="153" spans="2:16" ht="14.5">
      <c r="B153" s="33"/>
      <c r="C153" s="33"/>
      <c r="D153" s="33"/>
      <c r="E153" s="33"/>
      <c r="N153" s="1"/>
      <c r="O153" s="1"/>
      <c r="P153" s="1"/>
    </row>
    <row r="154" spans="2:16" ht="14.5">
      <c r="B154" s="33"/>
      <c r="C154" s="33"/>
      <c r="D154" s="33"/>
      <c r="E154" s="33"/>
      <c r="N154" s="1"/>
      <c r="O154" s="1"/>
      <c r="P154" s="1"/>
    </row>
    <row r="155" spans="2:16" ht="14.5">
      <c r="B155" s="33"/>
      <c r="C155" s="33"/>
      <c r="D155" s="33"/>
      <c r="E155" s="33"/>
      <c r="N155" s="1"/>
      <c r="O155" s="1"/>
      <c r="P155" s="1"/>
    </row>
    <row r="156" spans="2:16" ht="14.5">
      <c r="B156" s="33"/>
      <c r="C156" s="33"/>
      <c r="D156" s="33"/>
      <c r="E156" s="33"/>
      <c r="N156" s="1"/>
      <c r="O156" s="1"/>
      <c r="P156" s="1"/>
    </row>
    <row r="157" spans="2:16" ht="14.5">
      <c r="B157" s="33"/>
      <c r="C157" s="33"/>
      <c r="D157" s="33"/>
      <c r="E157" s="33"/>
      <c r="N157" s="1"/>
      <c r="O157" s="1"/>
      <c r="P157" s="1"/>
    </row>
    <row r="158" spans="2:16" ht="14.5">
      <c r="B158" s="33"/>
      <c r="C158" s="33"/>
      <c r="D158" s="33"/>
      <c r="E158" s="33"/>
      <c r="N158" s="1"/>
      <c r="O158" s="1"/>
      <c r="P158" s="1"/>
    </row>
    <row r="159" spans="2:16" ht="14.5">
      <c r="B159" s="33"/>
      <c r="C159" s="33"/>
      <c r="D159" s="33"/>
      <c r="E159" s="33"/>
      <c r="N159" s="1"/>
      <c r="O159" s="1"/>
      <c r="P159" s="1"/>
    </row>
    <row r="160" spans="2:16" ht="14.5">
      <c r="B160" s="33"/>
      <c r="C160" s="33"/>
      <c r="D160" s="33"/>
      <c r="E160" s="33"/>
      <c r="N160" s="1"/>
      <c r="O160" s="1"/>
      <c r="P160" s="1"/>
    </row>
    <row r="161" spans="2:16" ht="14.5">
      <c r="B161" s="33"/>
      <c r="C161" s="33"/>
      <c r="D161" s="33"/>
      <c r="E161" s="33"/>
      <c r="N161" s="1"/>
      <c r="O161" s="1"/>
      <c r="P161" s="1"/>
    </row>
    <row r="162" spans="2:16" ht="14.5">
      <c r="B162" s="33"/>
      <c r="C162" s="33"/>
      <c r="D162" s="33"/>
      <c r="E162" s="33"/>
      <c r="N162" s="1"/>
      <c r="O162" s="1"/>
      <c r="P162" s="1"/>
    </row>
    <row r="163" spans="2:16" ht="14.5">
      <c r="B163" s="33"/>
      <c r="C163" s="33"/>
      <c r="D163" s="33"/>
      <c r="E163" s="33"/>
      <c r="N163" s="1"/>
      <c r="O163" s="1"/>
      <c r="P163" s="1"/>
    </row>
    <row r="164" spans="2:16" ht="14.5">
      <c r="B164" s="33"/>
      <c r="C164" s="33"/>
      <c r="D164" s="33"/>
      <c r="E164" s="33"/>
      <c r="N164" s="1"/>
      <c r="O164" s="1"/>
      <c r="P164" s="1"/>
    </row>
    <row r="165" spans="2:16" ht="14.5">
      <c r="B165" s="33"/>
      <c r="C165" s="33"/>
      <c r="D165" s="33"/>
      <c r="E165" s="33"/>
      <c r="N165" s="1"/>
      <c r="O165" s="1"/>
      <c r="P165" s="1"/>
    </row>
    <row r="166" spans="2:16" ht="14.5">
      <c r="B166" s="33"/>
      <c r="C166" s="33"/>
      <c r="D166" s="33"/>
      <c r="E166" s="33"/>
      <c r="N166" s="1"/>
      <c r="O166" s="1"/>
      <c r="P166" s="1"/>
    </row>
    <row r="167" spans="2:16" ht="14.5">
      <c r="B167" s="33"/>
      <c r="C167" s="33"/>
      <c r="D167" s="33"/>
      <c r="E167" s="33"/>
      <c r="N167" s="1"/>
      <c r="O167" s="1"/>
      <c r="P167" s="1"/>
    </row>
    <row r="168" spans="2:16" ht="14.5">
      <c r="B168" s="33"/>
      <c r="C168" s="33"/>
      <c r="D168" s="33"/>
      <c r="E168" s="33"/>
      <c r="N168" s="1"/>
      <c r="O168" s="1"/>
      <c r="P168" s="1"/>
    </row>
    <row r="169" spans="2:16" ht="14.5">
      <c r="B169" s="33"/>
      <c r="C169" s="33"/>
      <c r="D169" s="33"/>
      <c r="E169" s="33"/>
      <c r="N169" s="1"/>
      <c r="O169" s="1"/>
      <c r="P169" s="1"/>
    </row>
    <row r="170" spans="2:16" ht="14.5">
      <c r="B170" s="33"/>
      <c r="C170" s="33"/>
      <c r="D170" s="33"/>
      <c r="E170" s="33"/>
      <c r="N170" s="1"/>
      <c r="O170" s="1"/>
      <c r="P170" s="1"/>
    </row>
    <row r="171" spans="2:16" ht="14.5">
      <c r="B171" s="33"/>
      <c r="C171" s="33"/>
      <c r="D171" s="33"/>
      <c r="E171" s="33"/>
      <c r="N171" s="1"/>
      <c r="O171" s="1"/>
      <c r="P171" s="1"/>
    </row>
    <row r="172" spans="2:16" ht="14.5">
      <c r="B172" s="33"/>
      <c r="C172" s="33"/>
      <c r="D172" s="33"/>
      <c r="E172" s="33"/>
      <c r="N172" s="1"/>
      <c r="O172" s="1"/>
      <c r="P172" s="1"/>
    </row>
    <row r="173" spans="2:16" ht="14.5">
      <c r="B173" s="33"/>
      <c r="C173" s="33"/>
      <c r="D173" s="33"/>
      <c r="E173" s="33"/>
      <c r="N173" s="1"/>
      <c r="O173" s="1"/>
      <c r="P173" s="1"/>
    </row>
    <row r="174" spans="2:16" ht="14.5">
      <c r="B174" s="33"/>
      <c r="C174" s="33"/>
      <c r="D174" s="33"/>
      <c r="E174" s="33"/>
      <c r="N174" s="1"/>
      <c r="O174" s="1"/>
      <c r="P174" s="1"/>
    </row>
    <row r="175" spans="2:16" ht="14.5">
      <c r="B175" s="33"/>
      <c r="C175" s="33"/>
      <c r="D175" s="33"/>
      <c r="E175" s="33"/>
      <c r="N175" s="1"/>
      <c r="O175" s="1"/>
      <c r="P175" s="1"/>
    </row>
    <row r="176" spans="2:16" ht="14.5">
      <c r="B176" s="33"/>
      <c r="C176" s="33"/>
      <c r="D176" s="33"/>
      <c r="E176" s="33"/>
      <c r="N176" s="1"/>
      <c r="O176" s="1"/>
      <c r="P176" s="1"/>
    </row>
    <row r="177" spans="2:16" ht="14.5">
      <c r="B177" s="33"/>
      <c r="C177" s="33"/>
      <c r="D177" s="33"/>
      <c r="E177" s="33"/>
      <c r="N177" s="1"/>
      <c r="O177" s="1"/>
      <c r="P177" s="1"/>
    </row>
    <row r="178" spans="2:16" ht="14.5">
      <c r="B178" s="33"/>
      <c r="C178" s="33"/>
      <c r="D178" s="33"/>
      <c r="E178" s="33"/>
      <c r="N178" s="1"/>
      <c r="O178" s="1"/>
      <c r="P178" s="1"/>
    </row>
    <row r="179" spans="2:16" ht="14.5">
      <c r="B179" s="33"/>
      <c r="C179" s="33"/>
      <c r="D179" s="33"/>
      <c r="E179" s="33"/>
      <c r="N179" s="1"/>
      <c r="O179" s="1"/>
      <c r="P179" s="1"/>
    </row>
    <row r="180" spans="2:16" ht="14.5">
      <c r="B180" s="33"/>
      <c r="C180" s="33"/>
      <c r="D180" s="33"/>
      <c r="E180" s="33"/>
      <c r="N180" s="1"/>
      <c r="O180" s="1"/>
      <c r="P180" s="1"/>
    </row>
    <row r="181" spans="2:16" ht="14.5">
      <c r="B181" s="33"/>
      <c r="C181" s="33"/>
      <c r="D181" s="33"/>
      <c r="E181" s="33"/>
      <c r="N181" s="1"/>
      <c r="O181" s="1"/>
      <c r="P181" s="1"/>
    </row>
    <row r="182" spans="2:16" ht="14.5">
      <c r="B182" s="33"/>
      <c r="C182" s="33"/>
      <c r="D182" s="33"/>
      <c r="E182" s="33"/>
      <c r="N182" s="1"/>
      <c r="O182" s="1"/>
      <c r="P182" s="1"/>
    </row>
    <row r="183" spans="2:16" ht="14.5">
      <c r="B183" s="33"/>
      <c r="C183" s="33"/>
      <c r="D183" s="33"/>
      <c r="E183" s="33"/>
      <c r="N183" s="1"/>
      <c r="O183" s="1"/>
      <c r="P183" s="1"/>
    </row>
    <row r="184" spans="2:16" ht="14.5">
      <c r="B184" s="33"/>
      <c r="C184" s="33"/>
      <c r="D184" s="33"/>
      <c r="E184" s="33"/>
      <c r="N184" s="1"/>
      <c r="O184" s="1"/>
      <c r="P184" s="1"/>
    </row>
    <row r="185" spans="2:16" ht="14.5">
      <c r="B185" s="33"/>
      <c r="C185" s="33"/>
      <c r="D185" s="33"/>
      <c r="E185" s="33"/>
      <c r="N185" s="1"/>
      <c r="O185" s="1"/>
      <c r="P185" s="1"/>
    </row>
    <row r="186" spans="2:16" ht="14.5">
      <c r="B186" s="33"/>
      <c r="C186" s="33"/>
      <c r="D186" s="33"/>
      <c r="E186" s="33"/>
      <c r="N186" s="1"/>
      <c r="O186" s="1"/>
      <c r="P186" s="1"/>
    </row>
    <row r="187" spans="2:16" ht="14.5">
      <c r="B187" s="33"/>
      <c r="C187" s="33"/>
      <c r="D187" s="33"/>
      <c r="E187" s="33"/>
      <c r="N187" s="1"/>
      <c r="O187" s="1"/>
      <c r="P187" s="1"/>
    </row>
    <row r="188" spans="2:16" ht="14.5">
      <c r="B188" s="33"/>
      <c r="C188" s="33"/>
      <c r="D188" s="33"/>
      <c r="E188" s="33"/>
      <c r="N188" s="1"/>
      <c r="O188" s="1"/>
      <c r="P188" s="1"/>
    </row>
    <row r="189" spans="2:16" ht="14.5">
      <c r="B189" s="33"/>
      <c r="C189" s="33"/>
      <c r="D189" s="33"/>
      <c r="E189" s="33"/>
      <c r="N189" s="1"/>
      <c r="O189" s="1"/>
      <c r="P189" s="1"/>
    </row>
    <row r="190" spans="2:16" ht="14.5">
      <c r="B190" s="33"/>
      <c r="C190" s="33"/>
      <c r="D190" s="33"/>
      <c r="E190" s="33"/>
      <c r="N190" s="1"/>
      <c r="O190" s="1"/>
      <c r="P190" s="1"/>
    </row>
    <row r="191" spans="2:16" ht="14.5">
      <c r="B191" s="33"/>
      <c r="C191" s="33"/>
      <c r="D191" s="33"/>
      <c r="E191" s="33"/>
      <c r="N191" s="1"/>
      <c r="O191" s="1"/>
      <c r="P191" s="1"/>
    </row>
    <row r="192" spans="2:16" ht="14.5">
      <c r="B192" s="33"/>
      <c r="C192" s="33"/>
      <c r="D192" s="33"/>
      <c r="E192" s="33"/>
      <c r="N192" s="1"/>
      <c r="O192" s="1"/>
      <c r="P192" s="1"/>
    </row>
    <row r="193" spans="2:16" ht="14.5">
      <c r="B193" s="33"/>
      <c r="C193" s="33"/>
      <c r="D193" s="33"/>
      <c r="E193" s="33"/>
      <c r="N193" s="1"/>
      <c r="O193" s="1"/>
      <c r="P193" s="1"/>
    </row>
    <row r="194" spans="2:16" ht="14.5">
      <c r="B194" s="33"/>
      <c r="C194" s="33"/>
      <c r="D194" s="33"/>
      <c r="E194" s="33"/>
      <c r="N194" s="1"/>
      <c r="O194" s="1"/>
      <c r="P194" s="1"/>
    </row>
    <row r="195" spans="2:16" ht="14.5">
      <c r="B195" s="33"/>
      <c r="C195" s="33"/>
      <c r="D195" s="33"/>
      <c r="E195" s="33"/>
      <c r="N195" s="1"/>
      <c r="O195" s="1"/>
      <c r="P195" s="1"/>
    </row>
    <row r="196" spans="2:16" ht="14.5">
      <c r="B196" s="33"/>
      <c r="C196" s="33"/>
      <c r="D196" s="33"/>
      <c r="E196" s="33"/>
      <c r="N196" s="1"/>
      <c r="O196" s="1"/>
      <c r="P196" s="1"/>
    </row>
    <row r="197" spans="2:16" ht="14.5">
      <c r="B197" s="33"/>
      <c r="C197" s="33"/>
      <c r="D197" s="33"/>
      <c r="E197" s="33"/>
      <c r="N197" s="1"/>
      <c r="O197" s="1"/>
      <c r="P197" s="1"/>
    </row>
    <row r="198" spans="2:16" ht="14.5">
      <c r="B198" s="33"/>
      <c r="C198" s="33"/>
      <c r="D198" s="33"/>
      <c r="E198" s="33"/>
      <c r="N198" s="1"/>
      <c r="O198" s="1"/>
      <c r="P198" s="1"/>
    </row>
    <row r="199" spans="2:16" ht="14.5">
      <c r="B199" s="33"/>
      <c r="C199" s="33"/>
      <c r="D199" s="33"/>
      <c r="E199" s="33"/>
      <c r="N199" s="1"/>
      <c r="O199" s="1"/>
      <c r="P199" s="1"/>
    </row>
    <row r="200" spans="2:16" ht="14.5">
      <c r="B200" s="33"/>
      <c r="C200" s="33"/>
      <c r="D200" s="33"/>
      <c r="E200" s="33"/>
      <c r="N200" s="1"/>
      <c r="O200" s="1"/>
      <c r="P200" s="1"/>
    </row>
    <row r="201" spans="2:16" ht="14.5">
      <c r="B201" s="33"/>
      <c r="C201" s="33"/>
      <c r="D201" s="33"/>
      <c r="E201" s="33"/>
      <c r="N201" s="1"/>
      <c r="O201" s="1"/>
      <c r="P201" s="1"/>
    </row>
    <row r="202" spans="2:16" ht="14.5">
      <c r="B202" s="33"/>
      <c r="C202" s="33"/>
      <c r="D202" s="33"/>
      <c r="E202" s="33"/>
      <c r="N202" s="1"/>
      <c r="O202" s="1"/>
      <c r="P202" s="1"/>
    </row>
    <row r="203" spans="2:16" ht="14.5">
      <c r="B203" s="33"/>
      <c r="C203" s="33"/>
      <c r="D203" s="33"/>
      <c r="E203" s="33"/>
      <c r="N203" s="1"/>
      <c r="O203" s="1"/>
      <c r="P203" s="1"/>
    </row>
    <row r="204" spans="2:16" ht="14.5">
      <c r="B204" s="33"/>
      <c r="C204" s="33"/>
      <c r="D204" s="33"/>
      <c r="E204" s="33"/>
      <c r="N204" s="1"/>
      <c r="O204" s="1"/>
      <c r="P204" s="1"/>
    </row>
    <row r="205" spans="2:16" ht="14.5">
      <c r="B205" s="33"/>
      <c r="C205" s="33"/>
      <c r="D205" s="33"/>
      <c r="E205" s="33"/>
      <c r="N205" s="1"/>
      <c r="O205" s="1"/>
      <c r="P205" s="1"/>
    </row>
    <row r="206" spans="2:16" ht="14.5">
      <c r="B206" s="33"/>
      <c r="C206" s="33"/>
      <c r="D206" s="33"/>
      <c r="E206" s="33"/>
      <c r="N206" s="1"/>
      <c r="O206" s="1"/>
      <c r="P206" s="1"/>
    </row>
    <row r="207" spans="2:16" ht="14.5">
      <c r="B207" s="33"/>
      <c r="C207" s="33"/>
      <c r="D207" s="33"/>
      <c r="E207" s="33"/>
      <c r="N207" s="1"/>
      <c r="O207" s="1"/>
      <c r="P207" s="1"/>
    </row>
    <row r="208" spans="2:16" ht="14.5">
      <c r="B208" s="33"/>
      <c r="C208" s="33"/>
      <c r="D208" s="33"/>
      <c r="E208" s="33"/>
      <c r="N208" s="1"/>
      <c r="O208" s="1"/>
      <c r="P208" s="1"/>
    </row>
    <row r="209" spans="2:16" ht="14.5">
      <c r="B209" s="33"/>
      <c r="C209" s="33"/>
      <c r="D209" s="33"/>
      <c r="E209" s="33"/>
      <c r="N209" s="1"/>
      <c r="O209" s="1"/>
      <c r="P209" s="1"/>
    </row>
    <row r="210" spans="2:16" ht="14.5">
      <c r="B210" s="33"/>
      <c r="C210" s="33"/>
      <c r="D210" s="33"/>
      <c r="E210" s="33"/>
      <c r="N210" s="1"/>
      <c r="O210" s="1"/>
      <c r="P210" s="1"/>
    </row>
    <row r="211" spans="2:16" ht="14.5">
      <c r="B211" s="33"/>
      <c r="C211" s="33"/>
      <c r="D211" s="33"/>
      <c r="E211" s="33"/>
      <c r="N211" s="1"/>
      <c r="O211" s="1"/>
      <c r="P211" s="1"/>
    </row>
    <row r="212" spans="2:16" ht="14.5">
      <c r="B212" s="33"/>
      <c r="C212" s="33"/>
      <c r="D212" s="33"/>
      <c r="E212" s="33"/>
      <c r="N212" s="1"/>
      <c r="O212" s="1"/>
      <c r="P212" s="1"/>
    </row>
    <row r="213" spans="2:16" ht="14.5">
      <c r="B213" s="33"/>
      <c r="C213" s="33"/>
      <c r="D213" s="33"/>
      <c r="E213" s="33"/>
      <c r="N213" s="1"/>
      <c r="O213" s="1"/>
      <c r="P213" s="1"/>
    </row>
    <row r="214" spans="2:16" ht="14.5">
      <c r="B214" s="33"/>
      <c r="C214" s="33"/>
      <c r="D214" s="33"/>
      <c r="E214" s="33"/>
      <c r="N214" s="1"/>
      <c r="O214" s="1"/>
      <c r="P214" s="1"/>
    </row>
    <row r="215" spans="2:16" ht="14.5">
      <c r="B215" s="33"/>
      <c r="C215" s="33"/>
      <c r="D215" s="33"/>
      <c r="E215" s="33"/>
      <c r="N215" s="1"/>
      <c r="O215" s="1"/>
      <c r="P215" s="1"/>
    </row>
    <row r="216" spans="2:16" ht="14.5">
      <c r="B216" s="33"/>
      <c r="C216" s="33"/>
      <c r="D216" s="33"/>
      <c r="E216" s="33"/>
      <c r="N216" s="1"/>
      <c r="O216" s="1"/>
      <c r="P216" s="1"/>
    </row>
    <row r="217" spans="2:16" ht="14.5">
      <c r="B217" s="33"/>
      <c r="C217" s="33"/>
      <c r="D217" s="33"/>
      <c r="E217" s="33"/>
      <c r="N217" s="1"/>
      <c r="O217" s="1"/>
      <c r="P217" s="1"/>
    </row>
    <row r="218" spans="2:16" ht="14.5">
      <c r="B218" s="33"/>
      <c r="C218" s="33"/>
      <c r="D218" s="33"/>
      <c r="E218" s="33"/>
      <c r="N218" s="1"/>
      <c r="O218" s="1"/>
      <c r="P218" s="1"/>
    </row>
    <row r="219" spans="2:16" ht="14.5">
      <c r="B219" s="33"/>
      <c r="C219" s="33"/>
      <c r="D219" s="33"/>
      <c r="E219" s="33"/>
      <c r="N219" s="1"/>
      <c r="O219" s="1"/>
      <c r="P219" s="1"/>
    </row>
    <row r="220" spans="2:16" ht="14.5">
      <c r="B220" s="33"/>
      <c r="C220" s="33"/>
      <c r="D220" s="33"/>
      <c r="E220" s="33"/>
      <c r="N220" s="1"/>
      <c r="O220" s="1"/>
      <c r="P220" s="1"/>
    </row>
    <row r="221" spans="2:16" ht="14.5">
      <c r="B221" s="33"/>
      <c r="C221" s="33"/>
      <c r="D221" s="33"/>
      <c r="E221" s="33"/>
      <c r="N221" s="1"/>
      <c r="O221" s="1"/>
      <c r="P221" s="1"/>
    </row>
    <row r="222" spans="2:16" ht="14.5">
      <c r="B222" s="33"/>
      <c r="C222" s="33"/>
      <c r="D222" s="33"/>
      <c r="E222" s="33"/>
      <c r="N222" s="1"/>
      <c r="O222" s="1"/>
      <c r="P222" s="1"/>
    </row>
    <row r="223" spans="2:16" ht="14.5">
      <c r="B223" s="33"/>
      <c r="C223" s="33"/>
      <c r="D223" s="33"/>
      <c r="E223" s="33"/>
      <c r="N223" s="1"/>
      <c r="O223" s="1"/>
      <c r="P223" s="1"/>
    </row>
    <row r="224" spans="2:16" ht="14.5">
      <c r="B224" s="33"/>
      <c r="C224" s="33"/>
      <c r="D224" s="33"/>
      <c r="E224" s="33"/>
      <c r="N224" s="1"/>
      <c r="O224" s="1"/>
      <c r="P224" s="1"/>
    </row>
    <row r="225" spans="2:16" ht="14.5">
      <c r="B225" s="33"/>
      <c r="C225" s="33"/>
      <c r="D225" s="33"/>
      <c r="E225" s="33"/>
      <c r="N225" s="1"/>
      <c r="O225" s="1"/>
      <c r="P225" s="1"/>
    </row>
    <row r="226" spans="2:16" ht="14.5">
      <c r="B226" s="33"/>
      <c r="C226" s="33"/>
      <c r="D226" s="33"/>
      <c r="E226" s="33"/>
      <c r="N226" s="1"/>
      <c r="O226" s="1"/>
      <c r="P226" s="1"/>
    </row>
    <row r="227" spans="2:16" ht="14.5">
      <c r="B227" s="33"/>
      <c r="C227" s="33"/>
      <c r="D227" s="33"/>
      <c r="E227" s="33"/>
      <c r="N227" s="1"/>
      <c r="O227" s="1"/>
      <c r="P227" s="1"/>
    </row>
    <row r="228" spans="2:16" ht="14.5">
      <c r="B228" s="33"/>
      <c r="C228" s="33"/>
      <c r="D228" s="33"/>
      <c r="E228" s="33"/>
      <c r="N228" s="1"/>
      <c r="O228" s="1"/>
      <c r="P228" s="1"/>
    </row>
    <row r="229" spans="2:16" ht="14.5">
      <c r="B229" s="33"/>
      <c r="C229" s="33"/>
      <c r="D229" s="33"/>
      <c r="E229" s="33"/>
      <c r="N229" s="1"/>
      <c r="O229" s="1"/>
      <c r="P229" s="1"/>
    </row>
    <row r="230" spans="2:16" ht="14.5">
      <c r="B230" s="33"/>
      <c r="C230" s="33"/>
      <c r="D230" s="33"/>
      <c r="E230" s="33"/>
      <c r="N230" s="1"/>
      <c r="O230" s="1"/>
      <c r="P230" s="1"/>
    </row>
    <row r="231" spans="2:16" ht="14.5">
      <c r="B231" s="33"/>
      <c r="C231" s="33"/>
      <c r="D231" s="33"/>
      <c r="E231" s="33"/>
      <c r="N231" s="1"/>
      <c r="O231" s="1"/>
      <c r="P231" s="1"/>
    </row>
    <row r="232" spans="2:16" ht="14.5">
      <c r="B232" s="33"/>
      <c r="C232" s="33"/>
      <c r="D232" s="33"/>
      <c r="E232" s="33"/>
      <c r="N232" s="1"/>
      <c r="O232" s="1"/>
      <c r="P232" s="1"/>
    </row>
    <row r="233" spans="2:16" ht="14.5">
      <c r="B233" s="33"/>
      <c r="C233" s="33"/>
      <c r="D233" s="33"/>
      <c r="E233" s="33"/>
      <c r="N233" s="1"/>
      <c r="O233" s="1"/>
      <c r="P233" s="1"/>
    </row>
    <row r="234" spans="2:16" ht="14.5">
      <c r="B234" s="33"/>
      <c r="C234" s="33"/>
      <c r="D234" s="33"/>
      <c r="E234" s="33"/>
      <c r="N234" s="1"/>
      <c r="O234" s="1"/>
      <c r="P234" s="1"/>
    </row>
    <row r="235" spans="2:16" ht="14.5">
      <c r="B235" s="33"/>
      <c r="C235" s="33"/>
      <c r="D235" s="33"/>
      <c r="E235" s="33"/>
      <c r="N235" s="1"/>
      <c r="O235" s="1"/>
      <c r="P235" s="1"/>
    </row>
    <row r="236" spans="2:16" ht="14.5">
      <c r="B236" s="33"/>
      <c r="C236" s="33"/>
      <c r="D236" s="33"/>
      <c r="E236" s="33"/>
      <c r="N236" s="1"/>
      <c r="O236" s="1"/>
      <c r="P236" s="1"/>
    </row>
    <row r="237" spans="2:16" ht="14.5">
      <c r="B237" s="33"/>
      <c r="C237" s="33"/>
      <c r="D237" s="33"/>
      <c r="E237" s="33"/>
      <c r="N237" s="1"/>
      <c r="O237" s="1"/>
      <c r="P237" s="1"/>
    </row>
    <row r="238" spans="2:16" ht="14.5">
      <c r="B238" s="33"/>
      <c r="C238" s="33"/>
      <c r="D238" s="33"/>
      <c r="E238" s="33"/>
      <c r="N238" s="1"/>
      <c r="O238" s="1"/>
      <c r="P238" s="1"/>
    </row>
    <row r="239" spans="2:16" ht="14.5">
      <c r="B239" s="33"/>
      <c r="C239" s="33"/>
      <c r="D239" s="33"/>
      <c r="E239" s="33"/>
      <c r="N239" s="1"/>
      <c r="O239" s="1"/>
      <c r="P239" s="1"/>
    </row>
    <row r="240" spans="2:16" ht="14.5">
      <c r="B240" s="33"/>
      <c r="C240" s="33"/>
      <c r="D240" s="33"/>
      <c r="E240" s="33"/>
      <c r="N240" s="1"/>
      <c r="O240" s="1"/>
      <c r="P240" s="1"/>
    </row>
    <row r="241" spans="2:16" ht="14.5">
      <c r="B241" s="33"/>
      <c r="C241" s="33"/>
      <c r="D241" s="33"/>
      <c r="E241" s="33"/>
      <c r="N241" s="1"/>
      <c r="O241" s="1"/>
      <c r="P241" s="1"/>
    </row>
    <row r="242" spans="2:16" ht="14.5">
      <c r="B242" s="33"/>
      <c r="C242" s="33"/>
      <c r="D242" s="33"/>
      <c r="E242" s="33"/>
      <c r="N242" s="1"/>
      <c r="O242" s="1"/>
      <c r="P242" s="1"/>
    </row>
    <row r="243" spans="2:16" ht="14.5">
      <c r="B243" s="33"/>
      <c r="C243" s="33"/>
      <c r="D243" s="33"/>
      <c r="E243" s="33"/>
      <c r="N243" s="1"/>
      <c r="O243" s="1"/>
      <c r="P243" s="1"/>
    </row>
    <row r="244" spans="2:16" ht="14.5">
      <c r="B244" s="33"/>
      <c r="C244" s="33"/>
      <c r="D244" s="33"/>
      <c r="E244" s="33"/>
      <c r="N244" s="1"/>
      <c r="O244" s="1"/>
      <c r="P244" s="1"/>
    </row>
    <row r="245" spans="2:16" ht="14.5">
      <c r="B245" s="33"/>
      <c r="C245" s="33"/>
      <c r="D245" s="33"/>
      <c r="E245" s="33"/>
      <c r="N245" s="1"/>
      <c r="O245" s="1"/>
      <c r="P245" s="1"/>
    </row>
    <row r="246" spans="2:16" ht="14.5">
      <c r="B246" s="33"/>
      <c r="C246" s="33"/>
      <c r="D246" s="33"/>
      <c r="E246" s="33"/>
      <c r="N246" s="1"/>
      <c r="O246" s="1"/>
      <c r="P246" s="1"/>
    </row>
    <row r="247" spans="2:16" ht="14.5">
      <c r="B247" s="33"/>
      <c r="C247" s="33"/>
      <c r="D247" s="33"/>
      <c r="E247" s="33"/>
      <c r="N247" s="1"/>
      <c r="O247" s="1"/>
      <c r="P247" s="1"/>
    </row>
    <row r="248" spans="2:16" ht="14.5">
      <c r="B248" s="33"/>
      <c r="C248" s="33"/>
      <c r="D248" s="33"/>
      <c r="E248" s="33"/>
      <c r="N248" s="1"/>
      <c r="O248" s="1"/>
      <c r="P248" s="1"/>
    </row>
    <row r="249" spans="2:16" ht="14.5">
      <c r="B249" s="33"/>
      <c r="C249" s="33"/>
      <c r="D249" s="33"/>
      <c r="E249" s="33"/>
      <c r="N249" s="1"/>
      <c r="O249" s="1"/>
      <c r="P249" s="1"/>
    </row>
    <row r="250" spans="2:16" ht="14.5">
      <c r="B250" s="33"/>
      <c r="C250" s="33"/>
      <c r="D250" s="33"/>
      <c r="E250" s="33"/>
      <c r="N250" s="1"/>
      <c r="O250" s="1"/>
      <c r="P250" s="1"/>
    </row>
    <row r="251" spans="2:16" ht="14.5">
      <c r="B251" s="33"/>
      <c r="C251" s="33"/>
      <c r="D251" s="33"/>
      <c r="E251" s="33"/>
      <c r="N251" s="1"/>
      <c r="O251" s="1"/>
      <c r="P251" s="1"/>
    </row>
    <row r="252" spans="2:16" ht="14.5">
      <c r="B252" s="33"/>
      <c r="C252" s="33"/>
      <c r="D252" s="33"/>
      <c r="E252" s="33"/>
      <c r="N252" s="1"/>
      <c r="O252" s="1"/>
      <c r="P252" s="1"/>
    </row>
    <row r="253" spans="2:16" ht="14.5">
      <c r="B253" s="33"/>
      <c r="C253" s="33"/>
      <c r="D253" s="33"/>
      <c r="E253" s="33"/>
      <c r="N253" s="1"/>
      <c r="O253" s="1"/>
      <c r="P253" s="1"/>
    </row>
    <row r="254" spans="2:16" ht="14.5">
      <c r="B254" s="33"/>
      <c r="C254" s="33"/>
      <c r="D254" s="33"/>
      <c r="E254" s="33"/>
      <c r="N254" s="1"/>
      <c r="O254" s="1"/>
      <c r="P254" s="1"/>
    </row>
    <row r="255" spans="2:16" ht="14.5">
      <c r="B255" s="33"/>
      <c r="C255" s="33"/>
      <c r="D255" s="33"/>
      <c r="E255" s="33"/>
      <c r="N255" s="1"/>
      <c r="O255" s="1"/>
      <c r="P255" s="1"/>
    </row>
    <row r="256" spans="2:16" ht="14.5">
      <c r="B256" s="33"/>
      <c r="C256" s="33"/>
      <c r="D256" s="33"/>
      <c r="E256" s="33"/>
      <c r="N256" s="1"/>
      <c r="O256" s="1"/>
      <c r="P256" s="1"/>
    </row>
    <row r="257" spans="2:16" ht="14.5">
      <c r="B257" s="33"/>
      <c r="C257" s="33"/>
      <c r="D257" s="33"/>
      <c r="E257" s="33"/>
      <c r="N257" s="1"/>
      <c r="O257" s="1"/>
      <c r="P257" s="1"/>
    </row>
    <row r="258" spans="2:16" ht="14.5">
      <c r="B258" s="33"/>
      <c r="C258" s="33"/>
      <c r="D258" s="33"/>
      <c r="E258" s="33"/>
      <c r="N258" s="1"/>
      <c r="O258" s="1"/>
      <c r="P258" s="1"/>
    </row>
    <row r="259" spans="2:16" ht="14.5">
      <c r="B259" s="33"/>
      <c r="C259" s="33"/>
      <c r="D259" s="33"/>
      <c r="E259" s="33"/>
      <c r="N259" s="1"/>
      <c r="O259" s="1"/>
      <c r="P259" s="1"/>
    </row>
    <row r="260" spans="2:16" ht="14.5">
      <c r="B260" s="33"/>
      <c r="C260" s="33"/>
      <c r="D260" s="33"/>
      <c r="E260" s="33"/>
      <c r="N260" s="1"/>
      <c r="O260" s="1"/>
      <c r="P260" s="1"/>
    </row>
    <row r="261" spans="2:16" ht="14.5">
      <c r="B261" s="33"/>
      <c r="C261" s="33"/>
      <c r="D261" s="33"/>
      <c r="E261" s="33"/>
      <c r="N261" s="1"/>
      <c r="O261" s="1"/>
      <c r="P261" s="1"/>
    </row>
    <row r="262" spans="2:16" ht="14.5">
      <c r="B262" s="33"/>
      <c r="C262" s="33"/>
      <c r="D262" s="33"/>
      <c r="E262" s="33"/>
      <c r="N262" s="1"/>
      <c r="O262" s="1"/>
      <c r="P262" s="1"/>
    </row>
    <row r="263" spans="2:16" ht="14.5">
      <c r="B263" s="33"/>
      <c r="C263" s="33"/>
      <c r="D263" s="33"/>
      <c r="E263" s="33"/>
      <c r="N263" s="1"/>
      <c r="O263" s="1"/>
      <c r="P263" s="1"/>
    </row>
    <row r="264" spans="2:16" ht="14.5">
      <c r="B264" s="33"/>
      <c r="C264" s="33"/>
      <c r="D264" s="33"/>
      <c r="E264" s="33"/>
      <c r="N264" s="1"/>
      <c r="O264" s="1"/>
      <c r="P264" s="1"/>
    </row>
    <row r="265" spans="2:16" ht="14.5">
      <c r="B265" s="33"/>
      <c r="C265" s="33"/>
      <c r="D265" s="33"/>
      <c r="E265" s="33"/>
      <c r="N265" s="1"/>
      <c r="O265" s="1"/>
      <c r="P265" s="1"/>
    </row>
    <row r="266" spans="2:16" ht="14.5">
      <c r="B266" s="33"/>
      <c r="C266" s="33"/>
      <c r="D266" s="33"/>
      <c r="E266" s="33"/>
      <c r="N266" s="1"/>
      <c r="O266" s="1"/>
      <c r="P266" s="1"/>
    </row>
    <row r="267" spans="2:16" ht="14.5">
      <c r="B267" s="33"/>
      <c r="C267" s="33"/>
      <c r="D267" s="33"/>
      <c r="E267" s="33"/>
      <c r="N267" s="1"/>
      <c r="O267" s="1"/>
      <c r="P267" s="1"/>
    </row>
    <row r="268" spans="2:16" ht="14.5">
      <c r="B268" s="33"/>
      <c r="C268" s="33"/>
      <c r="D268" s="33"/>
      <c r="E268" s="33"/>
      <c r="N268" s="1"/>
      <c r="O268" s="1"/>
      <c r="P268" s="1"/>
    </row>
    <row r="269" spans="2:16" ht="14.5">
      <c r="B269" s="33"/>
      <c r="C269" s="33"/>
      <c r="D269" s="33"/>
      <c r="E269" s="33"/>
      <c r="N269" s="1"/>
      <c r="O269" s="1"/>
      <c r="P269" s="1"/>
    </row>
    <row r="270" spans="2:16" ht="14.5">
      <c r="B270" s="33"/>
      <c r="C270" s="33"/>
      <c r="D270" s="33"/>
      <c r="E270" s="33"/>
      <c r="N270" s="1"/>
      <c r="O270" s="1"/>
      <c r="P270" s="1"/>
    </row>
    <row r="271" spans="2:16" ht="14.5">
      <c r="B271" s="33"/>
      <c r="C271" s="33"/>
      <c r="D271" s="33"/>
      <c r="E271" s="33"/>
      <c r="N271" s="1"/>
      <c r="O271" s="1"/>
      <c r="P271" s="1"/>
    </row>
    <row r="272" spans="2:16" ht="14.5">
      <c r="B272" s="33"/>
      <c r="C272" s="33"/>
      <c r="D272" s="33"/>
      <c r="E272" s="33"/>
      <c r="N272" s="1"/>
      <c r="O272" s="1"/>
      <c r="P272" s="1"/>
    </row>
    <row r="273" spans="2:16" ht="14.5">
      <c r="B273" s="33"/>
      <c r="C273" s="33"/>
      <c r="D273" s="33"/>
      <c r="E273" s="33"/>
      <c r="N273" s="1"/>
      <c r="O273" s="1"/>
      <c r="P273" s="1"/>
    </row>
    <row r="274" spans="2:16" ht="14.5">
      <c r="B274" s="33"/>
      <c r="C274" s="33"/>
      <c r="D274" s="33"/>
      <c r="E274" s="33"/>
      <c r="N274" s="1"/>
      <c r="O274" s="1"/>
      <c r="P274" s="1"/>
    </row>
    <row r="275" spans="2:16" ht="14.5">
      <c r="B275" s="33"/>
      <c r="C275" s="33"/>
      <c r="D275" s="33"/>
      <c r="E275" s="33"/>
      <c r="N275" s="1"/>
      <c r="O275" s="1"/>
      <c r="P275" s="1"/>
    </row>
    <row r="276" spans="2:16" ht="14.5">
      <c r="B276" s="33"/>
      <c r="C276" s="33"/>
      <c r="D276" s="33"/>
      <c r="E276" s="33"/>
      <c r="N276" s="1"/>
      <c r="O276" s="1"/>
      <c r="P276" s="1"/>
    </row>
    <row r="277" spans="2:16" ht="14.5">
      <c r="B277" s="33"/>
      <c r="C277" s="33"/>
      <c r="D277" s="33"/>
      <c r="E277" s="33"/>
      <c r="N277" s="1"/>
      <c r="O277" s="1"/>
      <c r="P277" s="1"/>
    </row>
    <row r="278" spans="2:16" ht="14.5">
      <c r="B278" s="33"/>
      <c r="C278" s="33"/>
      <c r="D278" s="33"/>
      <c r="E278" s="33"/>
      <c r="N278" s="1"/>
      <c r="O278" s="1"/>
      <c r="P278" s="1"/>
    </row>
    <row r="279" spans="2:16" ht="14.5">
      <c r="B279" s="33"/>
      <c r="C279" s="33"/>
      <c r="D279" s="33"/>
      <c r="E279" s="33"/>
      <c r="N279" s="1"/>
      <c r="O279" s="1"/>
      <c r="P279" s="1"/>
    </row>
    <row r="280" spans="2:16" ht="14.5">
      <c r="B280" s="33"/>
      <c r="C280" s="33"/>
      <c r="D280" s="33"/>
      <c r="E280" s="33"/>
      <c r="N280" s="1"/>
      <c r="O280" s="1"/>
      <c r="P280" s="1"/>
    </row>
    <row r="281" spans="2:16" ht="14.5">
      <c r="B281" s="33"/>
      <c r="C281" s="33"/>
      <c r="D281" s="33"/>
      <c r="E281" s="33"/>
      <c r="N281" s="1"/>
      <c r="O281" s="1"/>
      <c r="P281" s="1"/>
    </row>
    <row r="282" spans="2:16" ht="14.5">
      <c r="B282" s="33"/>
      <c r="C282" s="33"/>
      <c r="D282" s="33"/>
      <c r="E282" s="33"/>
      <c r="N282" s="1"/>
      <c r="O282" s="1"/>
      <c r="P282" s="1"/>
    </row>
    <row r="283" spans="2:16" ht="14.5">
      <c r="B283" s="33"/>
      <c r="C283" s="33"/>
      <c r="D283" s="33"/>
      <c r="E283" s="33"/>
      <c r="N283" s="1"/>
      <c r="O283" s="1"/>
      <c r="P283" s="1"/>
    </row>
    <row r="284" spans="2:16" ht="14.5">
      <c r="B284" s="33"/>
      <c r="C284" s="33"/>
      <c r="D284" s="33"/>
      <c r="E284" s="33"/>
      <c r="N284" s="1"/>
      <c r="O284" s="1"/>
      <c r="P284" s="1"/>
    </row>
    <row r="285" spans="2:16" ht="14.5">
      <c r="B285" s="33"/>
      <c r="C285" s="33"/>
      <c r="D285" s="33"/>
      <c r="E285" s="33"/>
      <c r="N285" s="1"/>
      <c r="O285" s="1"/>
      <c r="P285" s="1"/>
    </row>
    <row r="286" spans="2:16" ht="14.5">
      <c r="B286" s="33"/>
      <c r="C286" s="33"/>
      <c r="D286" s="33"/>
      <c r="E286" s="33"/>
      <c r="N286" s="1"/>
      <c r="O286" s="1"/>
      <c r="P286" s="1"/>
    </row>
    <row r="287" spans="2:16" ht="14.5">
      <c r="B287" s="33"/>
      <c r="C287" s="33"/>
      <c r="D287" s="33"/>
      <c r="E287" s="33"/>
      <c r="N287" s="1"/>
      <c r="O287" s="1"/>
      <c r="P287" s="1"/>
    </row>
    <row r="288" spans="2:16" ht="14.5">
      <c r="B288" s="33"/>
      <c r="C288" s="33"/>
      <c r="D288" s="33"/>
      <c r="E288" s="33"/>
      <c r="N288" s="1"/>
      <c r="O288" s="1"/>
      <c r="P288" s="1"/>
    </row>
    <row r="289" spans="2:16" ht="14.5">
      <c r="B289" s="33"/>
      <c r="C289" s="33"/>
      <c r="D289" s="33"/>
      <c r="E289" s="33"/>
      <c r="N289" s="1"/>
      <c r="O289" s="1"/>
      <c r="P289" s="1"/>
    </row>
    <row r="290" spans="2:16" ht="14.5">
      <c r="B290" s="33"/>
      <c r="C290" s="33"/>
      <c r="D290" s="33"/>
      <c r="E290" s="33"/>
      <c r="N290" s="1"/>
      <c r="O290" s="1"/>
      <c r="P290" s="1"/>
    </row>
    <row r="291" spans="2:16" ht="14.5">
      <c r="B291" s="33"/>
      <c r="C291" s="33"/>
      <c r="D291" s="33"/>
      <c r="E291" s="33"/>
      <c r="N291" s="1"/>
      <c r="O291" s="1"/>
      <c r="P291" s="1"/>
    </row>
    <row r="292" spans="2:16" ht="14.5">
      <c r="B292" s="33"/>
      <c r="C292" s="33"/>
      <c r="D292" s="33"/>
      <c r="E292" s="33"/>
      <c r="N292" s="1"/>
      <c r="O292" s="1"/>
      <c r="P292" s="1"/>
    </row>
    <row r="293" spans="2:16" ht="14.5">
      <c r="B293" s="33"/>
      <c r="C293" s="33"/>
      <c r="D293" s="33"/>
      <c r="E293" s="33"/>
      <c r="N293" s="1"/>
      <c r="O293" s="1"/>
      <c r="P293" s="1"/>
    </row>
    <row r="294" spans="2:16" ht="14.5">
      <c r="B294" s="33"/>
      <c r="C294" s="33"/>
      <c r="D294" s="33"/>
      <c r="E294" s="33"/>
      <c r="N294" s="1"/>
      <c r="O294" s="1"/>
      <c r="P294" s="1"/>
    </row>
    <row r="295" spans="2:16" ht="14.5">
      <c r="B295" s="33"/>
      <c r="C295" s="33"/>
      <c r="D295" s="33"/>
      <c r="E295" s="33"/>
      <c r="N295" s="1"/>
      <c r="O295" s="1"/>
      <c r="P295" s="1"/>
    </row>
    <row r="296" spans="2:16" ht="14.5">
      <c r="B296" s="33"/>
      <c r="C296" s="33"/>
      <c r="D296" s="33"/>
      <c r="E296" s="33"/>
      <c r="N296" s="1"/>
      <c r="O296" s="1"/>
      <c r="P296" s="1"/>
    </row>
    <row r="297" spans="2:16" ht="14.5">
      <c r="B297" s="33"/>
      <c r="C297" s="33"/>
      <c r="D297" s="33"/>
      <c r="E297" s="33"/>
      <c r="N297" s="1"/>
      <c r="O297" s="1"/>
      <c r="P297" s="1"/>
    </row>
    <row r="298" spans="2:16" ht="14.5">
      <c r="B298" s="33"/>
      <c r="C298" s="33"/>
      <c r="D298" s="33"/>
      <c r="E298" s="33"/>
      <c r="N298" s="1"/>
      <c r="O298" s="1"/>
      <c r="P298" s="1"/>
    </row>
    <row r="299" spans="2:16" ht="14.5">
      <c r="B299" s="33"/>
      <c r="C299" s="33"/>
      <c r="D299" s="33"/>
      <c r="E299" s="33"/>
      <c r="N299" s="1"/>
      <c r="O299" s="1"/>
      <c r="P299" s="1"/>
    </row>
    <row r="300" spans="2:16" ht="14.5">
      <c r="B300" s="33"/>
      <c r="C300" s="33"/>
      <c r="D300" s="33"/>
      <c r="E300" s="33"/>
      <c r="N300" s="1"/>
      <c r="O300" s="1"/>
      <c r="P300" s="1"/>
    </row>
    <row r="301" spans="2:16" ht="14.5">
      <c r="B301" s="33"/>
      <c r="C301" s="33"/>
      <c r="D301" s="33"/>
      <c r="E301" s="33"/>
      <c r="N301" s="1"/>
      <c r="O301" s="1"/>
      <c r="P301" s="1"/>
    </row>
    <row r="302" spans="2:16" ht="14.5">
      <c r="B302" s="33"/>
      <c r="C302" s="33"/>
      <c r="D302" s="33"/>
      <c r="E302" s="33"/>
      <c r="N302" s="1"/>
      <c r="O302" s="1"/>
      <c r="P302" s="1"/>
    </row>
    <row r="303" spans="2:16" ht="14.5">
      <c r="B303" s="33"/>
      <c r="C303" s="33"/>
      <c r="D303" s="33"/>
      <c r="E303" s="33"/>
      <c r="N303" s="1"/>
      <c r="O303" s="1"/>
      <c r="P303" s="1"/>
    </row>
    <row r="304" spans="2:16" ht="14.5">
      <c r="B304" s="33"/>
      <c r="C304" s="33"/>
      <c r="D304" s="33"/>
      <c r="E304" s="33"/>
      <c r="N304" s="1"/>
      <c r="O304" s="1"/>
      <c r="P304" s="1"/>
    </row>
    <row r="305" spans="2:16" ht="14.5">
      <c r="B305" s="33"/>
      <c r="C305" s="33"/>
      <c r="D305" s="33"/>
      <c r="E305" s="33"/>
      <c r="N305" s="1"/>
      <c r="O305" s="1"/>
      <c r="P305" s="1"/>
    </row>
    <row r="306" spans="2:16" ht="14.5">
      <c r="B306" s="33"/>
      <c r="C306" s="33"/>
      <c r="D306" s="33"/>
      <c r="E306" s="33"/>
      <c r="N306" s="1"/>
      <c r="O306" s="1"/>
      <c r="P306" s="1"/>
    </row>
    <row r="307" spans="2:16" ht="14.5">
      <c r="B307" s="33"/>
      <c r="C307" s="33"/>
      <c r="D307" s="33"/>
      <c r="E307" s="33"/>
      <c r="N307" s="1"/>
      <c r="O307" s="1"/>
      <c r="P307" s="1"/>
    </row>
    <row r="308" spans="2:16" ht="14.5">
      <c r="B308" s="33"/>
      <c r="C308" s="33"/>
      <c r="D308" s="33"/>
      <c r="E308" s="33"/>
      <c r="N308" s="1"/>
      <c r="O308" s="1"/>
      <c r="P308" s="1"/>
    </row>
    <row r="309" spans="2:16" ht="14.5">
      <c r="B309" s="33"/>
      <c r="C309" s="33"/>
      <c r="D309" s="33"/>
      <c r="E309" s="33"/>
      <c r="N309" s="1"/>
      <c r="O309" s="1"/>
      <c r="P309" s="1"/>
    </row>
    <row r="310" spans="2:16" ht="14.5">
      <c r="B310" s="33"/>
      <c r="C310" s="33"/>
      <c r="D310" s="33"/>
      <c r="E310" s="33"/>
      <c r="N310" s="1"/>
      <c r="O310" s="1"/>
      <c r="P310" s="1"/>
    </row>
    <row r="311" spans="2:16" ht="14.5">
      <c r="B311" s="33"/>
      <c r="C311" s="33"/>
      <c r="D311" s="33"/>
      <c r="E311" s="33"/>
      <c r="N311" s="1"/>
      <c r="O311" s="1"/>
      <c r="P311" s="1"/>
    </row>
    <row r="312" spans="2:16" ht="14.5">
      <c r="B312" s="33"/>
      <c r="C312" s="33"/>
      <c r="D312" s="33"/>
      <c r="E312" s="33"/>
      <c r="N312" s="1"/>
      <c r="O312" s="1"/>
      <c r="P312" s="1"/>
    </row>
    <row r="313" spans="2:16" ht="14.5">
      <c r="B313" s="33"/>
      <c r="C313" s="33"/>
      <c r="D313" s="33"/>
      <c r="E313" s="33"/>
      <c r="N313" s="1"/>
      <c r="O313" s="1"/>
      <c r="P313" s="1"/>
    </row>
    <row r="314" spans="2:16" ht="14.5">
      <c r="B314" s="33"/>
      <c r="C314" s="33"/>
      <c r="D314" s="33"/>
      <c r="E314" s="33"/>
      <c r="N314" s="1"/>
      <c r="O314" s="1"/>
      <c r="P314" s="1"/>
    </row>
    <row r="315" spans="2:16" ht="14.5">
      <c r="B315" s="33"/>
      <c r="C315" s="33"/>
      <c r="D315" s="33"/>
      <c r="E315" s="33"/>
      <c r="N315" s="1"/>
      <c r="O315" s="1"/>
      <c r="P315" s="1"/>
    </row>
    <row r="316" spans="2:16" ht="14.5">
      <c r="B316" s="33"/>
      <c r="C316" s="33"/>
      <c r="D316" s="33"/>
      <c r="E316" s="33"/>
      <c r="N316" s="1"/>
      <c r="O316" s="1"/>
      <c r="P316" s="1"/>
    </row>
    <row r="317" spans="2:16" ht="14.5">
      <c r="B317" s="33"/>
      <c r="C317" s="33"/>
      <c r="D317" s="33"/>
      <c r="E317" s="33"/>
      <c r="N317" s="1"/>
      <c r="O317" s="1"/>
      <c r="P317" s="1"/>
    </row>
    <row r="318" spans="2:16" ht="14.5">
      <c r="B318" s="33"/>
      <c r="C318" s="33"/>
      <c r="D318" s="33"/>
      <c r="E318" s="33"/>
      <c r="N318" s="1"/>
      <c r="O318" s="1"/>
      <c r="P318" s="1"/>
    </row>
    <row r="319" spans="2:16" ht="14.5">
      <c r="B319" s="33"/>
      <c r="C319" s="33"/>
      <c r="D319" s="33"/>
      <c r="E319" s="33"/>
      <c r="N319" s="1"/>
      <c r="O319" s="1"/>
      <c r="P319" s="1"/>
    </row>
    <row r="320" spans="2:16" ht="14.5">
      <c r="B320" s="33"/>
      <c r="C320" s="33"/>
      <c r="D320" s="33"/>
      <c r="E320" s="33"/>
      <c r="N320" s="1"/>
      <c r="O320" s="1"/>
      <c r="P320" s="1"/>
    </row>
    <row r="321" spans="2:16" ht="14.5">
      <c r="B321" s="33"/>
      <c r="C321" s="33"/>
      <c r="D321" s="33"/>
      <c r="E321" s="33"/>
      <c r="N321" s="1"/>
      <c r="O321" s="1"/>
      <c r="P321" s="1"/>
    </row>
    <row r="322" spans="2:16" ht="14.5">
      <c r="B322" s="33"/>
      <c r="C322" s="33"/>
      <c r="D322" s="33"/>
      <c r="E322" s="33"/>
      <c r="N322" s="1"/>
      <c r="O322" s="1"/>
      <c r="P322" s="1"/>
    </row>
    <row r="323" spans="2:16" ht="14.5">
      <c r="B323" s="33"/>
      <c r="C323" s="33"/>
      <c r="D323" s="33"/>
      <c r="E323" s="33"/>
      <c r="N323" s="1"/>
      <c r="O323" s="1"/>
      <c r="P323" s="1"/>
    </row>
    <row r="324" spans="2:16" ht="14.5">
      <c r="B324" s="33"/>
      <c r="C324" s="33"/>
      <c r="D324" s="33"/>
      <c r="E324" s="33"/>
      <c r="N324" s="1"/>
      <c r="O324" s="1"/>
      <c r="P324" s="1"/>
    </row>
    <row r="325" spans="2:16" ht="14.5">
      <c r="B325" s="33"/>
      <c r="C325" s="33"/>
      <c r="D325" s="33"/>
      <c r="E325" s="33"/>
      <c r="N325" s="1"/>
      <c r="O325" s="1"/>
      <c r="P325" s="1"/>
    </row>
    <row r="326" spans="2:16" ht="14.5">
      <c r="B326" s="33"/>
      <c r="C326" s="33"/>
      <c r="D326" s="33"/>
      <c r="E326" s="33"/>
      <c r="N326" s="1"/>
      <c r="O326" s="1"/>
      <c r="P326" s="1"/>
    </row>
    <row r="327" spans="2:16" ht="14.5">
      <c r="B327" s="33"/>
      <c r="C327" s="33"/>
      <c r="D327" s="33"/>
      <c r="E327" s="33"/>
      <c r="N327" s="1"/>
      <c r="O327" s="1"/>
      <c r="P327" s="1"/>
    </row>
    <row r="328" spans="2:16" ht="14.5">
      <c r="B328" s="33"/>
      <c r="C328" s="33"/>
      <c r="D328" s="33"/>
      <c r="E328" s="33"/>
      <c r="N328" s="1"/>
      <c r="O328" s="1"/>
      <c r="P328" s="1"/>
    </row>
    <row r="329" spans="2:16" ht="14.5">
      <c r="B329" s="33"/>
      <c r="C329" s="33"/>
      <c r="D329" s="33"/>
      <c r="E329" s="33"/>
      <c r="N329" s="1"/>
      <c r="O329" s="1"/>
      <c r="P329" s="1"/>
    </row>
    <row r="330" spans="2:16" ht="14.5">
      <c r="B330" s="33"/>
      <c r="C330" s="33"/>
      <c r="D330" s="33"/>
      <c r="E330" s="33"/>
      <c r="N330" s="1"/>
      <c r="O330" s="1"/>
      <c r="P330" s="1"/>
    </row>
    <row r="331" spans="2:16" ht="14.5">
      <c r="B331" s="33"/>
      <c r="C331" s="33"/>
      <c r="D331" s="33"/>
      <c r="E331" s="33"/>
      <c r="N331" s="1"/>
      <c r="O331" s="1"/>
      <c r="P331" s="1"/>
    </row>
    <row r="332" spans="2:16" ht="14.5">
      <c r="B332" s="33"/>
      <c r="C332" s="33"/>
      <c r="D332" s="33"/>
      <c r="E332" s="33"/>
      <c r="N332" s="1"/>
      <c r="O332" s="1"/>
      <c r="P332" s="1"/>
    </row>
    <row r="333" spans="2:16" ht="14.5">
      <c r="B333" s="33"/>
      <c r="C333" s="33"/>
      <c r="D333" s="33"/>
      <c r="E333" s="33"/>
      <c r="N333" s="1"/>
      <c r="O333" s="1"/>
      <c r="P333" s="1"/>
    </row>
    <row r="334" spans="2:16" ht="14.5">
      <c r="B334" s="33"/>
      <c r="C334" s="33"/>
      <c r="D334" s="33"/>
      <c r="E334" s="33"/>
      <c r="N334" s="1"/>
      <c r="O334" s="1"/>
      <c r="P334" s="1"/>
    </row>
    <row r="335" spans="2:16" ht="14.5">
      <c r="B335" s="33"/>
      <c r="C335" s="33"/>
      <c r="D335" s="33"/>
      <c r="E335" s="33"/>
      <c r="N335" s="1"/>
      <c r="O335" s="1"/>
      <c r="P335" s="1"/>
    </row>
    <row r="336" spans="2:16" ht="14.5">
      <c r="B336" s="33"/>
      <c r="C336" s="33"/>
      <c r="D336" s="33"/>
      <c r="E336" s="33"/>
      <c r="N336" s="1"/>
      <c r="O336" s="1"/>
      <c r="P336" s="1"/>
    </row>
    <row r="337" spans="2:16" ht="14.5">
      <c r="B337" s="33"/>
      <c r="C337" s="33"/>
      <c r="D337" s="33"/>
      <c r="E337" s="33"/>
      <c r="N337" s="1"/>
      <c r="O337" s="1"/>
      <c r="P337" s="1"/>
    </row>
    <row r="338" spans="2:16" ht="14.5">
      <c r="B338" s="33"/>
      <c r="C338" s="33"/>
      <c r="D338" s="33"/>
      <c r="E338" s="33"/>
      <c r="N338" s="1"/>
      <c r="O338" s="1"/>
      <c r="P338" s="1"/>
    </row>
    <row r="339" spans="2:16" ht="14.5">
      <c r="B339" s="33"/>
      <c r="C339" s="33"/>
      <c r="D339" s="33"/>
      <c r="E339" s="33"/>
      <c r="N339" s="1"/>
      <c r="O339" s="1"/>
      <c r="P339" s="1"/>
    </row>
    <row r="340" spans="2:16" ht="14.5">
      <c r="B340" s="33"/>
      <c r="C340" s="33"/>
      <c r="D340" s="33"/>
      <c r="E340" s="33"/>
      <c r="N340" s="1"/>
      <c r="O340" s="1"/>
      <c r="P340" s="1"/>
    </row>
    <row r="341" spans="2:16" ht="14.5">
      <c r="B341" s="33"/>
      <c r="C341" s="33"/>
      <c r="D341" s="33"/>
      <c r="E341" s="33"/>
      <c r="N341" s="1"/>
      <c r="O341" s="1"/>
      <c r="P341" s="1"/>
    </row>
    <row r="342" spans="2:16" ht="14.5">
      <c r="B342" s="33"/>
      <c r="C342" s="33"/>
      <c r="D342" s="33"/>
      <c r="E342" s="33"/>
      <c r="N342" s="1"/>
      <c r="O342" s="1"/>
      <c r="P342" s="1"/>
    </row>
    <row r="343" spans="2:16" ht="14.5">
      <c r="B343" s="33"/>
      <c r="C343" s="33"/>
      <c r="D343" s="33"/>
      <c r="E343" s="33"/>
      <c r="N343" s="1"/>
      <c r="O343" s="1"/>
      <c r="P343" s="1"/>
    </row>
    <row r="344" spans="2:16" ht="14.5">
      <c r="B344" s="33"/>
      <c r="C344" s="33"/>
      <c r="D344" s="33"/>
      <c r="E344" s="33"/>
      <c r="N344" s="1"/>
      <c r="O344" s="1"/>
      <c r="P344" s="1"/>
    </row>
    <row r="345" spans="2:16" ht="14.5">
      <c r="B345" s="33"/>
      <c r="C345" s="33"/>
      <c r="D345" s="33"/>
      <c r="E345" s="33"/>
      <c r="N345" s="1"/>
      <c r="O345" s="1"/>
      <c r="P345" s="1"/>
    </row>
    <row r="346" spans="2:16" ht="14.5">
      <c r="B346" s="33"/>
      <c r="C346" s="33"/>
      <c r="D346" s="33"/>
      <c r="E346" s="33"/>
      <c r="N346" s="1"/>
      <c r="O346" s="1"/>
      <c r="P346" s="1"/>
    </row>
    <row r="347" spans="2:16" ht="14.5">
      <c r="B347" s="33"/>
      <c r="C347" s="33"/>
      <c r="D347" s="33"/>
      <c r="E347" s="33"/>
      <c r="N347" s="1"/>
      <c r="O347" s="1"/>
      <c r="P347" s="1"/>
    </row>
    <row r="348" spans="2:16" ht="14.5">
      <c r="B348" s="33"/>
      <c r="C348" s="33"/>
      <c r="D348" s="33"/>
      <c r="E348" s="33"/>
      <c r="N348" s="1"/>
      <c r="O348" s="1"/>
      <c r="P348" s="1"/>
    </row>
    <row r="349" spans="2:16" ht="14.5">
      <c r="B349" s="33"/>
      <c r="C349" s="33"/>
      <c r="D349" s="33"/>
      <c r="E349" s="33"/>
      <c r="N349" s="1"/>
      <c r="O349" s="1"/>
      <c r="P349" s="1"/>
    </row>
    <row r="350" spans="2:16" ht="14.5">
      <c r="B350" s="33"/>
      <c r="C350" s="33"/>
      <c r="D350" s="33"/>
      <c r="E350" s="33"/>
      <c r="N350" s="1"/>
      <c r="O350" s="1"/>
      <c r="P350" s="1"/>
    </row>
    <row r="351" spans="2:16" ht="14.5">
      <c r="B351" s="33"/>
      <c r="C351" s="33"/>
      <c r="D351" s="33"/>
      <c r="E351" s="33"/>
      <c r="N351" s="1"/>
      <c r="O351" s="1"/>
      <c r="P351" s="1"/>
    </row>
    <row r="352" spans="2:16" ht="14.5">
      <c r="B352" s="33"/>
      <c r="C352" s="33"/>
      <c r="D352" s="33"/>
      <c r="E352" s="33"/>
      <c r="N352" s="1"/>
      <c r="O352" s="1"/>
      <c r="P352" s="1"/>
    </row>
    <row r="353" spans="2:16" ht="14.5">
      <c r="B353" s="33"/>
      <c r="C353" s="33"/>
      <c r="D353" s="33"/>
      <c r="E353" s="33"/>
      <c r="N353" s="1"/>
      <c r="O353" s="1"/>
      <c r="P353" s="1"/>
    </row>
    <row r="354" spans="2:16" ht="14.5">
      <c r="B354" s="33"/>
      <c r="C354" s="33"/>
      <c r="D354" s="33"/>
      <c r="E354" s="33"/>
      <c r="N354" s="1"/>
      <c r="O354" s="1"/>
      <c r="P354" s="1"/>
    </row>
    <row r="355" spans="2:16" ht="14.5">
      <c r="B355" s="33"/>
      <c r="C355" s="33"/>
      <c r="D355" s="33"/>
      <c r="E355" s="33"/>
      <c r="N355" s="1"/>
      <c r="O355" s="1"/>
      <c r="P355" s="1"/>
    </row>
    <row r="356" spans="2:16" ht="14.5">
      <c r="B356" s="33"/>
      <c r="C356" s="33"/>
      <c r="D356" s="33"/>
      <c r="E356" s="33"/>
      <c r="N356" s="1"/>
      <c r="O356" s="1"/>
      <c r="P356" s="1"/>
    </row>
    <row r="357" spans="2:16" ht="14.5">
      <c r="B357" s="33"/>
      <c r="C357" s="33"/>
      <c r="D357" s="33"/>
      <c r="E357" s="33"/>
      <c r="N357" s="1"/>
      <c r="O357" s="1"/>
      <c r="P357" s="1"/>
    </row>
    <row r="358" spans="2:16" ht="14.5">
      <c r="B358" s="33"/>
      <c r="C358" s="33"/>
      <c r="D358" s="33"/>
      <c r="E358" s="33"/>
      <c r="N358" s="1"/>
      <c r="O358" s="1"/>
      <c r="P358" s="1"/>
    </row>
    <row r="359" spans="2:16" ht="14.5">
      <c r="B359" s="33"/>
      <c r="C359" s="33"/>
      <c r="D359" s="33"/>
      <c r="E359" s="33"/>
      <c r="N359" s="1"/>
      <c r="O359" s="1"/>
      <c r="P359" s="1"/>
    </row>
    <row r="360" spans="2:16" ht="14.5">
      <c r="B360" s="33"/>
      <c r="C360" s="33"/>
      <c r="D360" s="33"/>
      <c r="E360" s="33"/>
      <c r="N360" s="1"/>
      <c r="O360" s="1"/>
      <c r="P360" s="1"/>
    </row>
    <row r="361" spans="2:16" ht="14.5">
      <c r="B361" s="33"/>
      <c r="C361" s="33"/>
      <c r="D361" s="33"/>
      <c r="E361" s="33"/>
      <c r="N361" s="1"/>
      <c r="O361" s="1"/>
      <c r="P361" s="1"/>
    </row>
    <row r="362" spans="2:16" ht="14.5">
      <c r="B362" s="33"/>
      <c r="C362" s="33"/>
      <c r="D362" s="33"/>
      <c r="E362" s="33"/>
      <c r="N362" s="1"/>
      <c r="O362" s="1"/>
      <c r="P362" s="1"/>
    </row>
    <row r="363" spans="2:16" ht="14.5">
      <c r="B363" s="33"/>
      <c r="C363" s="33"/>
      <c r="D363" s="33"/>
      <c r="E363" s="33"/>
      <c r="N363" s="1"/>
      <c r="O363" s="1"/>
      <c r="P363" s="1"/>
    </row>
    <row r="364" spans="2:16" ht="14.5">
      <c r="B364" s="33"/>
      <c r="C364" s="33"/>
      <c r="D364" s="33"/>
      <c r="E364" s="33"/>
      <c r="N364" s="1"/>
      <c r="O364" s="1"/>
      <c r="P364" s="1"/>
    </row>
    <row r="365" spans="2:16" ht="14.5">
      <c r="B365" s="33"/>
      <c r="C365" s="33"/>
      <c r="D365" s="33"/>
      <c r="E365" s="33"/>
      <c r="N365" s="1"/>
      <c r="O365" s="1"/>
      <c r="P365" s="1"/>
    </row>
    <row r="366" spans="2:16" ht="14.5">
      <c r="B366" s="33"/>
      <c r="C366" s="33"/>
      <c r="D366" s="33"/>
      <c r="E366" s="33"/>
      <c r="N366" s="1"/>
      <c r="O366" s="1"/>
      <c r="P366" s="1"/>
    </row>
    <row r="367" spans="2:16" ht="14.5">
      <c r="B367" s="33"/>
      <c r="C367" s="33"/>
      <c r="D367" s="33"/>
      <c r="E367" s="33"/>
      <c r="N367" s="1"/>
      <c r="O367" s="1"/>
      <c r="P367" s="1"/>
    </row>
    <row r="368" spans="2:16" ht="14.5">
      <c r="B368" s="33"/>
      <c r="C368" s="33"/>
      <c r="D368" s="33"/>
      <c r="E368" s="33"/>
      <c r="N368" s="1"/>
      <c r="O368" s="1"/>
      <c r="P368" s="1"/>
    </row>
    <row r="369" spans="2:16" ht="14.5">
      <c r="B369" s="33"/>
      <c r="C369" s="33"/>
      <c r="D369" s="33"/>
      <c r="E369" s="33"/>
      <c r="N369" s="1"/>
      <c r="O369" s="1"/>
      <c r="P369" s="1"/>
    </row>
    <row r="370" spans="2:16" ht="14.5">
      <c r="B370" s="33"/>
      <c r="C370" s="33"/>
      <c r="D370" s="33"/>
      <c r="E370" s="33"/>
      <c r="N370" s="1"/>
      <c r="O370" s="1"/>
      <c r="P370" s="1"/>
    </row>
    <row r="371" spans="2:16" ht="14.5">
      <c r="B371" s="33"/>
      <c r="C371" s="33"/>
      <c r="D371" s="33"/>
      <c r="E371" s="33"/>
      <c r="N371" s="1"/>
      <c r="O371" s="1"/>
      <c r="P371" s="1"/>
    </row>
    <row r="372" spans="2:16" ht="14.5">
      <c r="B372" s="33"/>
      <c r="C372" s="33"/>
      <c r="D372" s="33"/>
      <c r="E372" s="33"/>
      <c r="N372" s="1"/>
      <c r="O372" s="1"/>
      <c r="P372" s="1"/>
    </row>
    <row r="373" spans="2:16" ht="14.5">
      <c r="B373" s="33"/>
      <c r="C373" s="33"/>
      <c r="D373" s="33"/>
      <c r="E373" s="33"/>
      <c r="N373" s="1"/>
      <c r="O373" s="1"/>
      <c r="P373" s="1"/>
    </row>
    <row r="374" spans="2:16" ht="14.5">
      <c r="B374" s="33"/>
      <c r="C374" s="33"/>
      <c r="D374" s="33"/>
      <c r="E374" s="33"/>
      <c r="N374" s="1"/>
      <c r="O374" s="1"/>
      <c r="P374" s="1"/>
    </row>
    <row r="375" spans="2:16" ht="14.5">
      <c r="B375" s="33"/>
      <c r="C375" s="33"/>
      <c r="D375" s="33"/>
      <c r="E375" s="33"/>
      <c r="N375" s="1"/>
      <c r="O375" s="1"/>
      <c r="P375" s="1"/>
    </row>
    <row r="376" spans="2:16" ht="14.5">
      <c r="B376" s="33"/>
      <c r="C376" s="33"/>
      <c r="D376" s="33"/>
      <c r="E376" s="33"/>
      <c r="N376" s="1"/>
      <c r="O376" s="1"/>
      <c r="P376" s="1"/>
    </row>
    <row r="377" spans="2:16" ht="14.5">
      <c r="B377" s="33"/>
      <c r="C377" s="33"/>
      <c r="D377" s="33"/>
      <c r="E377" s="33"/>
      <c r="N377" s="1"/>
      <c r="O377" s="1"/>
      <c r="P377" s="1"/>
    </row>
    <row r="378" spans="2:16" ht="14.5">
      <c r="B378" s="33"/>
      <c r="C378" s="33"/>
      <c r="D378" s="33"/>
      <c r="E378" s="33"/>
      <c r="N378" s="1"/>
      <c r="O378" s="1"/>
      <c r="P378" s="1"/>
    </row>
    <row r="379" spans="2:16" ht="14.5">
      <c r="B379" s="33"/>
      <c r="C379" s="33"/>
      <c r="D379" s="33"/>
      <c r="E379" s="33"/>
      <c r="N379" s="1"/>
      <c r="O379" s="1"/>
      <c r="P379" s="1"/>
    </row>
    <row r="380" spans="2:16" ht="14.5">
      <c r="B380" s="33"/>
      <c r="C380" s="33"/>
      <c r="D380" s="33"/>
      <c r="E380" s="33"/>
      <c r="N380" s="1"/>
      <c r="O380" s="1"/>
      <c r="P380" s="1"/>
    </row>
    <row r="381" spans="2:16" ht="14.5">
      <c r="B381" s="33"/>
      <c r="C381" s="33"/>
      <c r="D381" s="33"/>
      <c r="E381" s="33"/>
      <c r="N381" s="1"/>
      <c r="O381" s="1"/>
      <c r="P381" s="1"/>
    </row>
    <row r="382" spans="2:16" ht="14.5">
      <c r="B382" s="33"/>
      <c r="C382" s="33"/>
      <c r="D382" s="33"/>
      <c r="E382" s="33"/>
      <c r="N382" s="1"/>
      <c r="O382" s="1"/>
      <c r="P382" s="1"/>
    </row>
    <row r="383" spans="2:16" ht="14.5">
      <c r="B383" s="33"/>
      <c r="C383" s="33"/>
      <c r="D383" s="33"/>
      <c r="E383" s="33"/>
      <c r="N383" s="1"/>
      <c r="O383" s="1"/>
      <c r="P383" s="1"/>
    </row>
    <row r="384" spans="2:16" ht="14.5">
      <c r="B384" s="33"/>
      <c r="C384" s="33"/>
      <c r="D384" s="33"/>
      <c r="E384" s="33"/>
      <c r="N384" s="1"/>
      <c r="O384" s="1"/>
      <c r="P384" s="1"/>
    </row>
    <row r="385" spans="2:16" ht="14.5">
      <c r="B385" s="33"/>
      <c r="C385" s="33"/>
      <c r="D385" s="33"/>
      <c r="E385" s="33"/>
      <c r="N385" s="1"/>
      <c r="O385" s="1"/>
      <c r="P385" s="1"/>
    </row>
    <row r="386" spans="2:16" ht="14.5">
      <c r="B386" s="33"/>
      <c r="C386" s="33"/>
      <c r="D386" s="33"/>
      <c r="E386" s="33"/>
      <c r="N386" s="1"/>
      <c r="O386" s="1"/>
      <c r="P386" s="1"/>
    </row>
    <row r="387" spans="2:16" ht="14.5">
      <c r="B387" s="33"/>
      <c r="C387" s="33"/>
      <c r="D387" s="33"/>
      <c r="E387" s="33"/>
      <c r="N387" s="1"/>
      <c r="O387" s="1"/>
      <c r="P387" s="1"/>
    </row>
    <row r="388" spans="2:16" ht="14.5">
      <c r="B388" s="33"/>
      <c r="C388" s="33"/>
      <c r="D388" s="33"/>
      <c r="E388" s="33"/>
      <c r="N388" s="1"/>
      <c r="O388" s="1"/>
      <c r="P388" s="1"/>
    </row>
    <row r="389" spans="2:16" ht="14.5">
      <c r="B389" s="33"/>
      <c r="C389" s="33"/>
      <c r="D389" s="33"/>
      <c r="E389" s="33"/>
      <c r="N389" s="1"/>
      <c r="O389" s="1"/>
      <c r="P389" s="1"/>
    </row>
    <row r="390" spans="2:16" ht="14.5">
      <c r="B390" s="33"/>
      <c r="C390" s="33"/>
      <c r="D390" s="33"/>
      <c r="E390" s="33"/>
      <c r="N390" s="1"/>
      <c r="O390" s="1"/>
      <c r="P390" s="1"/>
    </row>
    <row r="391" spans="2:16" ht="14.5">
      <c r="B391" s="33"/>
      <c r="C391" s="33"/>
      <c r="D391" s="33"/>
      <c r="E391" s="33"/>
      <c r="N391" s="1"/>
      <c r="O391" s="1"/>
      <c r="P391" s="1"/>
    </row>
    <row r="392" spans="2:16" ht="14.5">
      <c r="B392" s="33"/>
      <c r="C392" s="33"/>
      <c r="D392" s="33"/>
      <c r="E392" s="33"/>
      <c r="N392" s="1"/>
      <c r="O392" s="1"/>
      <c r="P392" s="1"/>
    </row>
    <row r="393" spans="2:16" ht="14.5">
      <c r="B393" s="33"/>
      <c r="C393" s="33"/>
      <c r="D393" s="33"/>
      <c r="E393" s="33"/>
      <c r="N393" s="1"/>
      <c r="O393" s="1"/>
      <c r="P393" s="1"/>
    </row>
    <row r="394" spans="2:16" ht="14.5">
      <c r="B394" s="33"/>
      <c r="C394" s="33"/>
      <c r="D394" s="33"/>
      <c r="E394" s="33"/>
      <c r="N394" s="1"/>
      <c r="O394" s="1"/>
      <c r="P394" s="1"/>
    </row>
    <row r="395" spans="2:16" ht="14.5">
      <c r="B395" s="33"/>
      <c r="C395" s="33"/>
      <c r="D395" s="33"/>
      <c r="E395" s="33"/>
      <c r="N395" s="1"/>
      <c r="O395" s="1"/>
      <c r="P395" s="1"/>
    </row>
    <row r="396" spans="2:16" ht="14.5">
      <c r="B396" s="33"/>
      <c r="C396" s="33"/>
      <c r="D396" s="33"/>
      <c r="E396" s="33"/>
      <c r="N396" s="1"/>
      <c r="O396" s="1"/>
      <c r="P396" s="1"/>
    </row>
    <row r="397" spans="2:16" ht="14.5">
      <c r="B397" s="33"/>
      <c r="C397" s="33"/>
      <c r="D397" s="33"/>
      <c r="E397" s="33"/>
      <c r="N397" s="1"/>
      <c r="O397" s="1"/>
      <c r="P397" s="1"/>
    </row>
    <row r="398" spans="2:16" ht="14.5">
      <c r="B398" s="33"/>
      <c r="C398" s="33"/>
      <c r="D398" s="33"/>
      <c r="E398" s="33"/>
      <c r="N398" s="1"/>
      <c r="O398" s="1"/>
      <c r="P398" s="1"/>
    </row>
    <row r="399" spans="2:16" ht="14.5">
      <c r="B399" s="33"/>
      <c r="C399" s="33"/>
      <c r="D399" s="33"/>
      <c r="E399" s="33"/>
      <c r="N399" s="1"/>
      <c r="O399" s="1"/>
      <c r="P399" s="1"/>
    </row>
    <row r="400" spans="2:16" ht="14.5">
      <c r="B400" s="33"/>
      <c r="C400" s="33"/>
      <c r="D400" s="33"/>
      <c r="E400" s="33"/>
      <c r="N400" s="1"/>
      <c r="O400" s="1"/>
      <c r="P400" s="1"/>
    </row>
    <row r="401" spans="2:16" ht="14.5">
      <c r="B401" s="33"/>
      <c r="C401" s="33"/>
      <c r="D401" s="33"/>
      <c r="E401" s="33"/>
      <c r="N401" s="1"/>
      <c r="O401" s="1"/>
      <c r="P401" s="1"/>
    </row>
    <row r="402" spans="2:16" ht="14.5">
      <c r="B402" s="33"/>
      <c r="C402" s="33"/>
      <c r="D402" s="33"/>
      <c r="E402" s="33"/>
      <c r="N402" s="1"/>
      <c r="O402" s="1"/>
      <c r="P402" s="1"/>
    </row>
    <row r="403" spans="2:16" ht="14.5">
      <c r="B403" s="33"/>
      <c r="C403" s="33"/>
      <c r="D403" s="33"/>
      <c r="E403" s="33"/>
      <c r="N403" s="1"/>
      <c r="O403" s="1"/>
      <c r="P403" s="1"/>
    </row>
    <row r="404" spans="2:16" ht="14.5">
      <c r="B404" s="33"/>
      <c r="C404" s="33"/>
      <c r="D404" s="33"/>
      <c r="E404" s="33"/>
      <c r="N404" s="1"/>
      <c r="O404" s="1"/>
      <c r="P404" s="1"/>
    </row>
    <row r="405" spans="2:16" ht="14.5">
      <c r="B405" s="33"/>
      <c r="C405" s="33"/>
      <c r="D405" s="33"/>
      <c r="E405" s="33"/>
      <c r="N405" s="1"/>
      <c r="O405" s="1"/>
      <c r="P405" s="1"/>
    </row>
    <row r="406" spans="2:16" ht="14.5">
      <c r="B406" s="33"/>
      <c r="C406" s="33"/>
      <c r="D406" s="33"/>
      <c r="E406" s="33"/>
      <c r="N406" s="1"/>
      <c r="O406" s="1"/>
      <c r="P406" s="1"/>
    </row>
    <row r="407" spans="2:16" ht="14.5">
      <c r="B407" s="33"/>
      <c r="C407" s="33"/>
      <c r="D407" s="33"/>
      <c r="E407" s="33"/>
      <c r="N407" s="1"/>
      <c r="O407" s="1"/>
      <c r="P407" s="1"/>
    </row>
    <row r="408" spans="2:16" ht="14.5">
      <c r="B408" s="33"/>
      <c r="C408" s="33"/>
      <c r="D408" s="33"/>
      <c r="E408" s="33"/>
      <c r="N408" s="1"/>
      <c r="O408" s="1"/>
      <c r="P408" s="1"/>
    </row>
    <row r="409" spans="2:16" ht="14.5">
      <c r="B409" s="33"/>
      <c r="C409" s="33"/>
      <c r="D409" s="33"/>
      <c r="E409" s="33"/>
      <c r="N409" s="1"/>
      <c r="O409" s="1"/>
      <c r="P409" s="1"/>
    </row>
    <row r="410" spans="2:16" ht="14.5">
      <c r="B410" s="33"/>
      <c r="C410" s="33"/>
      <c r="D410" s="33"/>
      <c r="E410" s="33"/>
      <c r="N410" s="1"/>
      <c r="O410" s="1"/>
      <c r="P410" s="1"/>
    </row>
    <row r="411" spans="2:16" ht="14.5">
      <c r="B411" s="33"/>
      <c r="C411" s="33"/>
      <c r="D411" s="33"/>
      <c r="E411" s="33"/>
      <c r="N411" s="1"/>
      <c r="O411" s="1"/>
      <c r="P411" s="1"/>
    </row>
    <row r="412" spans="2:16" ht="14.5">
      <c r="B412" s="33"/>
      <c r="C412" s="33"/>
      <c r="D412" s="33"/>
      <c r="E412" s="33"/>
      <c r="N412" s="1"/>
      <c r="O412" s="1"/>
      <c r="P412" s="1"/>
    </row>
    <row r="413" spans="2:16" ht="14.5">
      <c r="B413" s="33"/>
      <c r="C413" s="33"/>
      <c r="D413" s="33"/>
      <c r="E413" s="33"/>
      <c r="N413" s="1"/>
      <c r="O413" s="1"/>
      <c r="P413" s="1"/>
    </row>
    <row r="414" spans="2:16" ht="14.5">
      <c r="B414" s="33"/>
      <c r="C414" s="33"/>
      <c r="D414" s="33"/>
      <c r="E414" s="33"/>
      <c r="N414" s="1"/>
      <c r="O414" s="1"/>
      <c r="P414" s="1"/>
    </row>
    <row r="415" spans="2:16" ht="14.5">
      <c r="B415" s="33"/>
      <c r="C415" s="33"/>
      <c r="D415" s="33"/>
      <c r="E415" s="33"/>
      <c r="N415" s="1"/>
      <c r="O415" s="1"/>
      <c r="P415" s="1"/>
    </row>
    <row r="416" spans="2:16" ht="14.5">
      <c r="B416" s="33"/>
      <c r="C416" s="33"/>
      <c r="D416" s="33"/>
      <c r="E416" s="33"/>
      <c r="N416" s="1"/>
      <c r="O416" s="1"/>
      <c r="P416" s="1"/>
    </row>
    <row r="417" spans="2:16" ht="14.5">
      <c r="B417" s="33"/>
      <c r="C417" s="33"/>
      <c r="D417" s="33"/>
      <c r="E417" s="33"/>
      <c r="N417" s="1"/>
      <c r="O417" s="1"/>
      <c r="P417" s="1"/>
    </row>
    <row r="418" spans="2:16" ht="14.5">
      <c r="B418" s="33"/>
      <c r="C418" s="33"/>
      <c r="D418" s="33"/>
      <c r="E418" s="33"/>
      <c r="N418" s="1"/>
      <c r="O418" s="1"/>
      <c r="P418" s="1"/>
    </row>
    <row r="419" spans="2:16" ht="14.5">
      <c r="B419" s="33"/>
      <c r="C419" s="33"/>
      <c r="D419" s="33"/>
      <c r="E419" s="33"/>
      <c r="N419" s="1"/>
      <c r="O419" s="1"/>
      <c r="P419" s="1"/>
    </row>
    <row r="420" spans="2:16" ht="14.5">
      <c r="B420" s="33"/>
      <c r="C420" s="33"/>
      <c r="D420" s="33"/>
      <c r="E420" s="33"/>
      <c r="N420" s="1"/>
      <c r="O420" s="1"/>
      <c r="P420" s="1"/>
    </row>
    <row r="421" spans="2:16" ht="14.5">
      <c r="B421" s="33"/>
      <c r="C421" s="33"/>
      <c r="D421" s="33"/>
      <c r="E421" s="33"/>
      <c r="N421" s="1"/>
      <c r="O421" s="1"/>
      <c r="P421" s="1"/>
    </row>
    <row r="422" spans="2:16" ht="14.5">
      <c r="B422" s="33"/>
      <c r="C422" s="33"/>
      <c r="D422" s="33"/>
      <c r="E422" s="33"/>
      <c r="N422" s="1"/>
      <c r="O422" s="1"/>
      <c r="P422" s="1"/>
    </row>
    <row r="423" spans="2:16" ht="14.5">
      <c r="B423" s="33"/>
      <c r="C423" s="33"/>
      <c r="D423" s="33"/>
      <c r="E423" s="33"/>
      <c r="N423" s="1"/>
      <c r="O423" s="1"/>
      <c r="P423" s="1"/>
    </row>
    <row r="424" spans="2:16" ht="14.5">
      <c r="B424" s="33"/>
      <c r="C424" s="33"/>
      <c r="D424" s="33"/>
      <c r="E424" s="33"/>
      <c r="N424" s="1"/>
      <c r="O424" s="1"/>
      <c r="P424" s="1"/>
    </row>
    <row r="425" spans="2:16" ht="14.5">
      <c r="B425" s="33"/>
      <c r="C425" s="33"/>
      <c r="D425" s="33"/>
      <c r="E425" s="33"/>
      <c r="N425" s="1"/>
      <c r="O425" s="1"/>
      <c r="P425" s="1"/>
    </row>
    <row r="426" spans="2:16" ht="14.5">
      <c r="B426" s="33"/>
      <c r="C426" s="33"/>
      <c r="D426" s="33"/>
      <c r="E426" s="33"/>
      <c r="N426" s="1"/>
      <c r="O426" s="1"/>
      <c r="P426" s="1"/>
    </row>
    <row r="427" spans="2:16" ht="14.5">
      <c r="B427" s="33"/>
      <c r="C427" s="33"/>
      <c r="D427" s="33"/>
      <c r="E427" s="33"/>
      <c r="N427" s="1"/>
      <c r="O427" s="1"/>
      <c r="P427" s="1"/>
    </row>
    <row r="428" spans="2:16" ht="14.5">
      <c r="B428" s="33"/>
      <c r="C428" s="33"/>
      <c r="D428" s="33"/>
      <c r="E428" s="33"/>
      <c r="N428" s="1"/>
      <c r="O428" s="1"/>
      <c r="P428" s="1"/>
    </row>
    <row r="429" spans="2:16" ht="14.5">
      <c r="B429" s="33"/>
      <c r="C429" s="33"/>
      <c r="D429" s="33"/>
      <c r="E429" s="33"/>
      <c r="N429" s="1"/>
      <c r="O429" s="1"/>
      <c r="P429" s="1"/>
    </row>
    <row r="430" spans="2:16" ht="14.5">
      <c r="B430" s="33"/>
      <c r="C430" s="33"/>
      <c r="D430" s="33"/>
      <c r="E430" s="33"/>
      <c r="N430" s="1"/>
      <c r="O430" s="1"/>
      <c r="P430" s="1"/>
    </row>
    <row r="431" spans="2:16" ht="14.5">
      <c r="B431" s="33"/>
      <c r="C431" s="33"/>
      <c r="D431" s="33"/>
      <c r="E431" s="33"/>
      <c r="N431" s="1"/>
      <c r="O431" s="1"/>
      <c r="P431" s="1"/>
    </row>
    <row r="432" spans="2:16" ht="14.5">
      <c r="B432" s="33"/>
      <c r="C432" s="33"/>
      <c r="D432" s="33"/>
      <c r="E432" s="33"/>
      <c r="N432" s="1"/>
      <c r="O432" s="1"/>
      <c r="P432" s="1"/>
    </row>
    <row r="433" spans="2:16" ht="14.5">
      <c r="B433" s="33"/>
      <c r="C433" s="33"/>
      <c r="D433" s="33"/>
      <c r="E433" s="33"/>
      <c r="N433" s="1"/>
      <c r="O433" s="1"/>
      <c r="P433" s="1"/>
    </row>
    <row r="434" spans="2:16" ht="14.5">
      <c r="B434" s="33"/>
      <c r="C434" s="33"/>
      <c r="D434" s="33"/>
      <c r="E434" s="33"/>
      <c r="N434" s="1"/>
      <c r="O434" s="1"/>
      <c r="P434" s="1"/>
    </row>
    <row r="435" spans="2:16" ht="14.5">
      <c r="B435" s="33"/>
      <c r="C435" s="33"/>
      <c r="D435" s="33"/>
      <c r="E435" s="33"/>
      <c r="N435" s="1"/>
      <c r="O435" s="1"/>
      <c r="P435" s="1"/>
    </row>
    <row r="436" spans="2:16" ht="14.5">
      <c r="B436" s="33"/>
      <c r="C436" s="33"/>
      <c r="D436" s="33"/>
      <c r="E436" s="33"/>
      <c r="N436" s="1"/>
      <c r="O436" s="1"/>
      <c r="P436" s="1"/>
    </row>
    <row r="437" spans="2:16" ht="14.5">
      <c r="B437" s="33"/>
      <c r="C437" s="33"/>
      <c r="D437" s="33"/>
      <c r="E437" s="33"/>
      <c r="N437" s="1"/>
      <c r="O437" s="1"/>
      <c r="P437" s="1"/>
    </row>
    <row r="438" spans="2:16" ht="14.5">
      <c r="B438" s="33"/>
      <c r="C438" s="33"/>
      <c r="D438" s="33"/>
      <c r="E438" s="33"/>
      <c r="N438" s="1"/>
      <c r="O438" s="1"/>
      <c r="P438" s="1"/>
    </row>
    <row r="439" spans="2:16" ht="14.5">
      <c r="B439" s="33"/>
      <c r="C439" s="33"/>
      <c r="D439" s="33"/>
      <c r="E439" s="33"/>
      <c r="N439" s="1"/>
      <c r="O439" s="1"/>
      <c r="P439" s="1"/>
    </row>
    <row r="440" spans="2:16" ht="14.5">
      <c r="B440" s="33"/>
      <c r="C440" s="33"/>
      <c r="D440" s="33"/>
      <c r="E440" s="33"/>
      <c r="N440" s="1"/>
      <c r="O440" s="1"/>
      <c r="P440" s="1"/>
    </row>
    <row r="441" spans="2:16" ht="14.5">
      <c r="B441" s="33"/>
      <c r="C441" s="33"/>
      <c r="D441" s="33"/>
      <c r="E441" s="33"/>
      <c r="N441" s="1"/>
      <c r="O441" s="1"/>
      <c r="P441" s="1"/>
    </row>
    <row r="442" spans="2:16" ht="14.5">
      <c r="B442" s="33"/>
      <c r="C442" s="33"/>
      <c r="D442" s="33"/>
      <c r="E442" s="33"/>
      <c r="N442" s="1"/>
      <c r="O442" s="1"/>
      <c r="P442" s="1"/>
    </row>
    <row r="443" spans="2:16" ht="14.5">
      <c r="B443" s="33"/>
      <c r="C443" s="33"/>
      <c r="D443" s="33"/>
      <c r="E443" s="33"/>
      <c r="N443" s="1"/>
      <c r="O443" s="1"/>
      <c r="P443" s="1"/>
    </row>
    <row r="444" spans="2:16" ht="14.5">
      <c r="B444" s="33"/>
      <c r="C444" s="33"/>
      <c r="D444" s="33"/>
      <c r="E444" s="33"/>
      <c r="N444" s="1"/>
      <c r="O444" s="1"/>
      <c r="P444" s="1"/>
    </row>
    <row r="445" spans="2:16" ht="14.5">
      <c r="B445" s="33"/>
      <c r="C445" s="33"/>
      <c r="D445" s="33"/>
      <c r="E445" s="33"/>
      <c r="N445" s="1"/>
      <c r="O445" s="1"/>
      <c r="P445" s="1"/>
    </row>
    <row r="446" spans="2:16" ht="14.5">
      <c r="B446" s="33"/>
      <c r="C446" s="33"/>
      <c r="D446" s="33"/>
      <c r="E446" s="33"/>
      <c r="N446" s="1"/>
      <c r="O446" s="1"/>
      <c r="P446" s="1"/>
    </row>
    <row r="447" spans="2:16" ht="14.5">
      <c r="B447" s="33"/>
      <c r="C447" s="33"/>
      <c r="D447" s="33"/>
      <c r="E447" s="33"/>
      <c r="N447" s="1"/>
      <c r="O447" s="1"/>
      <c r="P447" s="1"/>
    </row>
    <row r="448" spans="2:16" ht="14.5">
      <c r="B448" s="33"/>
      <c r="C448" s="33"/>
      <c r="D448" s="33"/>
      <c r="E448" s="33"/>
      <c r="N448" s="1"/>
      <c r="O448" s="1"/>
      <c r="P448" s="1"/>
    </row>
    <row r="449" spans="2:16" ht="14.5">
      <c r="B449" s="33"/>
      <c r="C449" s="33"/>
      <c r="D449" s="33"/>
      <c r="E449" s="33"/>
      <c r="N449" s="1"/>
      <c r="O449" s="1"/>
      <c r="P449" s="1"/>
    </row>
    <row r="450" spans="2:16" ht="14.5">
      <c r="B450" s="33"/>
      <c r="C450" s="33"/>
      <c r="D450" s="33"/>
      <c r="E450" s="33"/>
      <c r="N450" s="1"/>
      <c r="O450" s="1"/>
      <c r="P450" s="1"/>
    </row>
    <row r="451" spans="2:16" ht="14.5">
      <c r="B451" s="33"/>
      <c r="C451" s="33"/>
      <c r="D451" s="33"/>
      <c r="E451" s="33"/>
      <c r="N451" s="1"/>
      <c r="O451" s="1"/>
      <c r="P451" s="1"/>
    </row>
    <row r="452" spans="2:16" ht="14.5">
      <c r="B452" s="33"/>
      <c r="C452" s="33"/>
      <c r="D452" s="33"/>
      <c r="E452" s="33"/>
      <c r="N452" s="1"/>
      <c r="O452" s="1"/>
      <c r="P452" s="1"/>
    </row>
    <row r="453" spans="2:16" ht="14.5">
      <c r="B453" s="33"/>
      <c r="C453" s="33"/>
      <c r="D453" s="33"/>
      <c r="E453" s="33"/>
      <c r="N453" s="1"/>
      <c r="O453" s="1"/>
      <c r="P453" s="1"/>
    </row>
    <row r="454" spans="2:16" ht="14.5">
      <c r="B454" s="33"/>
      <c r="C454" s="33"/>
      <c r="D454" s="33"/>
      <c r="E454" s="33"/>
      <c r="N454" s="1"/>
      <c r="O454" s="1"/>
      <c r="P454" s="1"/>
    </row>
    <row r="455" spans="2:16" ht="14.5">
      <c r="B455" s="33"/>
      <c r="C455" s="33"/>
      <c r="D455" s="33"/>
      <c r="E455" s="33"/>
      <c r="N455" s="1"/>
      <c r="O455" s="1"/>
      <c r="P455" s="1"/>
    </row>
    <row r="456" spans="2:16" ht="14.5">
      <c r="B456" s="33"/>
      <c r="C456" s="33"/>
      <c r="D456" s="33"/>
      <c r="E456" s="33"/>
      <c r="N456" s="1"/>
      <c r="O456" s="1"/>
      <c r="P456" s="1"/>
    </row>
    <row r="457" spans="2:16" ht="14.5">
      <c r="B457" s="33"/>
      <c r="C457" s="33"/>
      <c r="D457" s="33"/>
      <c r="E457" s="33"/>
      <c r="N457" s="1"/>
      <c r="O457" s="1"/>
      <c r="P457" s="1"/>
    </row>
    <row r="458" spans="2:16" ht="14.5">
      <c r="B458" s="33"/>
      <c r="C458" s="33"/>
      <c r="D458" s="33"/>
      <c r="E458" s="33"/>
      <c r="N458" s="1"/>
      <c r="O458" s="1"/>
      <c r="P458" s="1"/>
    </row>
    <row r="459" spans="2:16" ht="14.5">
      <c r="B459" s="33"/>
      <c r="C459" s="33"/>
      <c r="D459" s="33"/>
      <c r="E459" s="33"/>
      <c r="N459" s="1"/>
      <c r="O459" s="1"/>
      <c r="P459" s="1"/>
    </row>
    <row r="460" spans="2:16" ht="14.5">
      <c r="B460" s="33"/>
      <c r="C460" s="33"/>
      <c r="D460" s="33"/>
      <c r="E460" s="33"/>
      <c r="N460" s="1"/>
      <c r="O460" s="1"/>
      <c r="P460" s="1"/>
    </row>
    <row r="461" spans="2:16" ht="14.5">
      <c r="B461" s="33"/>
      <c r="C461" s="33"/>
      <c r="D461" s="33"/>
      <c r="E461" s="33"/>
      <c r="N461" s="1"/>
      <c r="O461" s="1"/>
      <c r="P461" s="1"/>
    </row>
    <row r="462" spans="2:16" ht="14.5">
      <c r="B462" s="33"/>
      <c r="C462" s="33"/>
      <c r="D462" s="33"/>
      <c r="E462" s="33"/>
      <c r="N462" s="1"/>
      <c r="O462" s="1"/>
      <c r="P462" s="1"/>
    </row>
    <row r="463" spans="2:16" ht="14.5">
      <c r="B463" s="33"/>
      <c r="C463" s="33"/>
      <c r="D463" s="33"/>
      <c r="E463" s="33"/>
      <c r="N463" s="1"/>
      <c r="O463" s="1"/>
      <c r="P463" s="1"/>
    </row>
    <row r="464" spans="2:16" ht="14.5">
      <c r="B464" s="33"/>
      <c r="C464" s="33"/>
      <c r="D464" s="33"/>
      <c r="E464" s="33"/>
      <c r="N464" s="1"/>
      <c r="O464" s="1"/>
      <c r="P464" s="1"/>
    </row>
    <row r="465" spans="2:16" ht="14.5">
      <c r="B465" s="33"/>
      <c r="C465" s="33"/>
      <c r="D465" s="33"/>
      <c r="E465" s="33"/>
      <c r="N465" s="1"/>
      <c r="O465" s="1"/>
      <c r="P465" s="1"/>
    </row>
    <row r="466" spans="2:16" ht="14.5">
      <c r="B466" s="33"/>
      <c r="C466" s="33"/>
      <c r="D466" s="33"/>
      <c r="E466" s="33"/>
      <c r="N466" s="1"/>
      <c r="O466" s="1"/>
      <c r="P466" s="1"/>
    </row>
    <row r="467" spans="2:16" ht="14.5">
      <c r="B467" s="33"/>
      <c r="C467" s="33"/>
      <c r="D467" s="33"/>
      <c r="E467" s="33"/>
      <c r="N467" s="1"/>
      <c r="O467" s="1"/>
      <c r="P467" s="1"/>
    </row>
    <row r="468" spans="2:16" ht="14.5">
      <c r="B468" s="33"/>
      <c r="C468" s="33"/>
      <c r="D468" s="33"/>
      <c r="E468" s="33"/>
      <c r="N468" s="1"/>
      <c r="O468" s="1"/>
      <c r="P468" s="1"/>
    </row>
    <row r="469" spans="2:16" ht="14.5">
      <c r="B469" s="33"/>
      <c r="C469" s="33"/>
      <c r="D469" s="33"/>
      <c r="E469" s="33"/>
      <c r="N469" s="1"/>
      <c r="O469" s="1"/>
      <c r="P469" s="1"/>
    </row>
    <row r="470" spans="2:16" ht="14.5">
      <c r="B470" s="33"/>
      <c r="C470" s="33"/>
      <c r="D470" s="33"/>
      <c r="E470" s="33"/>
      <c r="N470" s="1"/>
      <c r="O470" s="1"/>
      <c r="P470" s="1"/>
    </row>
    <row r="471" spans="2:16" ht="14.5">
      <c r="B471" s="33"/>
      <c r="C471" s="33"/>
      <c r="D471" s="33"/>
      <c r="E471" s="33"/>
      <c r="N471" s="1"/>
      <c r="O471" s="1"/>
      <c r="P471" s="1"/>
    </row>
    <row r="472" spans="2:16" ht="14.5">
      <c r="B472" s="33"/>
      <c r="C472" s="33"/>
      <c r="D472" s="33"/>
      <c r="E472" s="33"/>
      <c r="N472" s="1"/>
      <c r="O472" s="1"/>
      <c r="P472" s="1"/>
    </row>
    <row r="473" spans="2:16" ht="14.5">
      <c r="B473" s="33"/>
      <c r="C473" s="33"/>
      <c r="D473" s="33"/>
      <c r="E473" s="33"/>
      <c r="N473" s="1"/>
      <c r="O473" s="1"/>
      <c r="P473" s="1"/>
    </row>
    <row r="474" spans="2:16" ht="14.5">
      <c r="B474" s="33"/>
      <c r="C474" s="33"/>
      <c r="D474" s="33"/>
      <c r="E474" s="33"/>
      <c r="N474" s="1"/>
      <c r="O474" s="1"/>
      <c r="P474" s="1"/>
    </row>
    <row r="475" spans="2:16" ht="14.5">
      <c r="B475" s="33"/>
      <c r="C475" s="33"/>
      <c r="D475" s="33"/>
      <c r="E475" s="33"/>
      <c r="N475" s="1"/>
      <c r="O475" s="1"/>
      <c r="P475" s="1"/>
    </row>
    <row r="476" spans="2:16" ht="14.5">
      <c r="B476" s="33"/>
      <c r="C476" s="33"/>
      <c r="D476" s="33"/>
      <c r="E476" s="33"/>
      <c r="N476" s="1"/>
      <c r="O476" s="1"/>
      <c r="P476" s="1"/>
    </row>
    <row r="477" spans="2:16" ht="14.5">
      <c r="B477" s="33"/>
      <c r="C477" s="33"/>
      <c r="D477" s="33"/>
      <c r="E477" s="33"/>
      <c r="N477" s="1"/>
      <c r="O477" s="1"/>
      <c r="P477" s="1"/>
    </row>
    <row r="478" spans="2:16" ht="14.5">
      <c r="B478" s="33"/>
      <c r="C478" s="33"/>
      <c r="D478" s="33"/>
      <c r="E478" s="33"/>
      <c r="N478" s="1"/>
      <c r="O478" s="1"/>
      <c r="P478" s="1"/>
    </row>
    <row r="479" spans="2:16" ht="14.5">
      <c r="B479" s="33"/>
      <c r="C479" s="33"/>
      <c r="D479" s="33"/>
      <c r="E479" s="33"/>
      <c r="N479" s="1"/>
      <c r="O479" s="1"/>
      <c r="P479" s="1"/>
    </row>
    <row r="480" spans="2:16" ht="14.5">
      <c r="B480" s="33"/>
      <c r="C480" s="33"/>
      <c r="D480" s="33"/>
      <c r="E480" s="33"/>
      <c r="N480" s="1"/>
      <c r="O480" s="1"/>
      <c r="P480" s="1"/>
    </row>
    <row r="481" spans="2:16" ht="14.5">
      <c r="B481" s="33"/>
      <c r="C481" s="33"/>
      <c r="D481" s="33"/>
      <c r="E481" s="33"/>
      <c r="N481" s="1"/>
      <c r="O481" s="1"/>
      <c r="P481" s="1"/>
    </row>
    <row r="482" spans="2:16" ht="14.5">
      <c r="B482" s="33"/>
      <c r="C482" s="33"/>
      <c r="D482" s="33"/>
      <c r="E482" s="33"/>
      <c r="N482" s="1"/>
      <c r="O482" s="1"/>
      <c r="P482" s="1"/>
    </row>
    <row r="483" spans="2:16" ht="14.5">
      <c r="B483" s="33"/>
      <c r="C483" s="33"/>
      <c r="D483" s="33"/>
      <c r="E483" s="33"/>
      <c r="N483" s="1"/>
      <c r="O483" s="1"/>
      <c r="P483" s="1"/>
    </row>
    <row r="484" spans="2:16" ht="14.5">
      <c r="B484" s="33"/>
      <c r="C484" s="33"/>
      <c r="D484" s="33"/>
      <c r="E484" s="33"/>
      <c r="N484" s="1"/>
      <c r="O484" s="1"/>
      <c r="P484" s="1"/>
    </row>
    <row r="485" spans="2:16" ht="14.5">
      <c r="B485" s="33"/>
      <c r="C485" s="33"/>
      <c r="D485" s="33"/>
      <c r="E485" s="33"/>
      <c r="N485" s="1"/>
      <c r="O485" s="1"/>
      <c r="P485" s="1"/>
    </row>
    <row r="486" spans="2:16" ht="14.5">
      <c r="B486" s="33"/>
      <c r="C486" s="33"/>
      <c r="D486" s="33"/>
      <c r="E486" s="33"/>
      <c r="N486" s="1"/>
      <c r="O486" s="1"/>
      <c r="P486" s="1"/>
    </row>
    <row r="487" spans="2:16" ht="14.5">
      <c r="B487" s="33"/>
      <c r="C487" s="33"/>
      <c r="D487" s="33"/>
      <c r="E487" s="33"/>
      <c r="N487" s="1"/>
      <c r="O487" s="1"/>
      <c r="P487" s="1"/>
    </row>
    <row r="488" spans="2:16" ht="14.5">
      <c r="B488" s="33"/>
      <c r="C488" s="33"/>
      <c r="D488" s="33"/>
      <c r="E488" s="33"/>
      <c r="N488" s="1"/>
      <c r="O488" s="1"/>
      <c r="P488" s="1"/>
    </row>
    <row r="489" spans="2:16" ht="14.5">
      <c r="B489" s="33"/>
      <c r="C489" s="33"/>
      <c r="D489" s="33"/>
      <c r="E489" s="33"/>
      <c r="N489" s="1"/>
      <c r="O489" s="1"/>
      <c r="P489" s="1"/>
    </row>
    <row r="490" spans="2:16" ht="14.5">
      <c r="B490" s="33"/>
      <c r="C490" s="33"/>
      <c r="D490" s="33"/>
      <c r="E490" s="33"/>
      <c r="N490" s="1"/>
      <c r="O490" s="1"/>
      <c r="P490" s="1"/>
    </row>
    <row r="491" spans="2:16" ht="14.5">
      <c r="B491" s="33"/>
      <c r="C491" s="33"/>
      <c r="D491" s="33"/>
      <c r="E491" s="33"/>
      <c r="N491" s="1"/>
      <c r="O491" s="1"/>
      <c r="P491" s="1"/>
    </row>
    <row r="492" spans="2:16" ht="14.5">
      <c r="B492" s="33"/>
      <c r="C492" s="33"/>
      <c r="D492" s="33"/>
      <c r="E492" s="33"/>
      <c r="N492" s="1"/>
      <c r="O492" s="1"/>
      <c r="P492" s="1"/>
    </row>
    <row r="493" spans="2:16" ht="14.5">
      <c r="B493" s="33"/>
      <c r="C493" s="33"/>
      <c r="D493" s="33"/>
      <c r="E493" s="33"/>
      <c r="N493" s="1"/>
      <c r="O493" s="1"/>
      <c r="P493" s="1"/>
    </row>
    <row r="494" spans="2:16" ht="14.5">
      <c r="B494" s="33"/>
      <c r="C494" s="33"/>
      <c r="D494" s="33"/>
      <c r="E494" s="33"/>
      <c r="N494" s="1"/>
      <c r="O494" s="1"/>
      <c r="P494" s="1"/>
    </row>
    <row r="495" spans="2:16" ht="14.5">
      <c r="B495" s="33"/>
      <c r="C495" s="33"/>
      <c r="D495" s="33"/>
      <c r="E495" s="33"/>
      <c r="N495" s="1"/>
      <c r="O495" s="1"/>
      <c r="P495" s="1"/>
    </row>
    <row r="496" spans="2:16" ht="14.5">
      <c r="B496" s="33"/>
      <c r="C496" s="33"/>
      <c r="D496" s="33"/>
      <c r="E496" s="33"/>
      <c r="N496" s="1"/>
      <c r="O496" s="1"/>
      <c r="P496" s="1"/>
    </row>
    <row r="497" spans="2:16" ht="14.5">
      <c r="B497" s="33"/>
      <c r="C497" s="33"/>
      <c r="D497" s="33"/>
      <c r="E497" s="33"/>
      <c r="N497" s="1"/>
      <c r="O497" s="1"/>
      <c r="P497" s="1"/>
    </row>
    <row r="498" spans="2:16" ht="14.5">
      <c r="B498" s="33"/>
      <c r="C498" s="33"/>
      <c r="D498" s="33"/>
      <c r="E498" s="33"/>
      <c r="N498" s="1"/>
      <c r="O498" s="1"/>
      <c r="P498" s="1"/>
    </row>
    <row r="499" spans="2:16" ht="14.5">
      <c r="B499" s="33"/>
      <c r="C499" s="33"/>
      <c r="D499" s="33"/>
      <c r="E499" s="33"/>
      <c r="N499" s="1"/>
      <c r="O499" s="1"/>
      <c r="P499" s="1"/>
    </row>
    <row r="500" spans="2:16" ht="14.5">
      <c r="B500" s="33"/>
      <c r="C500" s="33"/>
      <c r="D500" s="33"/>
      <c r="E500" s="33"/>
      <c r="N500" s="1"/>
      <c r="O500" s="1"/>
      <c r="P500" s="1"/>
    </row>
    <row r="501" spans="2:16" ht="14.5">
      <c r="B501" s="33"/>
      <c r="C501" s="33"/>
      <c r="D501" s="33"/>
      <c r="E501" s="33"/>
      <c r="N501" s="1"/>
      <c r="O501" s="1"/>
      <c r="P501" s="1"/>
    </row>
    <row r="502" spans="2:16" ht="14.5">
      <c r="B502" s="33"/>
      <c r="C502" s="33"/>
      <c r="D502" s="33"/>
      <c r="E502" s="33"/>
      <c r="N502" s="1"/>
      <c r="O502" s="1"/>
      <c r="P502" s="1"/>
    </row>
    <row r="503" spans="2:16" ht="14.5">
      <c r="B503" s="33"/>
      <c r="C503" s="33"/>
      <c r="D503" s="33"/>
      <c r="E503" s="33"/>
      <c r="N503" s="1"/>
      <c r="O503" s="1"/>
      <c r="P503" s="1"/>
    </row>
    <row r="504" spans="2:16" ht="14.5">
      <c r="B504" s="33"/>
      <c r="C504" s="33"/>
      <c r="D504" s="33"/>
      <c r="E504" s="33"/>
      <c r="N504" s="1"/>
      <c r="O504" s="1"/>
      <c r="P504" s="1"/>
    </row>
    <row r="505" spans="2:16" ht="14.5">
      <c r="B505" s="33"/>
      <c r="C505" s="33"/>
      <c r="D505" s="33"/>
      <c r="E505" s="33"/>
      <c r="N505" s="1"/>
      <c r="O505" s="1"/>
      <c r="P505" s="1"/>
    </row>
    <row r="506" spans="2:16" ht="14.5">
      <c r="B506" s="33"/>
      <c r="C506" s="33"/>
      <c r="D506" s="33"/>
      <c r="E506" s="33"/>
      <c r="N506" s="1"/>
      <c r="O506" s="1"/>
      <c r="P506" s="1"/>
    </row>
    <row r="507" spans="2:16" ht="14.5">
      <c r="B507" s="33"/>
      <c r="C507" s="33"/>
      <c r="D507" s="33"/>
      <c r="E507" s="33"/>
      <c r="N507" s="1"/>
      <c r="O507" s="1"/>
      <c r="P507" s="1"/>
    </row>
    <row r="508" spans="2:16" ht="14.5">
      <c r="B508" s="33"/>
      <c r="C508" s="33"/>
      <c r="D508" s="33"/>
      <c r="E508" s="33"/>
      <c r="N508" s="1"/>
      <c r="O508" s="1"/>
      <c r="P508" s="1"/>
    </row>
    <row r="509" spans="2:16" ht="14.5">
      <c r="B509" s="33"/>
      <c r="C509" s="33"/>
      <c r="D509" s="33"/>
      <c r="E509" s="33"/>
      <c r="N509" s="1"/>
      <c r="O509" s="1"/>
      <c r="P509" s="1"/>
    </row>
    <row r="510" spans="2:16" ht="14.5">
      <c r="B510" s="33"/>
      <c r="C510" s="33"/>
      <c r="D510" s="33"/>
      <c r="E510" s="33"/>
      <c r="N510" s="1"/>
      <c r="O510" s="1"/>
      <c r="P510" s="1"/>
    </row>
    <row r="511" spans="2:16" ht="14.5">
      <c r="B511" s="33"/>
      <c r="C511" s="33"/>
      <c r="D511" s="33"/>
      <c r="E511" s="33"/>
      <c r="N511" s="1"/>
      <c r="O511" s="1"/>
      <c r="P511" s="1"/>
    </row>
    <row r="512" spans="2:16" ht="14.5">
      <c r="B512" s="33"/>
      <c r="C512" s="33"/>
      <c r="D512" s="33"/>
      <c r="E512" s="33"/>
      <c r="N512" s="1"/>
      <c r="O512" s="1"/>
      <c r="P512" s="1"/>
    </row>
    <row r="513" spans="2:16" ht="14.5">
      <c r="B513" s="33"/>
      <c r="C513" s="33"/>
      <c r="D513" s="33"/>
      <c r="E513" s="33"/>
      <c r="N513" s="1"/>
      <c r="O513" s="1"/>
      <c r="P513" s="1"/>
    </row>
    <row r="514" spans="2:16" ht="14.5">
      <c r="B514" s="33"/>
      <c r="C514" s="33"/>
      <c r="D514" s="33"/>
      <c r="E514" s="33"/>
      <c r="N514" s="1"/>
      <c r="O514" s="1"/>
      <c r="P514" s="1"/>
    </row>
    <row r="515" spans="2:16" ht="14.5">
      <c r="B515" s="33"/>
      <c r="C515" s="33"/>
      <c r="D515" s="33"/>
      <c r="E515" s="33"/>
      <c r="N515" s="1"/>
      <c r="O515" s="1"/>
      <c r="P515" s="1"/>
    </row>
    <row r="516" spans="2:16" ht="14.5">
      <c r="B516" s="33"/>
      <c r="C516" s="33"/>
      <c r="D516" s="33"/>
      <c r="E516" s="33"/>
      <c r="N516" s="1"/>
      <c r="O516" s="1"/>
      <c r="P516" s="1"/>
    </row>
    <row r="517" spans="2:16" ht="14.5">
      <c r="B517" s="33"/>
      <c r="C517" s="33"/>
      <c r="D517" s="33"/>
      <c r="E517" s="33"/>
      <c r="N517" s="1"/>
      <c r="O517" s="1"/>
      <c r="P517" s="1"/>
    </row>
    <row r="518" spans="2:16" ht="14.5">
      <c r="B518" s="33"/>
      <c r="C518" s="33"/>
      <c r="D518" s="33"/>
      <c r="E518" s="33"/>
      <c r="N518" s="1"/>
      <c r="O518" s="1"/>
      <c r="P518" s="1"/>
    </row>
    <row r="519" spans="2:16" ht="14.5">
      <c r="B519" s="33"/>
      <c r="C519" s="33"/>
      <c r="D519" s="33"/>
      <c r="E519" s="33"/>
      <c r="N519" s="1"/>
      <c r="O519" s="1"/>
      <c r="P519" s="1"/>
    </row>
    <row r="520" spans="2:16" ht="14.5">
      <c r="B520" s="33"/>
      <c r="C520" s="33"/>
      <c r="D520" s="33"/>
      <c r="E520" s="33"/>
      <c r="N520" s="1"/>
      <c r="O520" s="1"/>
      <c r="P520" s="1"/>
    </row>
    <row r="521" spans="2:16" ht="14.5">
      <c r="B521" s="33"/>
      <c r="C521" s="33"/>
      <c r="D521" s="33"/>
      <c r="E521" s="33"/>
      <c r="N521" s="1"/>
      <c r="O521" s="1"/>
      <c r="P521" s="1"/>
    </row>
    <row r="522" spans="2:16" ht="14.5">
      <c r="B522" s="33"/>
      <c r="C522" s="33"/>
      <c r="D522" s="33"/>
      <c r="E522" s="33"/>
      <c r="N522" s="1"/>
      <c r="O522" s="1"/>
      <c r="P522" s="1"/>
    </row>
    <row r="523" spans="2:16" ht="14.5">
      <c r="B523" s="33"/>
      <c r="C523" s="33"/>
      <c r="D523" s="33"/>
      <c r="E523" s="33"/>
      <c r="N523" s="1"/>
      <c r="O523" s="1"/>
      <c r="P523" s="1"/>
    </row>
    <row r="524" spans="2:16" ht="14.5">
      <c r="B524" s="33"/>
      <c r="C524" s="33"/>
      <c r="D524" s="33"/>
      <c r="E524" s="33"/>
      <c r="N524" s="1"/>
      <c r="O524" s="1"/>
      <c r="P524" s="1"/>
    </row>
    <row r="525" spans="2:16" ht="14.5">
      <c r="B525" s="33"/>
      <c r="C525" s="33"/>
      <c r="D525" s="33"/>
      <c r="E525" s="33"/>
      <c r="N525" s="1"/>
      <c r="O525" s="1"/>
      <c r="P525" s="1"/>
    </row>
    <row r="526" spans="2:16" ht="14.5">
      <c r="B526" s="33"/>
      <c r="C526" s="33"/>
      <c r="D526" s="33"/>
      <c r="E526" s="33"/>
      <c r="N526" s="1"/>
      <c r="O526" s="1"/>
      <c r="P526" s="1"/>
    </row>
    <row r="527" spans="2:16" ht="14.5">
      <c r="B527" s="33"/>
      <c r="C527" s="33"/>
      <c r="D527" s="33"/>
      <c r="E527" s="33"/>
      <c r="N527" s="1"/>
      <c r="O527" s="1"/>
      <c r="P527" s="1"/>
    </row>
    <row r="528" spans="2:16" ht="14.5">
      <c r="B528" s="33"/>
      <c r="C528" s="33"/>
      <c r="D528" s="33"/>
      <c r="E528" s="33"/>
      <c r="N528" s="1"/>
      <c r="O528" s="1"/>
      <c r="P528" s="1"/>
    </row>
    <row r="529" spans="2:16" ht="14.5">
      <c r="B529" s="33"/>
      <c r="C529" s="33"/>
      <c r="D529" s="33"/>
      <c r="E529" s="33"/>
      <c r="N529" s="1"/>
      <c r="O529" s="1"/>
      <c r="P529" s="1"/>
    </row>
    <row r="530" spans="2:16" ht="14.5">
      <c r="B530" s="33"/>
      <c r="C530" s="33"/>
      <c r="D530" s="33"/>
      <c r="E530" s="33"/>
      <c r="N530" s="1"/>
      <c r="O530" s="1"/>
      <c r="P530" s="1"/>
    </row>
    <row r="531" spans="2:16" ht="14.5">
      <c r="B531" s="33"/>
      <c r="C531" s="33"/>
      <c r="D531" s="33"/>
      <c r="E531" s="33"/>
      <c r="N531" s="1"/>
      <c r="O531" s="1"/>
      <c r="P531" s="1"/>
    </row>
    <row r="532" spans="2:16" ht="14.5">
      <c r="B532" s="33"/>
      <c r="C532" s="33"/>
      <c r="D532" s="33"/>
      <c r="E532" s="33"/>
      <c r="N532" s="1"/>
      <c r="O532" s="1"/>
      <c r="P532" s="1"/>
    </row>
    <row r="533" spans="2:16" ht="14.5">
      <c r="B533" s="33"/>
      <c r="C533" s="33"/>
      <c r="D533" s="33"/>
      <c r="E533" s="33"/>
      <c r="N533" s="1"/>
      <c r="O533" s="1"/>
      <c r="P533" s="1"/>
    </row>
    <row r="534" spans="2:16" ht="14.5">
      <c r="B534" s="33"/>
      <c r="C534" s="33"/>
      <c r="D534" s="33"/>
      <c r="E534" s="33"/>
      <c r="N534" s="1"/>
      <c r="O534" s="1"/>
      <c r="P534" s="1"/>
    </row>
    <row r="535" spans="2:16" ht="14.5">
      <c r="B535" s="33"/>
      <c r="C535" s="33"/>
      <c r="D535" s="33"/>
      <c r="E535" s="33"/>
      <c r="N535" s="1"/>
      <c r="O535" s="1"/>
      <c r="P535" s="1"/>
    </row>
    <row r="536" spans="2:16" ht="14.5">
      <c r="B536" s="33"/>
      <c r="C536" s="33"/>
      <c r="D536" s="33"/>
      <c r="E536" s="33"/>
      <c r="N536" s="1"/>
      <c r="O536" s="1"/>
      <c r="P536" s="1"/>
    </row>
    <row r="537" spans="2:16" ht="14.5">
      <c r="B537" s="33"/>
      <c r="C537" s="33"/>
      <c r="D537" s="33"/>
      <c r="E537" s="33"/>
      <c r="N537" s="1"/>
      <c r="O537" s="1"/>
      <c r="P537" s="1"/>
    </row>
    <row r="538" spans="2:16" ht="14.5">
      <c r="B538" s="33"/>
      <c r="C538" s="33"/>
      <c r="D538" s="33"/>
      <c r="E538" s="33"/>
      <c r="N538" s="1"/>
      <c r="O538" s="1"/>
      <c r="P538" s="1"/>
    </row>
    <row r="539" spans="2:16" ht="14.5">
      <c r="B539" s="33"/>
      <c r="C539" s="33"/>
      <c r="D539" s="33"/>
      <c r="E539" s="33"/>
      <c r="N539" s="1"/>
      <c r="O539" s="1"/>
      <c r="P539" s="1"/>
    </row>
    <row r="540" spans="2:16" ht="14.5">
      <c r="B540" s="33"/>
      <c r="C540" s="33"/>
      <c r="D540" s="33"/>
      <c r="E540" s="33"/>
      <c r="N540" s="1"/>
      <c r="O540" s="1"/>
      <c r="P540" s="1"/>
    </row>
    <row r="541" spans="2:16" ht="14.5">
      <c r="B541" s="33"/>
      <c r="C541" s="33"/>
      <c r="D541" s="33"/>
      <c r="E541" s="33"/>
      <c r="N541" s="1"/>
      <c r="O541" s="1"/>
      <c r="P541" s="1"/>
    </row>
    <row r="542" spans="2:16" ht="14.5">
      <c r="B542" s="33"/>
      <c r="C542" s="33"/>
      <c r="D542" s="33"/>
      <c r="E542" s="33"/>
      <c r="N542" s="1"/>
      <c r="O542" s="1"/>
      <c r="P542" s="1"/>
    </row>
    <row r="543" spans="2:16" ht="14.5">
      <c r="B543" s="33"/>
      <c r="C543" s="33"/>
      <c r="D543" s="33"/>
      <c r="E543" s="33"/>
      <c r="N543" s="1"/>
      <c r="O543" s="1"/>
      <c r="P543" s="1"/>
    </row>
    <row r="544" spans="2:16" ht="14.5">
      <c r="B544" s="33"/>
      <c r="C544" s="33"/>
      <c r="D544" s="33"/>
      <c r="E544" s="33"/>
      <c r="N544" s="1"/>
      <c r="O544" s="1"/>
      <c r="P544" s="1"/>
    </row>
    <row r="545" spans="2:16" ht="14.5">
      <c r="B545" s="33"/>
      <c r="C545" s="33"/>
      <c r="D545" s="33"/>
      <c r="E545" s="33"/>
      <c r="N545" s="1"/>
      <c r="O545" s="1"/>
      <c r="P545" s="1"/>
    </row>
    <row r="546" spans="2:16" ht="14.5">
      <c r="B546" s="33"/>
      <c r="C546" s="33"/>
      <c r="D546" s="33"/>
      <c r="E546" s="33"/>
      <c r="N546" s="1"/>
      <c r="O546" s="1"/>
      <c r="P546" s="1"/>
    </row>
    <row r="547" spans="2:16" ht="14.5">
      <c r="B547" s="33"/>
      <c r="C547" s="33"/>
      <c r="D547" s="33"/>
      <c r="E547" s="33"/>
      <c r="N547" s="1"/>
      <c r="O547" s="1"/>
      <c r="P547" s="1"/>
    </row>
    <row r="548" spans="2:16" ht="14.5">
      <c r="B548" s="33"/>
      <c r="C548" s="33"/>
      <c r="D548" s="33"/>
      <c r="E548" s="33"/>
      <c r="N548" s="1"/>
      <c r="O548" s="1"/>
      <c r="P548" s="1"/>
    </row>
    <row r="549" spans="2:16" ht="14.5">
      <c r="B549" s="33"/>
      <c r="C549" s="33"/>
      <c r="D549" s="33"/>
      <c r="E549" s="33"/>
      <c r="N549" s="1"/>
      <c r="O549" s="1"/>
      <c r="P549" s="1"/>
    </row>
    <row r="550" spans="2:16" ht="14.5">
      <c r="B550" s="33"/>
      <c r="C550" s="33"/>
      <c r="D550" s="33"/>
      <c r="E550" s="33"/>
      <c r="N550" s="1"/>
      <c r="O550" s="1"/>
      <c r="P550" s="1"/>
    </row>
    <row r="551" spans="2:16" ht="14.5">
      <c r="B551" s="33"/>
      <c r="C551" s="33"/>
      <c r="D551" s="33"/>
      <c r="E551" s="33"/>
      <c r="N551" s="1"/>
      <c r="O551" s="1"/>
      <c r="P551" s="1"/>
    </row>
    <row r="552" spans="2:16" ht="14.5">
      <c r="B552" s="33"/>
      <c r="C552" s="33"/>
      <c r="D552" s="33"/>
      <c r="E552" s="33"/>
      <c r="N552" s="1"/>
      <c r="O552" s="1"/>
      <c r="P552" s="1"/>
    </row>
    <row r="553" spans="2:16" ht="14.5">
      <c r="B553" s="33"/>
      <c r="C553" s="33"/>
      <c r="D553" s="33"/>
      <c r="E553" s="33"/>
      <c r="N553" s="1"/>
      <c r="O553" s="1"/>
      <c r="P553" s="1"/>
    </row>
    <row r="554" spans="2:16" ht="14.5">
      <c r="B554" s="33"/>
      <c r="C554" s="33"/>
      <c r="D554" s="33"/>
      <c r="E554" s="33"/>
      <c r="N554" s="1"/>
      <c r="O554" s="1"/>
      <c r="P554" s="1"/>
    </row>
    <row r="555" spans="2:16" ht="14.5">
      <c r="B555" s="33"/>
      <c r="C555" s="33"/>
      <c r="D555" s="33"/>
      <c r="E555" s="33"/>
      <c r="N555" s="1"/>
      <c r="O555" s="1"/>
      <c r="P555" s="1"/>
    </row>
    <row r="556" spans="2:16" ht="14.5">
      <c r="B556" s="33"/>
      <c r="C556" s="33"/>
      <c r="D556" s="33"/>
      <c r="E556" s="33"/>
      <c r="N556" s="1"/>
      <c r="O556" s="1"/>
      <c r="P556" s="1"/>
    </row>
    <row r="557" spans="2:16" ht="14.5">
      <c r="B557" s="33"/>
      <c r="C557" s="33"/>
      <c r="D557" s="33"/>
      <c r="E557" s="33"/>
      <c r="N557" s="1"/>
      <c r="O557" s="1"/>
      <c r="P557" s="1"/>
    </row>
    <row r="558" spans="2:16" ht="14.5">
      <c r="B558" s="33"/>
      <c r="C558" s="33"/>
      <c r="D558" s="33"/>
      <c r="E558" s="33"/>
      <c r="N558" s="1"/>
      <c r="O558" s="1"/>
      <c r="P558" s="1"/>
    </row>
    <row r="559" spans="2:16" ht="14.5">
      <c r="B559" s="33"/>
      <c r="C559" s="33"/>
      <c r="D559" s="33"/>
      <c r="E559" s="33"/>
      <c r="N559" s="1"/>
      <c r="O559" s="1"/>
      <c r="P559" s="1"/>
    </row>
    <row r="560" spans="2:16" ht="14.5">
      <c r="B560" s="33"/>
      <c r="C560" s="33"/>
      <c r="D560" s="33"/>
      <c r="E560" s="33"/>
      <c r="N560" s="1"/>
      <c r="O560" s="1"/>
      <c r="P560" s="1"/>
    </row>
    <row r="561" spans="2:16" ht="14.5">
      <c r="B561" s="33"/>
      <c r="C561" s="33"/>
      <c r="D561" s="33"/>
      <c r="E561" s="33"/>
      <c r="N561" s="1"/>
      <c r="O561" s="1"/>
      <c r="P561" s="1"/>
    </row>
    <row r="562" spans="2:16" ht="14.5">
      <c r="B562" s="33"/>
      <c r="C562" s="33"/>
      <c r="D562" s="33"/>
      <c r="E562" s="33"/>
      <c r="N562" s="1"/>
      <c r="O562" s="1"/>
      <c r="P562" s="1"/>
    </row>
    <row r="563" spans="2:16" ht="14.5">
      <c r="B563" s="33"/>
      <c r="C563" s="33"/>
      <c r="D563" s="33"/>
      <c r="E563" s="33"/>
      <c r="N563" s="1"/>
      <c r="O563" s="1"/>
      <c r="P563" s="1"/>
    </row>
    <row r="564" spans="2:16" ht="14.5">
      <c r="B564" s="33"/>
      <c r="C564" s="33"/>
      <c r="D564" s="33"/>
      <c r="E564" s="33"/>
      <c r="N564" s="1"/>
      <c r="O564" s="1"/>
      <c r="P564" s="1"/>
    </row>
    <row r="565" spans="2:16" ht="14.5">
      <c r="B565" s="33"/>
      <c r="C565" s="33"/>
      <c r="D565" s="33"/>
      <c r="E565" s="33"/>
      <c r="N565" s="1"/>
      <c r="O565" s="1"/>
      <c r="P565" s="1"/>
    </row>
    <row r="566" spans="2:16" ht="14.5">
      <c r="B566" s="33"/>
      <c r="C566" s="33"/>
      <c r="D566" s="33"/>
      <c r="E566" s="33"/>
      <c r="N566" s="1"/>
      <c r="O566" s="1"/>
      <c r="P566" s="1"/>
    </row>
    <row r="567" spans="2:16" ht="14.5">
      <c r="B567" s="33"/>
      <c r="C567" s="33"/>
      <c r="D567" s="33"/>
      <c r="E567" s="33"/>
      <c r="N567" s="1"/>
      <c r="O567" s="1"/>
      <c r="P567" s="1"/>
    </row>
    <row r="568" spans="2:16" ht="14.5">
      <c r="B568" s="33"/>
      <c r="C568" s="33"/>
      <c r="D568" s="33"/>
      <c r="E568" s="33"/>
      <c r="N568" s="1"/>
      <c r="O568" s="1"/>
      <c r="P568" s="1"/>
    </row>
    <row r="569" spans="2:16" ht="14.5">
      <c r="B569" s="33"/>
      <c r="C569" s="33"/>
      <c r="D569" s="33"/>
      <c r="E569" s="33"/>
      <c r="N569" s="1"/>
      <c r="O569" s="1"/>
      <c r="P569" s="1"/>
    </row>
    <row r="570" spans="2:16" ht="14.5">
      <c r="B570" s="33"/>
      <c r="C570" s="33"/>
      <c r="D570" s="33"/>
      <c r="E570" s="33"/>
      <c r="N570" s="1"/>
      <c r="O570" s="1"/>
      <c r="P570" s="1"/>
    </row>
    <row r="571" spans="2:16" ht="14.5">
      <c r="B571" s="33"/>
      <c r="C571" s="33"/>
      <c r="D571" s="33"/>
      <c r="E571" s="33"/>
      <c r="N571" s="1"/>
      <c r="O571" s="1"/>
      <c r="P571" s="1"/>
    </row>
    <row r="572" spans="2:16" ht="14.5">
      <c r="B572" s="33"/>
      <c r="C572" s="33"/>
      <c r="D572" s="33"/>
      <c r="E572" s="33"/>
      <c r="N572" s="1"/>
      <c r="O572" s="1"/>
      <c r="P572" s="1"/>
    </row>
    <row r="573" spans="2:16" ht="14.5">
      <c r="B573" s="33"/>
      <c r="C573" s="33"/>
      <c r="D573" s="33"/>
      <c r="E573" s="33"/>
      <c r="N573" s="1"/>
      <c r="O573" s="1"/>
      <c r="P573" s="1"/>
    </row>
    <row r="574" spans="2:16" ht="14.5">
      <c r="B574" s="33"/>
      <c r="C574" s="33"/>
      <c r="D574" s="33"/>
      <c r="E574" s="33"/>
      <c r="N574" s="1"/>
      <c r="O574" s="1"/>
      <c r="P574" s="1"/>
    </row>
    <row r="575" spans="2:16" ht="14.5">
      <c r="B575" s="33"/>
      <c r="C575" s="33"/>
      <c r="D575" s="33"/>
      <c r="E575" s="33"/>
      <c r="N575" s="1"/>
      <c r="O575" s="1"/>
      <c r="P575" s="1"/>
    </row>
    <row r="576" spans="2:16" ht="14.5">
      <c r="B576" s="33"/>
      <c r="C576" s="33"/>
      <c r="D576" s="33"/>
      <c r="E576" s="33"/>
      <c r="N576" s="1"/>
      <c r="O576" s="1"/>
      <c r="P576" s="1"/>
    </row>
    <row r="577" spans="2:16" ht="14.5">
      <c r="B577" s="33"/>
      <c r="C577" s="33"/>
      <c r="D577" s="33"/>
      <c r="E577" s="33"/>
      <c r="N577" s="1"/>
      <c r="O577" s="1"/>
      <c r="P577" s="1"/>
    </row>
    <row r="578" spans="2:16" ht="14.5">
      <c r="B578" s="33"/>
      <c r="C578" s="33"/>
      <c r="D578" s="33"/>
      <c r="E578" s="33"/>
      <c r="N578" s="1"/>
      <c r="O578" s="1"/>
      <c r="P578" s="1"/>
    </row>
    <row r="579" spans="2:16" ht="14.5">
      <c r="B579" s="33"/>
      <c r="C579" s="33"/>
      <c r="D579" s="33"/>
      <c r="E579" s="33"/>
      <c r="N579" s="1"/>
      <c r="O579" s="1"/>
      <c r="P579" s="1"/>
    </row>
    <row r="580" spans="2:16" ht="14.5">
      <c r="B580" s="33"/>
      <c r="C580" s="33"/>
      <c r="D580" s="33"/>
      <c r="E580" s="33"/>
      <c r="N580" s="1"/>
      <c r="O580" s="1"/>
      <c r="P580" s="1"/>
    </row>
    <row r="581" spans="2:16" ht="14.5">
      <c r="B581" s="33"/>
      <c r="C581" s="33"/>
      <c r="D581" s="33"/>
      <c r="E581" s="33"/>
      <c r="N581" s="1"/>
      <c r="O581" s="1"/>
      <c r="P581" s="1"/>
    </row>
    <row r="582" spans="2:16" ht="14.5">
      <c r="B582" s="33"/>
      <c r="C582" s="33"/>
      <c r="D582" s="33"/>
      <c r="E582" s="33"/>
      <c r="N582" s="1"/>
      <c r="O582" s="1"/>
      <c r="P582" s="1"/>
    </row>
    <row r="583" spans="2:16" ht="14.5">
      <c r="B583" s="33"/>
      <c r="C583" s="33"/>
      <c r="D583" s="33"/>
      <c r="E583" s="33"/>
      <c r="N583" s="1"/>
      <c r="O583" s="1"/>
      <c r="P583" s="1"/>
    </row>
    <row r="584" spans="2:16" ht="14.5">
      <c r="B584" s="33"/>
      <c r="C584" s="33"/>
      <c r="D584" s="33"/>
      <c r="E584" s="33"/>
      <c r="N584" s="1"/>
      <c r="O584" s="1"/>
      <c r="P584" s="1"/>
    </row>
    <row r="585" spans="2:16" ht="14.5">
      <c r="B585" s="33"/>
      <c r="C585" s="33"/>
      <c r="D585" s="33"/>
      <c r="E585" s="33"/>
      <c r="N585" s="1"/>
      <c r="O585" s="1"/>
      <c r="P585" s="1"/>
    </row>
    <row r="586" spans="2:16" ht="14.5">
      <c r="B586" s="33"/>
      <c r="C586" s="33"/>
      <c r="D586" s="33"/>
      <c r="E586" s="33"/>
      <c r="N586" s="1"/>
      <c r="O586" s="1"/>
      <c r="P586" s="1"/>
    </row>
    <row r="587" spans="2:16" ht="14.5">
      <c r="B587" s="33"/>
      <c r="C587" s="33"/>
      <c r="D587" s="33"/>
      <c r="E587" s="33"/>
      <c r="N587" s="1"/>
      <c r="O587" s="1"/>
      <c r="P587" s="1"/>
    </row>
    <row r="588" spans="2:16" ht="14.5">
      <c r="B588" s="33"/>
      <c r="C588" s="33"/>
      <c r="D588" s="33"/>
      <c r="E588" s="33"/>
      <c r="N588" s="1"/>
      <c r="O588" s="1"/>
      <c r="P588" s="1"/>
    </row>
    <row r="589" spans="2:16" ht="14.5">
      <c r="B589" s="33"/>
      <c r="C589" s="33"/>
      <c r="D589" s="33"/>
      <c r="E589" s="33"/>
      <c r="N589" s="1"/>
      <c r="O589" s="1"/>
      <c r="P589" s="1"/>
    </row>
    <row r="590" spans="2:16" ht="14.5">
      <c r="B590" s="33"/>
      <c r="C590" s="33"/>
      <c r="D590" s="33"/>
      <c r="E590" s="33"/>
      <c r="N590" s="1"/>
      <c r="O590" s="1"/>
      <c r="P590" s="1"/>
    </row>
    <row r="591" spans="2:16" ht="14.5">
      <c r="B591" s="33"/>
      <c r="C591" s="33"/>
      <c r="D591" s="33"/>
      <c r="E591" s="33"/>
      <c r="N591" s="1"/>
      <c r="O591" s="1"/>
      <c r="P591" s="1"/>
    </row>
    <row r="592" spans="2:16" ht="14.5">
      <c r="B592" s="33"/>
      <c r="C592" s="33"/>
      <c r="D592" s="33"/>
      <c r="E592" s="33"/>
      <c r="N592" s="1"/>
      <c r="O592" s="1"/>
      <c r="P592" s="1"/>
    </row>
    <row r="593" spans="2:16" ht="14.5">
      <c r="B593" s="33"/>
      <c r="C593" s="33"/>
      <c r="D593" s="33"/>
      <c r="E593" s="33"/>
      <c r="N593" s="1"/>
      <c r="O593" s="1"/>
      <c r="P593" s="1"/>
    </row>
    <row r="594" spans="2:16" ht="14.5">
      <c r="B594" s="33"/>
      <c r="C594" s="33"/>
      <c r="D594" s="33"/>
      <c r="E594" s="33"/>
      <c r="N594" s="1"/>
      <c r="O594" s="1"/>
      <c r="P594" s="1"/>
    </row>
    <row r="595" spans="2:16" ht="14.5">
      <c r="B595" s="33"/>
      <c r="C595" s="33"/>
      <c r="D595" s="33"/>
      <c r="E595" s="33"/>
      <c r="N595" s="1"/>
      <c r="O595" s="1"/>
      <c r="P595" s="1"/>
    </row>
    <row r="596" spans="2:16" ht="14.5">
      <c r="B596" s="33"/>
      <c r="C596" s="33"/>
      <c r="D596" s="33"/>
      <c r="E596" s="33"/>
      <c r="N596" s="1"/>
      <c r="O596" s="1"/>
      <c r="P596" s="1"/>
    </row>
    <row r="597" spans="2:16" ht="14.5">
      <c r="B597" s="33"/>
      <c r="C597" s="33"/>
      <c r="D597" s="33"/>
      <c r="E597" s="33"/>
      <c r="N597" s="1"/>
      <c r="O597" s="1"/>
      <c r="P597" s="1"/>
    </row>
    <row r="598" spans="2:16" ht="14.5">
      <c r="B598" s="33"/>
      <c r="C598" s="33"/>
      <c r="D598" s="33"/>
      <c r="E598" s="33"/>
      <c r="N598" s="1"/>
      <c r="O598" s="1"/>
      <c r="P598" s="1"/>
    </row>
    <row r="599" spans="2:16" ht="14.5">
      <c r="B599" s="33"/>
      <c r="C599" s="33"/>
      <c r="D599" s="33"/>
      <c r="E599" s="33"/>
      <c r="N599" s="1"/>
      <c r="O599" s="1"/>
      <c r="P599" s="1"/>
    </row>
    <row r="600" spans="2:16" ht="14.5">
      <c r="B600" s="33"/>
      <c r="C600" s="33"/>
      <c r="D600" s="33"/>
      <c r="E600" s="33"/>
      <c r="N600" s="1"/>
      <c r="O600" s="1"/>
      <c r="P600" s="1"/>
    </row>
    <row r="601" spans="2:16" ht="14.5">
      <c r="B601" s="33"/>
      <c r="C601" s="33"/>
      <c r="D601" s="33"/>
      <c r="E601" s="33"/>
      <c r="N601" s="1"/>
      <c r="O601" s="1"/>
      <c r="P601" s="1"/>
    </row>
    <row r="602" spans="2:16" ht="14.5">
      <c r="B602" s="33"/>
      <c r="C602" s="33"/>
      <c r="D602" s="33"/>
      <c r="E602" s="33"/>
      <c r="N602" s="1"/>
      <c r="O602" s="1"/>
      <c r="P602" s="1"/>
    </row>
    <row r="603" spans="2:16" ht="14.5">
      <c r="B603" s="33"/>
      <c r="C603" s="33"/>
      <c r="D603" s="33"/>
      <c r="E603" s="33"/>
      <c r="N603" s="1"/>
      <c r="O603" s="1"/>
      <c r="P603" s="1"/>
    </row>
    <row r="604" spans="2:16" ht="14.5">
      <c r="B604" s="33"/>
      <c r="C604" s="33"/>
      <c r="D604" s="33"/>
      <c r="E604" s="33"/>
      <c r="N604" s="1"/>
      <c r="O604" s="1"/>
      <c r="P604" s="1"/>
    </row>
    <row r="605" spans="2:16" ht="14.5">
      <c r="B605" s="33"/>
      <c r="C605" s="33"/>
      <c r="D605" s="33"/>
      <c r="E605" s="33"/>
      <c r="N605" s="1"/>
      <c r="O605" s="1"/>
      <c r="P605" s="1"/>
    </row>
    <row r="606" spans="2:16" ht="14.5">
      <c r="B606" s="33"/>
      <c r="C606" s="33"/>
      <c r="D606" s="33"/>
      <c r="E606" s="33"/>
      <c r="N606" s="1"/>
      <c r="O606" s="1"/>
      <c r="P606" s="1"/>
    </row>
    <row r="607" spans="2:16" ht="14.5">
      <c r="B607" s="33"/>
      <c r="C607" s="33"/>
      <c r="D607" s="33"/>
      <c r="E607" s="33"/>
      <c r="N607" s="1"/>
      <c r="O607" s="1"/>
      <c r="P607" s="1"/>
    </row>
    <row r="608" spans="2:16" ht="14.5">
      <c r="B608" s="33"/>
      <c r="C608" s="33"/>
      <c r="D608" s="33"/>
      <c r="E608" s="33"/>
      <c r="N608" s="1"/>
      <c r="O608" s="1"/>
      <c r="P608" s="1"/>
    </row>
    <row r="609" spans="2:16" ht="14.5">
      <c r="B609" s="33"/>
      <c r="C609" s="33"/>
      <c r="D609" s="33"/>
      <c r="E609" s="33"/>
      <c r="N609" s="1"/>
      <c r="O609" s="1"/>
      <c r="P609" s="1"/>
    </row>
    <row r="610" spans="2:16" ht="14.5">
      <c r="B610" s="33"/>
      <c r="C610" s="33"/>
      <c r="D610" s="33"/>
      <c r="E610" s="33"/>
      <c r="N610" s="1"/>
      <c r="O610" s="1"/>
      <c r="P610" s="1"/>
    </row>
    <row r="611" spans="2:16" ht="14.5">
      <c r="B611" s="33"/>
      <c r="C611" s="33"/>
      <c r="D611" s="33"/>
      <c r="E611" s="33"/>
      <c r="N611" s="1"/>
      <c r="O611" s="1"/>
      <c r="P611" s="1"/>
    </row>
    <row r="612" spans="2:16" ht="14.5">
      <c r="B612" s="33"/>
      <c r="C612" s="33"/>
      <c r="D612" s="33"/>
      <c r="E612" s="33"/>
      <c r="N612" s="1"/>
      <c r="O612" s="1"/>
      <c r="P612" s="1"/>
    </row>
    <row r="613" spans="2:16" ht="14.5">
      <c r="B613" s="33"/>
      <c r="C613" s="33"/>
      <c r="D613" s="33"/>
      <c r="E613" s="33"/>
      <c r="N613" s="1"/>
      <c r="O613" s="1"/>
      <c r="P613" s="1"/>
    </row>
    <row r="614" spans="2:16" ht="14.5">
      <c r="B614" s="33"/>
      <c r="C614" s="33"/>
      <c r="D614" s="33"/>
      <c r="E614" s="33"/>
      <c r="N614" s="1"/>
      <c r="O614" s="1"/>
      <c r="P614" s="1"/>
    </row>
    <row r="615" spans="2:16" ht="14.5">
      <c r="B615" s="33"/>
      <c r="C615" s="33"/>
      <c r="D615" s="33"/>
      <c r="E615" s="33"/>
      <c r="N615" s="1"/>
      <c r="O615" s="1"/>
      <c r="P615" s="1"/>
    </row>
    <row r="616" spans="2:16" ht="14.5">
      <c r="B616" s="33"/>
      <c r="C616" s="33"/>
      <c r="D616" s="33"/>
      <c r="E616" s="33"/>
      <c r="N616" s="1"/>
      <c r="O616" s="1"/>
      <c r="P616" s="1"/>
    </row>
    <row r="617" spans="2:16" ht="14.5">
      <c r="B617" s="33"/>
      <c r="C617" s="33"/>
      <c r="D617" s="33"/>
      <c r="E617" s="33"/>
      <c r="N617" s="1"/>
      <c r="O617" s="1"/>
      <c r="P617" s="1"/>
    </row>
    <row r="618" spans="2:16" ht="14.5">
      <c r="B618" s="33"/>
      <c r="C618" s="33"/>
      <c r="D618" s="33"/>
      <c r="E618" s="33"/>
      <c r="N618" s="1"/>
      <c r="O618" s="1"/>
      <c r="P618" s="1"/>
    </row>
    <row r="619" spans="2:16" ht="14.5">
      <c r="B619" s="33"/>
      <c r="C619" s="33"/>
      <c r="D619" s="33"/>
      <c r="E619" s="33"/>
      <c r="N619" s="1"/>
      <c r="O619" s="1"/>
      <c r="P619" s="1"/>
    </row>
    <row r="620" spans="2:16" ht="14.5">
      <c r="B620" s="33"/>
      <c r="C620" s="33"/>
      <c r="D620" s="33"/>
      <c r="E620" s="33"/>
      <c r="N620" s="1"/>
      <c r="O620" s="1"/>
      <c r="P620" s="1"/>
    </row>
    <row r="621" spans="2:16" ht="14.5">
      <c r="B621" s="33"/>
      <c r="C621" s="33"/>
      <c r="D621" s="33"/>
      <c r="E621" s="33"/>
      <c r="N621" s="1"/>
      <c r="O621" s="1"/>
      <c r="P621" s="1"/>
    </row>
    <row r="622" spans="2:16" ht="14.5">
      <c r="B622" s="33"/>
      <c r="C622" s="33"/>
      <c r="D622" s="33"/>
      <c r="E622" s="33"/>
      <c r="N622" s="1"/>
      <c r="O622" s="1"/>
      <c r="P622" s="1"/>
    </row>
    <row r="623" spans="2:16" ht="14.5">
      <c r="B623" s="33"/>
      <c r="C623" s="33"/>
      <c r="D623" s="33"/>
      <c r="E623" s="33"/>
      <c r="N623" s="1"/>
      <c r="O623" s="1"/>
      <c r="P623" s="1"/>
    </row>
    <row r="624" spans="2:16" ht="14.5">
      <c r="B624" s="33"/>
      <c r="C624" s="33"/>
      <c r="D624" s="33"/>
      <c r="E624" s="33"/>
      <c r="N624" s="1"/>
      <c r="O624" s="1"/>
      <c r="P624" s="1"/>
    </row>
    <row r="625" spans="2:16" ht="14.5">
      <c r="B625" s="33"/>
      <c r="C625" s="33"/>
      <c r="D625" s="33"/>
      <c r="E625" s="33"/>
      <c r="N625" s="1"/>
      <c r="O625" s="1"/>
      <c r="P625" s="1"/>
    </row>
    <row r="626" spans="2:16" ht="14.5">
      <c r="B626" s="33"/>
      <c r="C626" s="33"/>
      <c r="D626" s="33"/>
      <c r="E626" s="33"/>
      <c r="N626" s="1"/>
      <c r="O626" s="1"/>
      <c r="P626" s="1"/>
    </row>
    <row r="627" spans="2:16" ht="14.5">
      <c r="B627" s="33"/>
      <c r="C627" s="33"/>
      <c r="D627" s="33"/>
      <c r="E627" s="33"/>
      <c r="N627" s="1"/>
      <c r="O627" s="1"/>
      <c r="P627" s="1"/>
    </row>
    <row r="628" spans="2:16" ht="14.5">
      <c r="B628" s="33"/>
      <c r="C628" s="33"/>
      <c r="D628" s="33"/>
      <c r="E628" s="33"/>
      <c r="N628" s="1"/>
      <c r="O628" s="1"/>
      <c r="P628" s="1"/>
    </row>
    <row r="629" spans="2:16" ht="14.5">
      <c r="B629" s="33"/>
      <c r="C629" s="33"/>
      <c r="D629" s="33"/>
      <c r="E629" s="33"/>
      <c r="N629" s="1"/>
      <c r="O629" s="1"/>
      <c r="P629" s="1"/>
    </row>
    <row r="630" spans="2:16" ht="14.5">
      <c r="B630" s="33"/>
      <c r="C630" s="33"/>
      <c r="D630" s="33"/>
      <c r="E630" s="33"/>
      <c r="N630" s="1"/>
      <c r="O630" s="1"/>
      <c r="P630" s="1"/>
    </row>
    <row r="631" spans="2:16" ht="14.5">
      <c r="B631" s="33"/>
      <c r="C631" s="33"/>
      <c r="D631" s="33"/>
      <c r="E631" s="33"/>
      <c r="N631" s="1"/>
      <c r="O631" s="1"/>
      <c r="P631" s="1"/>
    </row>
    <row r="632" spans="2:16" ht="14.5">
      <c r="B632" s="33"/>
      <c r="C632" s="33"/>
      <c r="D632" s="33"/>
      <c r="E632" s="33"/>
      <c r="N632" s="1"/>
      <c r="O632" s="1"/>
      <c r="P632" s="1"/>
    </row>
    <row r="633" spans="2:16" ht="14.5">
      <c r="B633" s="33"/>
      <c r="C633" s="33"/>
      <c r="D633" s="33"/>
      <c r="E633" s="33"/>
      <c r="N633" s="1"/>
      <c r="O633" s="1"/>
      <c r="P633" s="1"/>
    </row>
    <row r="634" spans="2:16" ht="14.5">
      <c r="B634" s="33"/>
      <c r="C634" s="33"/>
      <c r="D634" s="33"/>
      <c r="E634" s="33"/>
      <c r="N634" s="1"/>
      <c r="O634" s="1"/>
      <c r="P634" s="1"/>
    </row>
    <row r="635" spans="2:16" ht="14.5">
      <c r="B635" s="33"/>
      <c r="C635" s="33"/>
      <c r="D635" s="33"/>
      <c r="E635" s="33"/>
      <c r="N635" s="1"/>
      <c r="O635" s="1"/>
      <c r="P635" s="1"/>
    </row>
    <row r="636" spans="2:16" ht="14.5">
      <c r="B636" s="33"/>
      <c r="C636" s="33"/>
      <c r="D636" s="33"/>
      <c r="E636" s="33"/>
      <c r="N636" s="1"/>
      <c r="O636" s="1"/>
      <c r="P636" s="1"/>
    </row>
    <row r="637" spans="2:16" ht="14.5">
      <c r="B637" s="33"/>
      <c r="C637" s="33"/>
      <c r="D637" s="33"/>
      <c r="E637" s="33"/>
      <c r="N637" s="1"/>
      <c r="O637" s="1"/>
      <c r="P637" s="1"/>
    </row>
    <row r="638" spans="2:16" ht="14.5">
      <c r="B638" s="33"/>
      <c r="C638" s="33"/>
      <c r="D638" s="33"/>
      <c r="E638" s="33"/>
      <c r="N638" s="1"/>
      <c r="O638" s="1"/>
      <c r="P638" s="1"/>
    </row>
    <row r="639" spans="2:16" ht="14.5">
      <c r="B639" s="33"/>
      <c r="C639" s="33"/>
      <c r="D639" s="33"/>
      <c r="E639" s="33"/>
      <c r="N639" s="1"/>
      <c r="O639" s="1"/>
      <c r="P639" s="1"/>
    </row>
    <row r="640" spans="2:16" ht="14.5">
      <c r="B640" s="33"/>
      <c r="C640" s="33"/>
      <c r="D640" s="33"/>
      <c r="E640" s="33"/>
      <c r="N640" s="1"/>
      <c r="O640" s="1"/>
      <c r="P640" s="1"/>
    </row>
    <row r="641" spans="2:16" ht="14.5">
      <c r="B641" s="33"/>
      <c r="C641" s="33"/>
      <c r="D641" s="33"/>
      <c r="E641" s="33"/>
      <c r="N641" s="1"/>
      <c r="O641" s="1"/>
      <c r="P641" s="1"/>
    </row>
    <row r="642" spans="2:16" ht="14.5">
      <c r="B642" s="33"/>
      <c r="C642" s="33"/>
      <c r="D642" s="33"/>
      <c r="E642" s="33"/>
      <c r="N642" s="1"/>
      <c r="O642" s="1"/>
      <c r="P642" s="1"/>
    </row>
    <row r="643" spans="2:16" ht="14.5">
      <c r="B643" s="33"/>
      <c r="C643" s="33"/>
      <c r="D643" s="33"/>
      <c r="E643" s="33"/>
      <c r="N643" s="1"/>
      <c r="O643" s="1"/>
      <c r="P643" s="1"/>
    </row>
    <row r="644" spans="2:16" ht="14.5">
      <c r="B644" s="33"/>
      <c r="C644" s="33"/>
      <c r="D644" s="33"/>
      <c r="E644" s="33"/>
      <c r="N644" s="1"/>
      <c r="O644" s="1"/>
      <c r="P644" s="1"/>
    </row>
    <row r="645" spans="2:16" ht="14.5">
      <c r="B645" s="33"/>
      <c r="C645" s="33"/>
      <c r="D645" s="33"/>
      <c r="E645" s="33"/>
      <c r="N645" s="1"/>
      <c r="O645" s="1"/>
      <c r="P645" s="1"/>
    </row>
    <row r="646" spans="2:16" ht="14.5">
      <c r="B646" s="33"/>
      <c r="C646" s="33"/>
      <c r="D646" s="33"/>
      <c r="E646" s="33"/>
      <c r="N646" s="1"/>
      <c r="O646" s="1"/>
      <c r="P646" s="1"/>
    </row>
    <row r="647" spans="2:16" ht="14.5">
      <c r="B647" s="33"/>
      <c r="C647" s="33"/>
      <c r="D647" s="33"/>
      <c r="E647" s="33"/>
      <c r="N647" s="1"/>
      <c r="O647" s="1"/>
      <c r="P647" s="1"/>
    </row>
    <row r="648" spans="2:16" ht="14.5">
      <c r="B648" s="33"/>
      <c r="C648" s="33"/>
      <c r="D648" s="33"/>
      <c r="E648" s="33"/>
      <c r="N648" s="1"/>
      <c r="O648" s="1"/>
      <c r="P648" s="1"/>
    </row>
    <row r="649" spans="2:16" ht="14.5">
      <c r="B649" s="33"/>
      <c r="C649" s="33"/>
      <c r="D649" s="33"/>
      <c r="E649" s="33"/>
      <c r="N649" s="1"/>
      <c r="O649" s="1"/>
      <c r="P649" s="1"/>
    </row>
    <row r="650" spans="2:16" ht="14.5">
      <c r="B650" s="33"/>
      <c r="C650" s="33"/>
      <c r="D650" s="33"/>
      <c r="E650" s="33"/>
      <c r="N650" s="1"/>
      <c r="O650" s="1"/>
      <c r="P650" s="1"/>
    </row>
    <row r="651" spans="2:16" ht="14.5">
      <c r="B651" s="33"/>
      <c r="C651" s="33"/>
      <c r="D651" s="33"/>
      <c r="E651" s="33"/>
      <c r="N651" s="1"/>
      <c r="O651" s="1"/>
      <c r="P651" s="1"/>
    </row>
    <row r="652" spans="2:16" ht="14.5">
      <c r="B652" s="33"/>
      <c r="C652" s="33"/>
      <c r="D652" s="33"/>
      <c r="E652" s="33"/>
      <c r="N652" s="1"/>
      <c r="O652" s="1"/>
      <c r="P652" s="1"/>
    </row>
    <row r="653" spans="2:16" ht="14.5">
      <c r="B653" s="33"/>
      <c r="C653" s="33"/>
      <c r="D653" s="33"/>
      <c r="E653" s="33"/>
      <c r="N653" s="1"/>
      <c r="O653" s="1"/>
      <c r="P653" s="1"/>
    </row>
    <row r="654" spans="2:16" ht="14.5">
      <c r="B654" s="33"/>
      <c r="C654" s="33"/>
      <c r="D654" s="33"/>
      <c r="E654" s="33"/>
      <c r="N654" s="1"/>
      <c r="O654" s="1"/>
      <c r="P654" s="1"/>
    </row>
    <row r="655" spans="2:16" ht="14.5">
      <c r="B655" s="33"/>
      <c r="C655" s="33"/>
      <c r="D655" s="33"/>
      <c r="E655" s="33"/>
      <c r="N655" s="1"/>
      <c r="O655" s="1"/>
      <c r="P655" s="1"/>
    </row>
    <row r="656" spans="2:16" ht="14.5">
      <c r="B656" s="33"/>
      <c r="C656" s="33"/>
      <c r="D656" s="33"/>
      <c r="E656" s="33"/>
      <c r="N656" s="1"/>
      <c r="O656" s="1"/>
      <c r="P656" s="1"/>
    </row>
    <row r="657" spans="2:16" ht="14.5">
      <c r="B657" s="33"/>
      <c r="C657" s="33"/>
      <c r="D657" s="33"/>
      <c r="E657" s="33"/>
      <c r="N657" s="1"/>
      <c r="O657" s="1"/>
      <c r="P657" s="1"/>
    </row>
    <row r="658" spans="2:16" ht="14.5">
      <c r="B658" s="33"/>
      <c r="C658" s="33"/>
      <c r="D658" s="33"/>
      <c r="E658" s="33"/>
      <c r="N658" s="1"/>
      <c r="O658" s="1"/>
      <c r="P658" s="1"/>
    </row>
    <row r="659" spans="2:16" ht="14.5">
      <c r="B659" s="33"/>
      <c r="C659" s="33"/>
      <c r="D659" s="33"/>
      <c r="E659" s="33"/>
      <c r="N659" s="1"/>
      <c r="O659" s="1"/>
      <c r="P659" s="1"/>
    </row>
    <row r="660" spans="2:16" ht="14.5">
      <c r="B660" s="33"/>
      <c r="C660" s="33"/>
      <c r="D660" s="33"/>
      <c r="E660" s="33"/>
      <c r="N660" s="1"/>
      <c r="O660" s="1"/>
      <c r="P660" s="1"/>
    </row>
    <row r="661" spans="2:16" ht="14.5">
      <c r="B661" s="33"/>
      <c r="C661" s="33"/>
      <c r="D661" s="33"/>
      <c r="E661" s="33"/>
      <c r="N661" s="1"/>
      <c r="O661" s="1"/>
      <c r="P661" s="1"/>
    </row>
    <row r="662" spans="2:16" ht="14.5">
      <c r="B662" s="33"/>
      <c r="C662" s="33"/>
      <c r="D662" s="33"/>
      <c r="E662" s="33"/>
      <c r="N662" s="1"/>
      <c r="O662" s="1"/>
      <c r="P662" s="1"/>
    </row>
    <row r="663" spans="2:16" ht="14.5">
      <c r="B663" s="33"/>
      <c r="C663" s="33"/>
      <c r="D663" s="33"/>
      <c r="E663" s="33"/>
      <c r="N663" s="1"/>
      <c r="O663" s="1"/>
      <c r="P663" s="1"/>
    </row>
    <row r="664" spans="2:16" ht="14.5">
      <c r="B664" s="33"/>
      <c r="C664" s="33"/>
      <c r="D664" s="33"/>
      <c r="E664" s="33"/>
      <c r="N664" s="1"/>
      <c r="O664" s="1"/>
      <c r="P664" s="1"/>
    </row>
    <row r="665" spans="2:16" ht="14.5">
      <c r="B665" s="33"/>
      <c r="C665" s="33"/>
      <c r="D665" s="33"/>
      <c r="E665" s="33"/>
      <c r="N665" s="1"/>
      <c r="O665" s="1"/>
      <c r="P665" s="1"/>
    </row>
    <row r="666" spans="2:16" ht="14.5">
      <c r="B666" s="33"/>
      <c r="C666" s="33"/>
      <c r="D666" s="33"/>
      <c r="E666" s="33"/>
      <c r="N666" s="1"/>
      <c r="O666" s="1"/>
      <c r="P666" s="1"/>
    </row>
    <row r="667" spans="2:16" ht="14.5">
      <c r="B667" s="33"/>
      <c r="C667" s="33"/>
      <c r="D667" s="33"/>
      <c r="E667" s="33"/>
      <c r="N667" s="1"/>
      <c r="O667" s="1"/>
      <c r="P667" s="1"/>
    </row>
    <row r="668" spans="2:16" ht="14.5">
      <c r="B668" s="33"/>
      <c r="C668" s="33"/>
      <c r="D668" s="33"/>
      <c r="E668" s="33"/>
      <c r="N668" s="1"/>
      <c r="O668" s="1"/>
      <c r="P668" s="1"/>
    </row>
    <row r="669" spans="2:16" ht="14.5">
      <c r="B669" s="33"/>
      <c r="C669" s="33"/>
      <c r="D669" s="33"/>
      <c r="E669" s="33"/>
      <c r="N669" s="1"/>
      <c r="O669" s="1"/>
      <c r="P669" s="1"/>
    </row>
    <row r="670" spans="2:16" ht="14.5">
      <c r="B670" s="33"/>
      <c r="C670" s="33"/>
      <c r="D670" s="33"/>
      <c r="E670" s="33"/>
      <c r="N670" s="1"/>
      <c r="O670" s="1"/>
      <c r="P670" s="1"/>
    </row>
    <row r="671" spans="2:16" ht="14.5">
      <c r="B671" s="33"/>
      <c r="C671" s="33"/>
      <c r="D671" s="33"/>
      <c r="E671" s="33"/>
      <c r="N671" s="1"/>
      <c r="O671" s="1"/>
      <c r="P671" s="1"/>
    </row>
    <row r="672" spans="2:16" ht="14.5">
      <c r="B672" s="33"/>
      <c r="C672" s="33"/>
      <c r="D672" s="33"/>
      <c r="E672" s="33"/>
      <c r="N672" s="1"/>
      <c r="O672" s="1"/>
      <c r="P672" s="1"/>
    </row>
    <row r="673" spans="2:16" ht="14.5">
      <c r="B673" s="33"/>
      <c r="C673" s="33"/>
      <c r="D673" s="33"/>
      <c r="E673" s="33"/>
      <c r="N673" s="1"/>
      <c r="O673" s="1"/>
      <c r="P673" s="1"/>
    </row>
    <row r="674" spans="2:16" ht="14.5">
      <c r="B674" s="33"/>
      <c r="C674" s="33"/>
      <c r="D674" s="33"/>
      <c r="E674" s="33"/>
      <c r="N674" s="1"/>
      <c r="O674" s="1"/>
      <c r="P674" s="1"/>
    </row>
    <row r="675" spans="2:16" ht="14.5">
      <c r="B675" s="33"/>
      <c r="C675" s="33"/>
      <c r="D675" s="33"/>
      <c r="E675" s="33"/>
      <c r="N675" s="1"/>
      <c r="O675" s="1"/>
      <c r="P675" s="1"/>
    </row>
    <row r="676" spans="2:16" ht="14.5">
      <c r="B676" s="33"/>
      <c r="C676" s="33"/>
      <c r="D676" s="33"/>
      <c r="E676" s="33"/>
      <c r="N676" s="1"/>
      <c r="O676" s="1"/>
      <c r="P676" s="1"/>
    </row>
    <row r="677" spans="2:16" ht="14.5">
      <c r="B677" s="33"/>
      <c r="C677" s="33"/>
      <c r="D677" s="33"/>
      <c r="E677" s="33"/>
      <c r="N677" s="1"/>
      <c r="O677" s="1"/>
      <c r="P677" s="1"/>
    </row>
    <row r="678" spans="2:16" ht="14.5">
      <c r="B678" s="33"/>
      <c r="C678" s="33"/>
      <c r="D678" s="33"/>
      <c r="E678" s="33"/>
      <c r="N678" s="1"/>
      <c r="O678" s="1"/>
      <c r="P678" s="1"/>
    </row>
    <row r="679" spans="2:16" ht="14.5">
      <c r="B679" s="33"/>
      <c r="C679" s="33"/>
      <c r="D679" s="33"/>
      <c r="E679" s="33"/>
      <c r="N679" s="1"/>
      <c r="O679" s="1"/>
      <c r="P679" s="1"/>
    </row>
    <row r="680" spans="2:16" ht="14.5">
      <c r="B680" s="33"/>
      <c r="C680" s="33"/>
      <c r="D680" s="33"/>
      <c r="E680" s="33"/>
      <c r="N680" s="1"/>
      <c r="O680" s="1"/>
      <c r="P680" s="1"/>
    </row>
    <row r="681" spans="2:16" ht="14.5">
      <c r="B681" s="33"/>
      <c r="C681" s="33"/>
      <c r="D681" s="33"/>
      <c r="E681" s="33"/>
      <c r="N681" s="1"/>
      <c r="O681" s="1"/>
      <c r="P681" s="1"/>
    </row>
    <row r="682" spans="2:16" ht="14.5">
      <c r="B682" s="33"/>
      <c r="C682" s="33"/>
      <c r="D682" s="33"/>
      <c r="E682" s="33"/>
      <c r="N682" s="1"/>
      <c r="O682" s="1"/>
      <c r="P682" s="1"/>
    </row>
    <row r="683" spans="2:16" ht="14.5">
      <c r="B683" s="33"/>
      <c r="C683" s="33"/>
      <c r="D683" s="33"/>
      <c r="E683" s="33"/>
      <c r="N683" s="1"/>
      <c r="O683" s="1"/>
      <c r="P683" s="1"/>
    </row>
    <row r="684" spans="2:16" ht="14.5">
      <c r="B684" s="33"/>
      <c r="C684" s="33"/>
      <c r="D684" s="33"/>
      <c r="E684" s="33"/>
      <c r="N684" s="1"/>
      <c r="O684" s="1"/>
      <c r="P684" s="1"/>
    </row>
    <row r="685" spans="2:16" ht="14.5">
      <c r="B685" s="33"/>
      <c r="C685" s="33"/>
      <c r="D685" s="33"/>
      <c r="E685" s="33"/>
      <c r="N685" s="1"/>
      <c r="O685" s="1"/>
      <c r="P685" s="1"/>
    </row>
    <row r="686" spans="2:16" ht="14.5">
      <c r="B686" s="33"/>
      <c r="C686" s="33"/>
      <c r="D686" s="33"/>
      <c r="E686" s="33"/>
      <c r="N686" s="1"/>
      <c r="O686" s="1"/>
      <c r="P686" s="1"/>
    </row>
    <row r="687" spans="2:16" ht="14.5">
      <c r="B687" s="33"/>
      <c r="C687" s="33"/>
      <c r="D687" s="33"/>
      <c r="E687" s="33"/>
      <c r="N687" s="1"/>
      <c r="O687" s="1"/>
      <c r="P687" s="1"/>
    </row>
    <row r="688" spans="2:16" ht="14.5">
      <c r="B688" s="33"/>
      <c r="C688" s="33"/>
      <c r="D688" s="33"/>
      <c r="E688" s="33"/>
      <c r="N688" s="1"/>
      <c r="O688" s="1"/>
      <c r="P688" s="1"/>
    </row>
    <row r="689" spans="2:16" ht="14.5">
      <c r="B689" s="33"/>
      <c r="C689" s="33"/>
      <c r="D689" s="33"/>
      <c r="E689" s="33"/>
      <c r="N689" s="1"/>
      <c r="O689" s="1"/>
      <c r="P689" s="1"/>
    </row>
    <row r="690" spans="2:16" ht="14.5">
      <c r="B690" s="33"/>
      <c r="C690" s="33"/>
      <c r="D690" s="33"/>
      <c r="E690" s="33"/>
      <c r="N690" s="1"/>
      <c r="O690" s="1"/>
      <c r="P690" s="1"/>
    </row>
    <row r="691" spans="2:16" ht="14.5">
      <c r="B691" s="33"/>
      <c r="C691" s="33"/>
      <c r="D691" s="33"/>
      <c r="E691" s="33"/>
      <c r="N691" s="1"/>
      <c r="O691" s="1"/>
      <c r="P691" s="1"/>
    </row>
    <row r="692" spans="2:16" ht="14.5">
      <c r="B692" s="33"/>
      <c r="C692" s="33"/>
      <c r="D692" s="33"/>
      <c r="E692" s="33"/>
      <c r="N692" s="1"/>
      <c r="O692" s="1"/>
      <c r="P692" s="1"/>
    </row>
    <row r="693" spans="2:16" ht="14.5">
      <c r="B693" s="33"/>
      <c r="C693" s="33"/>
      <c r="D693" s="33"/>
      <c r="E693" s="33"/>
      <c r="N693" s="1"/>
      <c r="O693" s="1"/>
      <c r="P693" s="1"/>
    </row>
    <row r="694" spans="2:16" ht="14.5">
      <c r="B694" s="33"/>
      <c r="C694" s="33"/>
      <c r="D694" s="33"/>
      <c r="E694" s="33"/>
      <c r="N694" s="1"/>
      <c r="O694" s="1"/>
      <c r="P694" s="1"/>
    </row>
    <row r="695" spans="2:16" ht="14.5">
      <c r="B695" s="33"/>
      <c r="C695" s="33"/>
      <c r="D695" s="33"/>
      <c r="E695" s="33"/>
      <c r="N695" s="1"/>
      <c r="O695" s="1"/>
      <c r="P695" s="1"/>
    </row>
    <row r="696" spans="2:16" ht="14.5">
      <c r="B696" s="33"/>
      <c r="C696" s="33"/>
      <c r="D696" s="33"/>
      <c r="E696" s="33"/>
      <c r="N696" s="1"/>
      <c r="O696" s="1"/>
      <c r="P696" s="1"/>
    </row>
    <row r="697" spans="2:16" ht="14.5">
      <c r="B697" s="33"/>
      <c r="C697" s="33"/>
      <c r="D697" s="33"/>
      <c r="E697" s="33"/>
      <c r="N697" s="1"/>
      <c r="O697" s="1"/>
      <c r="P697" s="1"/>
    </row>
    <row r="698" spans="2:16" ht="14.5">
      <c r="B698" s="33"/>
      <c r="C698" s="33"/>
      <c r="D698" s="33"/>
      <c r="E698" s="33"/>
      <c r="N698" s="1"/>
      <c r="O698" s="1"/>
      <c r="P698" s="1"/>
    </row>
    <row r="699" spans="2:16" ht="14.5">
      <c r="B699" s="33"/>
      <c r="C699" s="33"/>
      <c r="D699" s="33"/>
      <c r="E699" s="33"/>
      <c r="N699" s="1"/>
      <c r="O699" s="1"/>
      <c r="P699" s="1"/>
    </row>
    <row r="700" spans="2:16" ht="14.5">
      <c r="B700" s="33"/>
      <c r="C700" s="33"/>
      <c r="D700" s="33"/>
      <c r="E700" s="33"/>
      <c r="N700" s="1"/>
      <c r="O700" s="1"/>
      <c r="P700" s="1"/>
    </row>
    <row r="701" spans="2:16" ht="14.5">
      <c r="B701" s="33"/>
      <c r="C701" s="33"/>
      <c r="D701" s="33"/>
      <c r="E701" s="33"/>
      <c r="N701" s="1"/>
      <c r="O701" s="1"/>
      <c r="P701" s="1"/>
    </row>
    <row r="702" spans="2:16" ht="14.5">
      <c r="B702" s="33"/>
      <c r="C702" s="33"/>
      <c r="D702" s="33"/>
      <c r="E702" s="33"/>
      <c r="N702" s="1"/>
      <c r="O702" s="1"/>
      <c r="P702" s="1"/>
    </row>
    <row r="703" spans="2:16" ht="14.5">
      <c r="B703" s="33"/>
      <c r="C703" s="33"/>
      <c r="D703" s="33"/>
      <c r="E703" s="33"/>
      <c r="N703" s="1"/>
      <c r="O703" s="1"/>
      <c r="P703" s="1"/>
    </row>
    <row r="704" spans="2:16" ht="14.5">
      <c r="B704" s="33"/>
      <c r="C704" s="33"/>
      <c r="D704" s="33"/>
      <c r="E704" s="33"/>
      <c r="N704" s="1"/>
      <c r="O704" s="1"/>
      <c r="P704" s="1"/>
    </row>
    <row r="705" spans="2:16" ht="14.5">
      <c r="B705" s="33"/>
      <c r="C705" s="33"/>
      <c r="D705" s="33"/>
      <c r="E705" s="33"/>
      <c r="N705" s="1"/>
      <c r="O705" s="1"/>
      <c r="P705" s="1"/>
    </row>
    <row r="706" spans="2:16" ht="14.5">
      <c r="B706" s="33"/>
      <c r="C706" s="33"/>
      <c r="D706" s="33"/>
      <c r="E706" s="33"/>
      <c r="N706" s="1"/>
      <c r="O706" s="1"/>
      <c r="P706" s="1"/>
    </row>
    <row r="707" spans="2:16" ht="14.5">
      <c r="B707" s="33"/>
      <c r="C707" s="33"/>
      <c r="D707" s="33"/>
      <c r="E707" s="33"/>
      <c r="N707" s="1"/>
      <c r="O707" s="1"/>
      <c r="P707" s="1"/>
    </row>
    <row r="708" spans="2:16" ht="14.5">
      <c r="B708" s="33"/>
      <c r="C708" s="33"/>
      <c r="D708" s="33"/>
      <c r="E708" s="33"/>
      <c r="N708" s="1"/>
      <c r="O708" s="1"/>
      <c r="P708" s="1"/>
    </row>
    <row r="709" spans="2:16" ht="14.5">
      <c r="B709" s="33"/>
      <c r="C709" s="33"/>
      <c r="D709" s="33"/>
      <c r="E709" s="33"/>
      <c r="N709" s="1"/>
      <c r="O709" s="1"/>
      <c r="P709" s="1"/>
    </row>
    <row r="710" spans="2:16" ht="14.5">
      <c r="B710" s="33"/>
      <c r="C710" s="33"/>
      <c r="D710" s="33"/>
      <c r="E710" s="33"/>
      <c r="N710" s="1"/>
      <c r="O710" s="1"/>
      <c r="P710" s="1"/>
    </row>
    <row r="711" spans="2:16" ht="14.5">
      <c r="B711" s="33"/>
      <c r="C711" s="33"/>
      <c r="D711" s="33"/>
      <c r="E711" s="33"/>
      <c r="N711" s="1"/>
      <c r="O711" s="1"/>
      <c r="P711" s="1"/>
    </row>
    <row r="712" spans="2:16" ht="14.5">
      <c r="B712" s="33"/>
      <c r="C712" s="33"/>
      <c r="D712" s="33"/>
      <c r="E712" s="33"/>
      <c r="N712" s="1"/>
      <c r="O712" s="1"/>
      <c r="P712" s="1"/>
    </row>
    <row r="713" spans="2:16" ht="14.5">
      <c r="B713" s="33"/>
      <c r="C713" s="33"/>
      <c r="D713" s="33"/>
      <c r="E713" s="33"/>
      <c r="N713" s="1"/>
      <c r="O713" s="1"/>
      <c r="P713" s="1"/>
    </row>
    <row r="714" spans="2:16" ht="14.5">
      <c r="B714" s="33"/>
      <c r="C714" s="33"/>
      <c r="D714" s="33"/>
      <c r="E714" s="33"/>
      <c r="N714" s="1"/>
      <c r="O714" s="1"/>
      <c r="P714" s="1"/>
    </row>
    <row r="715" spans="2:16" ht="14.5">
      <c r="B715" s="33"/>
      <c r="C715" s="33"/>
      <c r="D715" s="33"/>
      <c r="E715" s="33"/>
      <c r="N715" s="1"/>
      <c r="O715" s="1"/>
      <c r="P715" s="1"/>
    </row>
    <row r="716" spans="2:16" ht="14.5">
      <c r="B716" s="33"/>
      <c r="C716" s="33"/>
      <c r="D716" s="33"/>
      <c r="E716" s="33"/>
      <c r="N716" s="1"/>
      <c r="O716" s="1"/>
      <c r="P716" s="1"/>
    </row>
    <row r="717" spans="2:16" ht="14.5">
      <c r="B717" s="33"/>
      <c r="C717" s="33"/>
      <c r="D717" s="33"/>
      <c r="E717" s="33"/>
      <c r="N717" s="1"/>
      <c r="O717" s="1"/>
      <c r="P717" s="1"/>
    </row>
    <row r="718" spans="2:16" ht="14.5">
      <c r="B718" s="33"/>
      <c r="C718" s="33"/>
      <c r="D718" s="33"/>
      <c r="E718" s="33"/>
      <c r="N718" s="1"/>
      <c r="O718" s="1"/>
      <c r="P718" s="1"/>
    </row>
    <row r="719" spans="2:16" ht="14.5">
      <c r="B719" s="33"/>
      <c r="C719" s="33"/>
      <c r="D719" s="33"/>
      <c r="E719" s="33"/>
      <c r="N719" s="1"/>
      <c r="O719" s="1"/>
      <c r="P719" s="1"/>
    </row>
    <row r="720" spans="2:16" ht="14.5">
      <c r="B720" s="33"/>
      <c r="C720" s="33"/>
      <c r="D720" s="33"/>
      <c r="E720" s="33"/>
      <c r="N720" s="1"/>
      <c r="O720" s="1"/>
      <c r="P720" s="1"/>
    </row>
    <row r="721" spans="2:16" ht="14.5">
      <c r="B721" s="33"/>
      <c r="C721" s="33"/>
      <c r="D721" s="33"/>
      <c r="E721" s="33"/>
      <c r="N721" s="1"/>
      <c r="O721" s="1"/>
      <c r="P721" s="1"/>
    </row>
    <row r="722" spans="2:16" ht="14.5">
      <c r="B722" s="33"/>
      <c r="C722" s="33"/>
      <c r="D722" s="33"/>
      <c r="E722" s="33"/>
      <c r="N722" s="1"/>
      <c r="O722" s="1"/>
      <c r="P722" s="1"/>
    </row>
    <row r="723" spans="2:16" ht="14.5">
      <c r="B723" s="33"/>
      <c r="C723" s="33"/>
      <c r="D723" s="33"/>
      <c r="E723" s="33"/>
      <c r="N723" s="1"/>
      <c r="O723" s="1"/>
      <c r="P723" s="1"/>
    </row>
    <row r="724" spans="2:16" ht="14.5">
      <c r="B724" s="33"/>
      <c r="C724" s="33"/>
      <c r="D724" s="33"/>
      <c r="E724" s="33"/>
      <c r="N724" s="1"/>
      <c r="O724" s="1"/>
      <c r="P724" s="1"/>
    </row>
    <row r="725" spans="2:16" ht="14.5">
      <c r="B725" s="33"/>
      <c r="C725" s="33"/>
      <c r="D725" s="33"/>
      <c r="E725" s="33"/>
      <c r="N725" s="1"/>
      <c r="O725" s="1"/>
      <c r="P725" s="1"/>
    </row>
    <row r="726" spans="2:16" ht="14.5">
      <c r="B726" s="33"/>
      <c r="C726" s="33"/>
      <c r="D726" s="33"/>
      <c r="E726" s="33"/>
      <c r="N726" s="1"/>
      <c r="O726" s="1"/>
      <c r="P726" s="1"/>
    </row>
    <row r="727" spans="2:16" ht="14.5">
      <c r="B727" s="33"/>
      <c r="C727" s="33"/>
      <c r="D727" s="33"/>
      <c r="E727" s="33"/>
      <c r="N727" s="1"/>
      <c r="O727" s="1"/>
      <c r="P727" s="1"/>
    </row>
    <row r="728" spans="2:16" ht="14.5">
      <c r="B728" s="33"/>
      <c r="C728" s="33"/>
      <c r="D728" s="33"/>
      <c r="E728" s="33"/>
      <c r="N728" s="1"/>
      <c r="O728" s="1"/>
      <c r="P728" s="1"/>
    </row>
    <row r="729" spans="2:16" ht="14.5">
      <c r="B729" s="33"/>
      <c r="C729" s="33"/>
      <c r="D729" s="33"/>
      <c r="E729" s="33"/>
      <c r="N729" s="1"/>
      <c r="O729" s="1"/>
      <c r="P729" s="1"/>
    </row>
    <row r="730" spans="2:16" ht="14.5">
      <c r="B730" s="33"/>
      <c r="C730" s="33"/>
      <c r="D730" s="33"/>
      <c r="E730" s="33"/>
      <c r="N730" s="1"/>
      <c r="O730" s="1"/>
      <c r="P730" s="1"/>
    </row>
    <row r="731" spans="2:16" ht="14.5">
      <c r="B731" s="33"/>
      <c r="C731" s="33"/>
      <c r="D731" s="33"/>
      <c r="E731" s="33"/>
      <c r="N731" s="1"/>
      <c r="O731" s="1"/>
      <c r="P731" s="1"/>
    </row>
    <row r="732" spans="2:16" ht="14.5">
      <c r="B732" s="33"/>
      <c r="C732" s="33"/>
      <c r="D732" s="33"/>
      <c r="E732" s="33"/>
      <c r="N732" s="1"/>
      <c r="O732" s="1"/>
      <c r="P732" s="1"/>
    </row>
    <row r="733" spans="2:16" ht="14.5">
      <c r="B733" s="33"/>
      <c r="C733" s="33"/>
      <c r="D733" s="33"/>
      <c r="E733" s="33"/>
      <c r="N733" s="1"/>
      <c r="O733" s="1"/>
      <c r="P733" s="1"/>
    </row>
    <row r="734" spans="2:16" ht="14.5">
      <c r="B734" s="33"/>
      <c r="C734" s="33"/>
      <c r="D734" s="33"/>
      <c r="E734" s="33"/>
      <c r="N734" s="1"/>
      <c r="O734" s="1"/>
      <c r="P734" s="1"/>
    </row>
    <row r="735" spans="2:16" ht="14.5">
      <c r="B735" s="33"/>
      <c r="C735" s="33"/>
      <c r="D735" s="33"/>
      <c r="E735" s="33"/>
      <c r="N735" s="1"/>
      <c r="O735" s="1"/>
      <c r="P735" s="1"/>
    </row>
    <row r="736" spans="2:16" ht="14.5">
      <c r="B736" s="33"/>
      <c r="C736" s="33"/>
      <c r="D736" s="33"/>
      <c r="E736" s="33"/>
      <c r="N736" s="1"/>
      <c r="O736" s="1"/>
      <c r="P736" s="1"/>
    </row>
    <row r="737" spans="2:16" ht="14.5">
      <c r="B737" s="33"/>
      <c r="C737" s="33"/>
      <c r="D737" s="33"/>
      <c r="E737" s="33"/>
      <c r="N737" s="1"/>
      <c r="O737" s="1"/>
      <c r="P737" s="1"/>
    </row>
    <row r="738" spans="2:16" ht="14.5">
      <c r="B738" s="33"/>
      <c r="C738" s="33"/>
      <c r="D738" s="33"/>
      <c r="E738" s="33"/>
      <c r="N738" s="1"/>
      <c r="O738" s="1"/>
      <c r="P738" s="1"/>
    </row>
    <row r="739" spans="2:16" ht="14.5">
      <c r="B739" s="33"/>
      <c r="C739" s="33"/>
      <c r="D739" s="33"/>
      <c r="E739" s="33"/>
      <c r="N739" s="1"/>
      <c r="O739" s="1"/>
      <c r="P739" s="1"/>
    </row>
    <row r="740" spans="2:16" ht="14.5">
      <c r="B740" s="33"/>
      <c r="C740" s="33"/>
      <c r="D740" s="33"/>
      <c r="E740" s="33"/>
      <c r="N740" s="1"/>
      <c r="O740" s="1"/>
      <c r="P740" s="1"/>
    </row>
    <row r="741" spans="2:16" ht="14.5">
      <c r="B741" s="33"/>
      <c r="C741" s="33"/>
      <c r="D741" s="33"/>
      <c r="E741" s="33"/>
      <c r="N741" s="1"/>
      <c r="O741" s="1"/>
      <c r="P741" s="1"/>
    </row>
    <row r="742" spans="2:16" ht="14.5">
      <c r="B742" s="33"/>
      <c r="C742" s="33"/>
      <c r="D742" s="33"/>
      <c r="E742" s="33"/>
      <c r="N742" s="1"/>
      <c r="O742" s="1"/>
      <c r="P742" s="1"/>
    </row>
    <row r="743" spans="2:16" ht="14.5">
      <c r="B743" s="33"/>
      <c r="C743" s="33"/>
      <c r="D743" s="33"/>
      <c r="E743" s="33"/>
      <c r="N743" s="1"/>
      <c r="O743" s="1"/>
      <c r="P743" s="1"/>
    </row>
    <row r="744" spans="2:16" ht="14.5">
      <c r="B744" s="33"/>
      <c r="C744" s="33"/>
      <c r="D744" s="33"/>
      <c r="E744" s="33"/>
      <c r="N744" s="1"/>
      <c r="O744" s="1"/>
      <c r="P744" s="1"/>
    </row>
    <row r="745" spans="2:16" ht="14.5">
      <c r="B745" s="33"/>
      <c r="C745" s="33"/>
      <c r="D745" s="33"/>
      <c r="E745" s="33"/>
      <c r="N745" s="1"/>
      <c r="O745" s="1"/>
      <c r="P745" s="1"/>
    </row>
    <row r="746" spans="2:16" ht="14.5">
      <c r="B746" s="33"/>
      <c r="C746" s="33"/>
      <c r="D746" s="33"/>
      <c r="E746" s="33"/>
      <c r="N746" s="1"/>
      <c r="O746" s="1"/>
      <c r="P746" s="1"/>
    </row>
    <row r="747" spans="2:16" ht="14.5">
      <c r="B747" s="33"/>
      <c r="C747" s="33"/>
      <c r="D747" s="33"/>
      <c r="E747" s="33"/>
      <c r="N747" s="1"/>
      <c r="O747" s="1"/>
      <c r="P747" s="1"/>
    </row>
    <row r="748" spans="2:16" ht="14.5">
      <c r="B748" s="33"/>
      <c r="C748" s="33"/>
      <c r="D748" s="33"/>
      <c r="E748" s="33"/>
      <c r="N748" s="1"/>
      <c r="O748" s="1"/>
      <c r="P748" s="1"/>
    </row>
    <row r="749" spans="2:16" ht="14.5">
      <c r="B749" s="33"/>
      <c r="C749" s="33"/>
      <c r="D749" s="33"/>
      <c r="E749" s="33"/>
      <c r="N749" s="1"/>
      <c r="O749" s="1"/>
      <c r="P749" s="1"/>
    </row>
    <row r="750" spans="2:16" ht="14.5">
      <c r="B750" s="33"/>
      <c r="C750" s="33"/>
      <c r="D750" s="33"/>
      <c r="E750" s="33"/>
      <c r="N750" s="1"/>
      <c r="O750" s="1"/>
      <c r="P750" s="1"/>
    </row>
    <row r="751" spans="2:16" ht="14.5">
      <c r="B751" s="33"/>
      <c r="C751" s="33"/>
      <c r="D751" s="33"/>
      <c r="E751" s="33"/>
      <c r="N751" s="1"/>
      <c r="O751" s="1"/>
      <c r="P751" s="1"/>
    </row>
    <row r="752" spans="2:16" ht="14.5">
      <c r="B752" s="33"/>
      <c r="C752" s="33"/>
      <c r="D752" s="33"/>
      <c r="E752" s="33"/>
      <c r="N752" s="1"/>
      <c r="O752" s="1"/>
      <c r="P752" s="1"/>
    </row>
    <row r="753" spans="2:16" ht="14.5">
      <c r="B753" s="33"/>
      <c r="C753" s="33"/>
      <c r="D753" s="33"/>
      <c r="E753" s="33"/>
      <c r="N753" s="1"/>
      <c r="O753" s="1"/>
      <c r="P753" s="1"/>
    </row>
    <row r="754" spans="2:16" ht="14.5">
      <c r="B754" s="33"/>
      <c r="C754" s="33"/>
      <c r="D754" s="33"/>
      <c r="E754" s="33"/>
      <c r="N754" s="1"/>
      <c r="O754" s="1"/>
      <c r="P754" s="1"/>
    </row>
    <row r="755" spans="2:16" ht="14.5">
      <c r="B755" s="33"/>
      <c r="C755" s="33"/>
      <c r="D755" s="33"/>
      <c r="E755" s="33"/>
      <c r="N755" s="1"/>
      <c r="O755" s="1"/>
      <c r="P755" s="1"/>
    </row>
    <row r="756" spans="2:16" ht="14.5">
      <c r="B756" s="33"/>
      <c r="C756" s="33"/>
      <c r="D756" s="33"/>
      <c r="E756" s="33"/>
      <c r="N756" s="1"/>
      <c r="O756" s="1"/>
      <c r="P756" s="1"/>
    </row>
    <row r="757" spans="2:16" ht="14.5">
      <c r="B757" s="33"/>
      <c r="C757" s="33"/>
      <c r="D757" s="33"/>
      <c r="E757" s="33"/>
      <c r="N757" s="1"/>
      <c r="O757" s="1"/>
      <c r="P757" s="1"/>
    </row>
    <row r="758" spans="2:16" ht="14.5">
      <c r="B758" s="33"/>
      <c r="C758" s="33"/>
      <c r="D758" s="33"/>
      <c r="E758" s="33"/>
      <c r="N758" s="1"/>
      <c r="O758" s="1"/>
      <c r="P758" s="1"/>
    </row>
    <row r="759" spans="2:16" ht="14.5">
      <c r="B759" s="33"/>
      <c r="C759" s="33"/>
      <c r="D759" s="33"/>
      <c r="E759" s="33"/>
      <c r="N759" s="1"/>
      <c r="O759" s="1"/>
      <c r="P759" s="1"/>
    </row>
    <row r="760" spans="2:16" ht="14.5">
      <c r="B760" s="33"/>
      <c r="C760" s="33"/>
      <c r="D760" s="33"/>
      <c r="E760" s="33"/>
      <c r="N760" s="1"/>
      <c r="O760" s="1"/>
      <c r="P760" s="1"/>
    </row>
    <row r="761" spans="2:16" ht="14.5">
      <c r="B761" s="33"/>
      <c r="C761" s="33"/>
      <c r="D761" s="33"/>
      <c r="E761" s="33"/>
      <c r="N761" s="1"/>
      <c r="O761" s="1"/>
      <c r="P761" s="1"/>
    </row>
    <row r="762" spans="2:16" ht="14.5">
      <c r="B762" s="33"/>
      <c r="C762" s="33"/>
      <c r="D762" s="33"/>
      <c r="E762" s="33"/>
      <c r="N762" s="1"/>
      <c r="O762" s="1"/>
      <c r="P762" s="1"/>
    </row>
    <row r="763" spans="2:16" ht="14.5">
      <c r="B763" s="33"/>
      <c r="C763" s="33"/>
      <c r="D763" s="33"/>
      <c r="E763" s="33"/>
      <c r="N763" s="1"/>
      <c r="O763" s="1"/>
      <c r="P763" s="1"/>
    </row>
    <row r="764" spans="2:16" ht="14.5">
      <c r="B764" s="33"/>
      <c r="C764" s="33"/>
      <c r="D764" s="33"/>
      <c r="E764" s="33"/>
      <c r="N764" s="1"/>
      <c r="O764" s="1"/>
      <c r="P764" s="1"/>
    </row>
    <row r="765" spans="2:16" ht="14.5">
      <c r="B765" s="33"/>
      <c r="C765" s="33"/>
      <c r="D765" s="33"/>
      <c r="E765" s="33"/>
      <c r="N765" s="1"/>
      <c r="O765" s="1"/>
      <c r="P765" s="1"/>
    </row>
    <row r="766" spans="2:16" ht="14.5">
      <c r="B766" s="33"/>
      <c r="C766" s="33"/>
      <c r="D766" s="33"/>
      <c r="E766" s="33"/>
      <c r="N766" s="1"/>
      <c r="O766" s="1"/>
      <c r="P766" s="1"/>
    </row>
    <row r="767" spans="2:16" ht="14.5">
      <c r="B767" s="33"/>
      <c r="C767" s="33"/>
      <c r="D767" s="33"/>
      <c r="E767" s="33"/>
      <c r="N767" s="1"/>
      <c r="O767" s="1"/>
      <c r="P767" s="1"/>
    </row>
    <row r="768" spans="2:16" ht="14.5">
      <c r="B768" s="33"/>
      <c r="C768" s="33"/>
      <c r="D768" s="33"/>
      <c r="E768" s="33"/>
      <c r="N768" s="1"/>
      <c r="O768" s="1"/>
      <c r="P768" s="1"/>
    </row>
    <row r="769" spans="2:16" ht="14.5">
      <c r="B769" s="33"/>
      <c r="C769" s="33"/>
      <c r="D769" s="33"/>
      <c r="E769" s="33"/>
      <c r="N769" s="1"/>
      <c r="O769" s="1"/>
      <c r="P769" s="1"/>
    </row>
    <row r="770" spans="2:16" ht="14.5">
      <c r="B770" s="33"/>
      <c r="C770" s="33"/>
      <c r="D770" s="33"/>
      <c r="E770" s="33"/>
      <c r="N770" s="1"/>
      <c r="O770" s="1"/>
      <c r="P770" s="1"/>
    </row>
    <row r="771" spans="2:16" ht="14.5">
      <c r="B771" s="33"/>
      <c r="C771" s="33"/>
      <c r="D771" s="33"/>
      <c r="E771" s="33"/>
      <c r="N771" s="1"/>
      <c r="O771" s="1"/>
      <c r="P771" s="1"/>
    </row>
    <row r="772" spans="2:16" ht="14.5">
      <c r="B772" s="33"/>
      <c r="C772" s="33"/>
      <c r="D772" s="33"/>
      <c r="E772" s="33"/>
      <c r="N772" s="1"/>
      <c r="O772" s="1"/>
      <c r="P772" s="1"/>
    </row>
    <row r="773" spans="2:16" ht="14.5">
      <c r="B773" s="33"/>
      <c r="C773" s="33"/>
      <c r="D773" s="33"/>
      <c r="E773" s="33"/>
      <c r="N773" s="1"/>
      <c r="O773" s="1"/>
      <c r="P773" s="1"/>
    </row>
    <row r="774" spans="2:16" ht="14.5">
      <c r="B774" s="33"/>
      <c r="C774" s="33"/>
      <c r="D774" s="33"/>
      <c r="E774" s="33"/>
      <c r="N774" s="1"/>
      <c r="O774" s="1"/>
      <c r="P774" s="1"/>
    </row>
    <row r="775" spans="2:16" ht="14.5">
      <c r="B775" s="33"/>
      <c r="C775" s="33"/>
      <c r="D775" s="33"/>
      <c r="E775" s="33"/>
      <c r="N775" s="1"/>
      <c r="O775" s="1"/>
      <c r="P775" s="1"/>
    </row>
    <row r="776" spans="2:16" ht="14.5">
      <c r="B776" s="33"/>
      <c r="C776" s="33"/>
      <c r="D776" s="33"/>
      <c r="E776" s="33"/>
      <c r="N776" s="1"/>
      <c r="O776" s="1"/>
      <c r="P776" s="1"/>
    </row>
    <row r="777" spans="2:16" ht="14.5">
      <c r="B777" s="33"/>
      <c r="C777" s="33"/>
      <c r="D777" s="33"/>
      <c r="E777" s="33"/>
      <c r="N777" s="1"/>
      <c r="O777" s="1"/>
      <c r="P777" s="1"/>
    </row>
    <row r="778" spans="2:16" ht="14.5">
      <c r="B778" s="33"/>
      <c r="C778" s="33"/>
      <c r="D778" s="33"/>
      <c r="E778" s="33"/>
      <c r="N778" s="1"/>
      <c r="O778" s="1"/>
      <c r="P778" s="1"/>
    </row>
    <row r="779" spans="2:16" ht="14.5">
      <c r="B779" s="33"/>
      <c r="C779" s="33"/>
      <c r="D779" s="33"/>
      <c r="E779" s="33"/>
      <c r="N779" s="1"/>
      <c r="O779" s="1"/>
      <c r="P779" s="1"/>
    </row>
    <row r="780" spans="2:16" ht="14.5">
      <c r="B780" s="33"/>
      <c r="C780" s="33"/>
      <c r="D780" s="33"/>
      <c r="E780" s="33"/>
      <c r="N780" s="1"/>
      <c r="O780" s="1"/>
      <c r="P780" s="1"/>
    </row>
    <row r="781" spans="2:16" ht="14.5">
      <c r="B781" s="33"/>
      <c r="C781" s="33"/>
      <c r="D781" s="33"/>
      <c r="E781" s="33"/>
      <c r="N781" s="1"/>
      <c r="O781" s="1"/>
      <c r="P781" s="1"/>
    </row>
    <row r="782" spans="2:16" ht="14.5">
      <c r="B782" s="33"/>
      <c r="C782" s="33"/>
      <c r="D782" s="33"/>
      <c r="E782" s="33"/>
      <c r="N782" s="1"/>
      <c r="O782" s="1"/>
      <c r="P782" s="1"/>
    </row>
    <row r="783" spans="2:16" ht="14.5">
      <c r="B783" s="33"/>
      <c r="C783" s="33"/>
      <c r="D783" s="33"/>
      <c r="E783" s="33"/>
      <c r="N783" s="1"/>
      <c r="O783" s="1"/>
      <c r="P783" s="1"/>
    </row>
    <row r="784" spans="2:16" ht="14.5">
      <c r="B784" s="33"/>
      <c r="C784" s="33"/>
      <c r="D784" s="33"/>
      <c r="E784" s="33"/>
      <c r="N784" s="1"/>
      <c r="O784" s="1"/>
      <c r="P784" s="1"/>
    </row>
    <row r="785" spans="2:16" ht="14.5">
      <c r="B785" s="33"/>
      <c r="C785" s="33"/>
      <c r="D785" s="33"/>
      <c r="E785" s="33"/>
      <c r="N785" s="1"/>
      <c r="O785" s="1"/>
      <c r="P785" s="1"/>
    </row>
    <row r="786" spans="2:16" ht="14.5">
      <c r="B786" s="33"/>
      <c r="C786" s="33"/>
      <c r="D786" s="33"/>
      <c r="E786" s="33"/>
      <c r="N786" s="1"/>
      <c r="O786" s="1"/>
      <c r="P786" s="1"/>
    </row>
    <row r="787" spans="2:16" ht="14.5">
      <c r="B787" s="33"/>
      <c r="C787" s="33"/>
      <c r="D787" s="33"/>
      <c r="E787" s="33"/>
      <c r="N787" s="1"/>
      <c r="O787" s="1"/>
      <c r="P787" s="1"/>
    </row>
    <row r="788" spans="2:16" ht="14.5">
      <c r="B788" s="33"/>
      <c r="C788" s="33"/>
      <c r="D788" s="33"/>
      <c r="E788" s="33"/>
      <c r="N788" s="1"/>
      <c r="O788" s="1"/>
      <c r="P788" s="1"/>
    </row>
    <row r="789" spans="2:16" ht="14.5">
      <c r="B789" s="33"/>
      <c r="C789" s="33"/>
      <c r="D789" s="33"/>
      <c r="E789" s="33"/>
      <c r="N789" s="1"/>
      <c r="O789" s="1"/>
      <c r="P789" s="1"/>
    </row>
    <row r="790" spans="2:16" ht="14.5">
      <c r="B790" s="33"/>
      <c r="C790" s="33"/>
      <c r="D790" s="33"/>
      <c r="E790" s="33"/>
      <c r="N790" s="1"/>
      <c r="O790" s="1"/>
      <c r="P790" s="1"/>
    </row>
    <row r="791" spans="2:16" ht="14.5">
      <c r="B791" s="33"/>
      <c r="C791" s="33"/>
      <c r="D791" s="33"/>
      <c r="E791" s="33"/>
      <c r="N791" s="1"/>
      <c r="O791" s="1"/>
      <c r="P791" s="1"/>
    </row>
    <row r="792" spans="2:16" ht="14.5">
      <c r="B792" s="33"/>
      <c r="C792" s="33"/>
      <c r="D792" s="33"/>
      <c r="E792" s="33"/>
      <c r="N792" s="1"/>
      <c r="O792" s="1"/>
      <c r="P792" s="1"/>
    </row>
    <row r="793" spans="2:16" ht="14.5">
      <c r="B793" s="33"/>
      <c r="C793" s="33"/>
      <c r="D793" s="33"/>
      <c r="E793" s="33"/>
      <c r="N793" s="1"/>
      <c r="O793" s="1"/>
      <c r="P793" s="1"/>
    </row>
    <row r="794" spans="2:16" ht="14.5">
      <c r="B794" s="33"/>
      <c r="C794" s="33"/>
      <c r="D794" s="33"/>
      <c r="E794" s="33"/>
      <c r="N794" s="1"/>
      <c r="O794" s="1"/>
      <c r="P794" s="1"/>
    </row>
    <row r="795" spans="2:16" ht="14.5">
      <c r="B795" s="33"/>
      <c r="C795" s="33"/>
      <c r="D795" s="33"/>
      <c r="E795" s="33"/>
      <c r="N795" s="1"/>
      <c r="O795" s="1"/>
      <c r="P795" s="1"/>
    </row>
    <row r="796" spans="2:16" ht="14.5">
      <c r="B796" s="33"/>
      <c r="C796" s="33"/>
      <c r="D796" s="33"/>
      <c r="E796" s="33"/>
      <c r="N796" s="1"/>
      <c r="O796" s="1"/>
      <c r="P796" s="1"/>
    </row>
    <row r="797" spans="2:16" ht="14.5">
      <c r="B797" s="33"/>
      <c r="C797" s="33"/>
      <c r="D797" s="33"/>
      <c r="E797" s="33"/>
      <c r="N797" s="1"/>
      <c r="O797" s="1"/>
      <c r="P797" s="1"/>
    </row>
    <row r="798" spans="2:16" ht="14.5">
      <c r="B798" s="33"/>
      <c r="C798" s="33"/>
      <c r="D798" s="33"/>
      <c r="E798" s="33"/>
      <c r="N798" s="1"/>
      <c r="O798" s="1"/>
      <c r="P798" s="1"/>
    </row>
    <row r="799" spans="2:16" ht="14.5">
      <c r="B799" s="33"/>
      <c r="C799" s="33"/>
      <c r="D799" s="33"/>
      <c r="E799" s="33"/>
      <c r="N799" s="1"/>
      <c r="O799" s="1"/>
      <c r="P799" s="1"/>
    </row>
    <row r="800" spans="2:16" ht="14.5">
      <c r="B800" s="33"/>
      <c r="C800" s="33"/>
      <c r="D800" s="33"/>
      <c r="E800" s="33"/>
      <c r="N800" s="1"/>
      <c r="O800" s="1"/>
      <c r="P800" s="1"/>
    </row>
    <row r="801" spans="2:16" ht="14.5">
      <c r="B801" s="33"/>
      <c r="C801" s="33"/>
      <c r="D801" s="33"/>
      <c r="E801" s="33"/>
      <c r="N801" s="1"/>
      <c r="O801" s="1"/>
      <c r="P801" s="1"/>
    </row>
    <row r="802" spans="2:16" ht="14.5">
      <c r="B802" s="33"/>
      <c r="C802" s="33"/>
      <c r="D802" s="33"/>
      <c r="E802" s="33"/>
      <c r="N802" s="1"/>
      <c r="O802" s="1"/>
      <c r="P802" s="1"/>
    </row>
    <row r="803" spans="2:16" ht="14.5">
      <c r="B803" s="33"/>
      <c r="C803" s="33"/>
      <c r="D803" s="33"/>
      <c r="E803" s="33"/>
      <c r="N803" s="1"/>
      <c r="O803" s="1"/>
      <c r="P803" s="1"/>
    </row>
    <row r="804" spans="2:16" ht="14.5">
      <c r="B804" s="33"/>
      <c r="C804" s="33"/>
      <c r="D804" s="33"/>
      <c r="E804" s="33"/>
      <c r="N804" s="1"/>
      <c r="O804" s="1"/>
      <c r="P804" s="1"/>
    </row>
    <row r="805" spans="2:16" ht="14.5">
      <c r="B805" s="33"/>
      <c r="C805" s="33"/>
      <c r="D805" s="33"/>
      <c r="E805" s="33"/>
      <c r="N805" s="1"/>
      <c r="O805" s="1"/>
      <c r="P805" s="1"/>
    </row>
    <row r="806" spans="2:16" ht="14.5">
      <c r="B806" s="33"/>
      <c r="C806" s="33"/>
      <c r="D806" s="33"/>
      <c r="E806" s="33"/>
      <c r="N806" s="1"/>
      <c r="O806" s="1"/>
      <c r="P806" s="1"/>
    </row>
    <row r="807" spans="2:16" ht="14.5">
      <c r="B807" s="33"/>
      <c r="C807" s="33"/>
      <c r="D807" s="33"/>
      <c r="E807" s="33"/>
      <c r="N807" s="1"/>
      <c r="O807" s="1"/>
      <c r="P807" s="1"/>
    </row>
    <row r="808" spans="2:16" ht="14.5">
      <c r="B808" s="33"/>
      <c r="C808" s="33"/>
      <c r="D808" s="33"/>
      <c r="E808" s="33"/>
      <c r="N808" s="1"/>
      <c r="O808" s="1"/>
      <c r="P808" s="1"/>
    </row>
    <row r="809" spans="2:16" ht="14.5">
      <c r="B809" s="33"/>
      <c r="C809" s="33"/>
      <c r="D809" s="33"/>
      <c r="E809" s="33"/>
      <c r="N809" s="1"/>
      <c r="O809" s="1"/>
      <c r="P809" s="1"/>
    </row>
    <row r="810" spans="2:16" ht="14.5">
      <c r="B810" s="33"/>
      <c r="C810" s="33"/>
      <c r="D810" s="33"/>
      <c r="E810" s="33"/>
      <c r="N810" s="1"/>
      <c r="O810" s="1"/>
      <c r="P810" s="1"/>
    </row>
    <row r="811" spans="2:16" ht="14.5">
      <c r="B811" s="33"/>
      <c r="C811" s="33"/>
      <c r="D811" s="33"/>
      <c r="E811" s="33"/>
      <c r="N811" s="1"/>
      <c r="O811" s="1"/>
      <c r="P811" s="1"/>
    </row>
    <row r="812" spans="2:16" ht="14.5">
      <c r="B812" s="33"/>
      <c r="C812" s="33"/>
      <c r="D812" s="33"/>
      <c r="E812" s="33"/>
      <c r="N812" s="1"/>
      <c r="O812" s="1"/>
      <c r="P812" s="1"/>
    </row>
    <row r="813" spans="2:16" ht="14.5">
      <c r="B813" s="33"/>
      <c r="C813" s="33"/>
      <c r="D813" s="33"/>
      <c r="E813" s="33"/>
      <c r="N813" s="1"/>
      <c r="O813" s="1"/>
      <c r="P813" s="1"/>
    </row>
    <row r="814" spans="2:16" ht="14.5">
      <c r="B814" s="33"/>
      <c r="C814" s="33"/>
      <c r="D814" s="33"/>
      <c r="E814" s="33"/>
      <c r="N814" s="1"/>
      <c r="O814" s="1"/>
      <c r="P814" s="1"/>
    </row>
    <row r="815" spans="2:16" ht="14.5">
      <c r="B815" s="33"/>
      <c r="C815" s="33"/>
      <c r="D815" s="33"/>
      <c r="E815" s="33"/>
      <c r="N815" s="1"/>
      <c r="O815" s="1"/>
      <c r="P815" s="1"/>
    </row>
    <row r="816" spans="2:16" ht="14.5">
      <c r="B816" s="33"/>
      <c r="C816" s="33"/>
      <c r="D816" s="33"/>
      <c r="E816" s="33"/>
      <c r="N816" s="1"/>
      <c r="O816" s="1"/>
      <c r="P816" s="1"/>
    </row>
    <row r="817" spans="2:16" ht="14.5">
      <c r="B817" s="33"/>
      <c r="C817" s="33"/>
      <c r="D817" s="33"/>
      <c r="E817" s="33"/>
      <c r="N817" s="1"/>
      <c r="O817" s="1"/>
      <c r="P817" s="1"/>
    </row>
    <row r="818" spans="2:16" ht="14.5">
      <c r="B818" s="33"/>
      <c r="C818" s="33"/>
      <c r="D818" s="33"/>
      <c r="E818" s="33"/>
      <c r="N818" s="1"/>
      <c r="O818" s="1"/>
      <c r="P818" s="1"/>
    </row>
    <row r="819" spans="2:16" ht="14.5">
      <c r="B819" s="33"/>
      <c r="C819" s="33"/>
      <c r="D819" s="33"/>
      <c r="E819" s="33"/>
      <c r="N819" s="1"/>
      <c r="O819" s="1"/>
      <c r="P819" s="1"/>
    </row>
    <row r="820" spans="2:16" ht="14.5">
      <c r="B820" s="33"/>
      <c r="C820" s="33"/>
      <c r="D820" s="33"/>
      <c r="E820" s="33"/>
      <c r="N820" s="1"/>
      <c r="O820" s="1"/>
      <c r="P820" s="1"/>
    </row>
    <row r="821" spans="2:16" ht="14.5">
      <c r="B821" s="33"/>
      <c r="C821" s="33"/>
      <c r="D821" s="33"/>
      <c r="E821" s="33"/>
      <c r="N821" s="1"/>
      <c r="O821" s="1"/>
      <c r="P821" s="1"/>
    </row>
    <row r="822" spans="2:16" ht="14.5">
      <c r="B822" s="33"/>
      <c r="C822" s="33"/>
      <c r="D822" s="33"/>
      <c r="E822" s="33"/>
      <c r="N822" s="1"/>
      <c r="O822" s="1"/>
      <c r="P822" s="1"/>
    </row>
    <row r="823" spans="2:16" ht="14.5">
      <c r="B823" s="33"/>
      <c r="C823" s="33"/>
      <c r="D823" s="33"/>
      <c r="E823" s="33"/>
      <c r="N823" s="1"/>
      <c r="O823" s="1"/>
      <c r="P823" s="1"/>
    </row>
    <row r="824" spans="2:16" ht="14.5">
      <c r="B824" s="33"/>
      <c r="C824" s="33"/>
      <c r="D824" s="33"/>
      <c r="E824" s="33"/>
      <c r="N824" s="1"/>
      <c r="O824" s="1"/>
      <c r="P824" s="1"/>
    </row>
    <row r="825" spans="2:16" ht="14.5">
      <c r="B825" s="33"/>
      <c r="C825" s="33"/>
      <c r="D825" s="33"/>
      <c r="E825" s="33"/>
      <c r="N825" s="1"/>
      <c r="O825" s="1"/>
      <c r="P825" s="1"/>
    </row>
    <row r="826" spans="2:16" ht="14.5">
      <c r="B826" s="33"/>
      <c r="C826" s="33"/>
      <c r="D826" s="33"/>
      <c r="E826" s="33"/>
      <c r="N826" s="1"/>
      <c r="O826" s="1"/>
      <c r="P826" s="1"/>
    </row>
    <row r="827" spans="2:16" ht="14.5">
      <c r="B827" s="33"/>
      <c r="C827" s="33"/>
      <c r="D827" s="33"/>
      <c r="E827" s="33"/>
      <c r="N827" s="1"/>
      <c r="O827" s="1"/>
      <c r="P827" s="1"/>
    </row>
    <row r="828" spans="2:16" ht="14.5">
      <c r="B828" s="33"/>
      <c r="C828" s="33"/>
      <c r="D828" s="33"/>
      <c r="E828" s="33"/>
      <c r="N828" s="1"/>
      <c r="O828" s="1"/>
      <c r="P828" s="1"/>
    </row>
    <row r="829" spans="2:16" ht="14.5">
      <c r="B829" s="33"/>
      <c r="C829" s="33"/>
      <c r="D829" s="33"/>
      <c r="E829" s="33"/>
      <c r="N829" s="1"/>
      <c r="O829" s="1"/>
      <c r="P829" s="1"/>
    </row>
    <row r="830" spans="2:16" ht="14.5">
      <c r="B830" s="33"/>
      <c r="C830" s="33"/>
      <c r="D830" s="33"/>
      <c r="E830" s="33"/>
      <c r="N830" s="1"/>
      <c r="O830" s="1"/>
      <c r="P830" s="1"/>
    </row>
    <row r="831" spans="2:16" ht="14.5">
      <c r="B831" s="33"/>
      <c r="C831" s="33"/>
      <c r="D831" s="33"/>
      <c r="E831" s="33"/>
      <c r="N831" s="1"/>
      <c r="O831" s="1"/>
      <c r="P831" s="1"/>
    </row>
    <row r="832" spans="2:16" ht="14.5">
      <c r="B832" s="33"/>
      <c r="C832" s="33"/>
      <c r="D832" s="33"/>
      <c r="E832" s="33"/>
      <c r="N832" s="1"/>
      <c r="O832" s="1"/>
      <c r="P832" s="1"/>
    </row>
    <row r="833" spans="2:16" ht="14.5">
      <c r="B833" s="33"/>
      <c r="C833" s="33"/>
      <c r="D833" s="33"/>
      <c r="E833" s="33"/>
      <c r="N833" s="1"/>
      <c r="O833" s="1"/>
      <c r="P833" s="1"/>
    </row>
    <row r="834" spans="2:16" ht="14.5">
      <c r="B834" s="33"/>
      <c r="C834" s="33"/>
      <c r="D834" s="33"/>
      <c r="E834" s="33"/>
      <c r="N834" s="1"/>
      <c r="O834" s="1"/>
      <c r="P834" s="1"/>
    </row>
    <row r="835" spans="2:16" ht="14.5">
      <c r="B835" s="33"/>
      <c r="C835" s="33"/>
      <c r="D835" s="33"/>
      <c r="E835" s="33"/>
      <c r="N835" s="1"/>
      <c r="O835" s="1"/>
      <c r="P835" s="1"/>
    </row>
    <row r="836" spans="2:16" ht="14.5">
      <c r="B836" s="33"/>
      <c r="C836" s="33"/>
      <c r="D836" s="33"/>
      <c r="E836" s="33"/>
      <c r="N836" s="1"/>
      <c r="O836" s="1"/>
      <c r="P836" s="1"/>
    </row>
    <row r="837" spans="2:16" ht="14.5">
      <c r="B837" s="33"/>
      <c r="C837" s="33"/>
      <c r="D837" s="33"/>
      <c r="E837" s="33"/>
      <c r="N837" s="1"/>
      <c r="O837" s="1"/>
      <c r="P837" s="1"/>
    </row>
    <row r="838" spans="2:16" ht="14.5">
      <c r="B838" s="33"/>
      <c r="C838" s="33"/>
      <c r="D838" s="33"/>
      <c r="E838" s="33"/>
      <c r="N838" s="1"/>
      <c r="O838" s="1"/>
      <c r="P838" s="1"/>
    </row>
    <row r="839" spans="2:16" ht="14.5">
      <c r="B839" s="33"/>
      <c r="C839" s="33"/>
      <c r="D839" s="33"/>
      <c r="E839" s="33"/>
      <c r="N839" s="1"/>
      <c r="O839" s="1"/>
      <c r="P839" s="1"/>
    </row>
    <row r="840" spans="2:16" ht="14.5">
      <c r="B840" s="33"/>
      <c r="C840" s="33"/>
      <c r="D840" s="33"/>
      <c r="E840" s="33"/>
      <c r="N840" s="1"/>
      <c r="O840" s="1"/>
      <c r="P840" s="1"/>
    </row>
    <row r="841" spans="2:16" ht="14.5">
      <c r="B841" s="33"/>
      <c r="C841" s="33"/>
      <c r="D841" s="33"/>
      <c r="E841" s="33"/>
      <c r="N841" s="1"/>
      <c r="O841" s="1"/>
      <c r="P841" s="1"/>
    </row>
    <row r="842" spans="2:16" ht="14.5">
      <c r="B842" s="33"/>
      <c r="C842" s="33"/>
      <c r="D842" s="33"/>
      <c r="E842" s="33"/>
      <c r="N842" s="1"/>
      <c r="O842" s="1"/>
      <c r="P842" s="1"/>
    </row>
    <row r="843" spans="2:16" ht="14.5">
      <c r="B843" s="33"/>
      <c r="C843" s="33"/>
      <c r="D843" s="33"/>
      <c r="E843" s="33"/>
      <c r="N843" s="1"/>
      <c r="O843" s="1"/>
      <c r="P843" s="1"/>
    </row>
    <row r="844" spans="2:16" ht="14.5">
      <c r="B844" s="33"/>
      <c r="C844" s="33"/>
      <c r="D844" s="33"/>
      <c r="E844" s="33"/>
      <c r="N844" s="1"/>
      <c r="O844" s="1"/>
      <c r="P844" s="1"/>
    </row>
    <row r="845" spans="2:16" ht="14.5">
      <c r="B845" s="33"/>
      <c r="C845" s="33"/>
      <c r="D845" s="33"/>
      <c r="E845" s="33"/>
      <c r="N845" s="1"/>
      <c r="O845" s="1"/>
      <c r="P845" s="1"/>
    </row>
    <row r="846" spans="2:16" ht="14.5">
      <c r="B846" s="33"/>
      <c r="C846" s="33"/>
      <c r="D846" s="33"/>
      <c r="E846" s="33"/>
      <c r="N846" s="1"/>
      <c r="O846" s="1"/>
      <c r="P846" s="1"/>
    </row>
    <row r="847" spans="2:16" ht="14.5">
      <c r="B847" s="33"/>
      <c r="C847" s="33"/>
      <c r="D847" s="33"/>
      <c r="E847" s="33"/>
      <c r="N847" s="1"/>
      <c r="O847" s="1"/>
      <c r="P847" s="1"/>
    </row>
    <row r="848" spans="2:16" ht="14.5">
      <c r="B848" s="33"/>
      <c r="C848" s="33"/>
      <c r="D848" s="33"/>
      <c r="E848" s="33"/>
      <c r="N848" s="1"/>
      <c r="O848" s="1"/>
      <c r="P848" s="1"/>
    </row>
    <row r="849" spans="2:16" ht="14.5">
      <c r="B849" s="33"/>
      <c r="C849" s="33"/>
      <c r="D849" s="33"/>
      <c r="E849" s="33"/>
      <c r="N849" s="1"/>
      <c r="O849" s="1"/>
      <c r="P849" s="1"/>
    </row>
    <row r="850" spans="2:16" ht="14.5">
      <c r="B850" s="33"/>
      <c r="C850" s="33"/>
      <c r="D850" s="33"/>
      <c r="E850" s="33"/>
      <c r="N850" s="1"/>
      <c r="O850" s="1"/>
      <c r="P850" s="1"/>
    </row>
    <row r="851" spans="2:16" ht="14.5">
      <c r="B851" s="33"/>
      <c r="C851" s="33"/>
      <c r="D851" s="33"/>
      <c r="E851" s="33"/>
      <c r="N851" s="1"/>
      <c r="O851" s="1"/>
      <c r="P851" s="1"/>
    </row>
    <row r="852" spans="2:16" ht="14.5">
      <c r="B852" s="33"/>
      <c r="C852" s="33"/>
      <c r="D852" s="33"/>
      <c r="E852" s="33"/>
      <c r="N852" s="1"/>
      <c r="O852" s="1"/>
      <c r="P852" s="1"/>
    </row>
    <row r="853" spans="2:16" ht="14.5">
      <c r="B853" s="33"/>
      <c r="C853" s="33"/>
      <c r="D853" s="33"/>
      <c r="E853" s="33"/>
      <c r="N853" s="1"/>
      <c r="O853" s="1"/>
      <c r="P853" s="1"/>
    </row>
    <row r="854" spans="2:16" ht="14.5">
      <c r="B854" s="33"/>
      <c r="C854" s="33"/>
      <c r="D854" s="33"/>
      <c r="E854" s="33"/>
      <c r="N854" s="1"/>
      <c r="O854" s="1"/>
      <c r="P854" s="1"/>
    </row>
    <row r="855" spans="2:16" ht="14.5">
      <c r="B855" s="33"/>
      <c r="C855" s="33"/>
      <c r="D855" s="33"/>
      <c r="E855" s="33"/>
      <c r="N855" s="1"/>
      <c r="O855" s="1"/>
      <c r="P855" s="1"/>
    </row>
    <row r="856" spans="2:16" ht="14.5">
      <c r="B856" s="33"/>
      <c r="C856" s="33"/>
      <c r="D856" s="33"/>
      <c r="E856" s="33"/>
      <c r="N856" s="1"/>
      <c r="O856" s="1"/>
      <c r="P856" s="1"/>
    </row>
    <row r="857" spans="2:16" ht="14.5">
      <c r="B857" s="33"/>
      <c r="C857" s="33"/>
      <c r="D857" s="33"/>
      <c r="E857" s="33"/>
      <c r="N857" s="1"/>
      <c r="O857" s="1"/>
      <c r="P857" s="1"/>
    </row>
    <row r="858" spans="2:16" ht="14.5">
      <c r="B858" s="33"/>
      <c r="C858" s="33"/>
      <c r="D858" s="33"/>
      <c r="E858" s="33"/>
      <c r="N858" s="1"/>
      <c r="O858" s="1"/>
      <c r="P858" s="1"/>
    </row>
    <row r="859" spans="2:16" ht="14.5">
      <c r="B859" s="33"/>
      <c r="C859" s="33"/>
      <c r="D859" s="33"/>
      <c r="E859" s="33"/>
      <c r="N859" s="1"/>
      <c r="O859" s="1"/>
      <c r="P859" s="1"/>
    </row>
    <row r="860" spans="2:16" ht="14.5">
      <c r="B860" s="33"/>
      <c r="C860" s="33"/>
      <c r="D860" s="33"/>
      <c r="E860" s="33"/>
      <c r="N860" s="1"/>
      <c r="O860" s="1"/>
      <c r="P860" s="1"/>
    </row>
    <row r="861" spans="2:16" ht="14.5">
      <c r="B861" s="33"/>
      <c r="C861" s="33"/>
      <c r="D861" s="33"/>
      <c r="E861" s="33"/>
      <c r="N861" s="1"/>
      <c r="O861" s="1"/>
      <c r="P861" s="1"/>
    </row>
    <row r="862" spans="2:16" ht="14.5">
      <c r="B862" s="33"/>
      <c r="C862" s="33"/>
      <c r="D862" s="33"/>
      <c r="E862" s="33"/>
      <c r="N862" s="1"/>
      <c r="O862" s="1"/>
      <c r="P862" s="1"/>
    </row>
    <row r="863" spans="2:16" ht="14.5">
      <c r="B863" s="33"/>
      <c r="C863" s="33"/>
      <c r="D863" s="33"/>
      <c r="E863" s="33"/>
      <c r="N863" s="1"/>
      <c r="O863" s="1"/>
      <c r="P863" s="1"/>
    </row>
    <row r="864" spans="2:16" ht="14.5">
      <c r="B864" s="33"/>
      <c r="C864" s="33"/>
      <c r="D864" s="33"/>
      <c r="E864" s="33"/>
      <c r="N864" s="1"/>
      <c r="O864" s="1"/>
      <c r="P864" s="1"/>
    </row>
    <row r="865" spans="2:16" ht="14.5">
      <c r="B865" s="33"/>
      <c r="C865" s="33"/>
      <c r="D865" s="33"/>
      <c r="E865" s="33"/>
      <c r="N865" s="1"/>
      <c r="O865" s="1"/>
      <c r="P865" s="1"/>
    </row>
    <row r="866" spans="2:16" ht="14.5">
      <c r="B866" s="33"/>
      <c r="C866" s="33"/>
      <c r="D866" s="33"/>
      <c r="E866" s="33"/>
      <c r="N866" s="1"/>
      <c r="O866" s="1"/>
      <c r="P866" s="1"/>
    </row>
    <row r="867" spans="2:16" ht="14.5">
      <c r="B867" s="33"/>
      <c r="C867" s="33"/>
      <c r="D867" s="33"/>
      <c r="E867" s="33"/>
      <c r="N867" s="1"/>
      <c r="O867" s="1"/>
      <c r="P867" s="1"/>
    </row>
    <row r="868" spans="2:16" ht="14.5">
      <c r="B868" s="33"/>
      <c r="C868" s="33"/>
      <c r="D868" s="33"/>
      <c r="E868" s="33"/>
      <c r="N868" s="1"/>
      <c r="O868" s="1"/>
      <c r="P868" s="1"/>
    </row>
    <row r="869" spans="2:16" ht="14.5">
      <c r="B869" s="33"/>
      <c r="C869" s="33"/>
      <c r="D869" s="33"/>
      <c r="E869" s="33"/>
      <c r="N869" s="1"/>
      <c r="O869" s="1"/>
      <c r="P869" s="1"/>
    </row>
    <row r="870" spans="2:16" ht="14.5">
      <c r="B870" s="33"/>
      <c r="C870" s="33"/>
      <c r="D870" s="33"/>
      <c r="E870" s="33"/>
      <c r="N870" s="1"/>
      <c r="O870" s="1"/>
      <c r="P870" s="1"/>
    </row>
    <row r="871" spans="2:16" ht="14.5">
      <c r="B871" s="33"/>
      <c r="C871" s="33"/>
      <c r="D871" s="33"/>
      <c r="E871" s="33"/>
      <c r="N871" s="1"/>
      <c r="O871" s="1"/>
      <c r="P871" s="1"/>
    </row>
    <row r="872" spans="2:16" ht="14.5">
      <c r="B872" s="33"/>
      <c r="C872" s="33"/>
      <c r="D872" s="33"/>
      <c r="E872" s="33"/>
      <c r="N872" s="1"/>
      <c r="O872" s="1"/>
      <c r="P872" s="1"/>
    </row>
    <row r="873" spans="2:16" ht="14.5">
      <c r="B873" s="33"/>
      <c r="C873" s="33"/>
      <c r="D873" s="33"/>
      <c r="E873" s="33"/>
      <c r="N873" s="1"/>
      <c r="O873" s="1"/>
      <c r="P873" s="1"/>
    </row>
    <row r="874" spans="2:16" ht="14.5">
      <c r="B874" s="33"/>
      <c r="C874" s="33"/>
      <c r="D874" s="33"/>
      <c r="E874" s="33"/>
      <c r="N874" s="1"/>
      <c r="O874" s="1"/>
      <c r="P874" s="1"/>
    </row>
    <row r="875" spans="2:16" ht="14.5">
      <c r="B875" s="33"/>
      <c r="C875" s="33"/>
      <c r="D875" s="33"/>
      <c r="E875" s="33"/>
      <c r="N875" s="1"/>
      <c r="O875" s="1"/>
      <c r="P875" s="1"/>
    </row>
    <row r="876" spans="2:16" ht="14.5">
      <c r="B876" s="33"/>
      <c r="C876" s="33"/>
      <c r="D876" s="33"/>
      <c r="E876" s="33"/>
      <c r="N876" s="1"/>
      <c r="O876" s="1"/>
      <c r="P876" s="1"/>
    </row>
    <row r="877" spans="2:16" ht="14.5">
      <c r="B877" s="33"/>
      <c r="C877" s="33"/>
      <c r="D877" s="33"/>
      <c r="E877" s="33"/>
      <c r="N877" s="1"/>
      <c r="O877" s="1"/>
      <c r="P877" s="1"/>
    </row>
    <row r="878" spans="2:16" ht="14.5">
      <c r="B878" s="33"/>
      <c r="C878" s="33"/>
      <c r="D878" s="33"/>
      <c r="E878" s="33"/>
      <c r="N878" s="1"/>
      <c r="O878" s="1"/>
      <c r="P878" s="1"/>
    </row>
    <row r="879" spans="2:16" ht="14.5">
      <c r="B879" s="33"/>
      <c r="C879" s="33"/>
      <c r="D879" s="33"/>
      <c r="E879" s="33"/>
      <c r="N879" s="1"/>
      <c r="O879" s="1"/>
      <c r="P879" s="1"/>
    </row>
    <row r="880" spans="2:16" ht="14.5">
      <c r="B880" s="33"/>
      <c r="C880" s="33"/>
      <c r="D880" s="33"/>
      <c r="E880" s="33"/>
      <c r="N880" s="1"/>
      <c r="O880" s="1"/>
      <c r="P880" s="1"/>
    </row>
    <row r="881" spans="2:16" ht="14.5">
      <c r="B881" s="33"/>
      <c r="C881" s="33"/>
      <c r="D881" s="33"/>
      <c r="E881" s="33"/>
      <c r="N881" s="1"/>
      <c r="O881" s="1"/>
      <c r="P881" s="1"/>
    </row>
    <row r="882" spans="2:16" ht="14.5">
      <c r="B882" s="33"/>
      <c r="C882" s="33"/>
      <c r="D882" s="33"/>
      <c r="E882" s="33"/>
      <c r="N882" s="1"/>
      <c r="O882" s="1"/>
      <c r="P882" s="1"/>
    </row>
    <row r="883" spans="2:16" ht="14.5">
      <c r="B883" s="33"/>
      <c r="C883" s="33"/>
      <c r="D883" s="33"/>
      <c r="E883" s="33"/>
      <c r="N883" s="1"/>
      <c r="O883" s="1"/>
      <c r="P883" s="1"/>
    </row>
    <row r="884" spans="2:16" ht="14.5">
      <c r="B884" s="33"/>
      <c r="C884" s="33"/>
      <c r="D884" s="33"/>
      <c r="E884" s="33"/>
      <c r="N884" s="1"/>
      <c r="O884" s="1"/>
      <c r="P884" s="1"/>
    </row>
    <row r="885" spans="2:16" ht="14.5">
      <c r="B885" s="33"/>
      <c r="C885" s="33"/>
      <c r="D885" s="33"/>
      <c r="E885" s="33"/>
      <c r="N885" s="1"/>
      <c r="O885" s="1"/>
      <c r="P885" s="1"/>
    </row>
    <row r="886" spans="2:16" ht="14.5">
      <c r="B886" s="33"/>
      <c r="C886" s="33"/>
      <c r="D886" s="33"/>
      <c r="E886" s="33"/>
      <c r="N886" s="1"/>
      <c r="O886" s="1"/>
      <c r="P886" s="1"/>
    </row>
    <row r="887" spans="2:16" ht="14.5">
      <c r="B887" s="33"/>
      <c r="C887" s="33"/>
      <c r="D887" s="33"/>
      <c r="E887" s="33"/>
      <c r="N887" s="1"/>
      <c r="O887" s="1"/>
      <c r="P887" s="1"/>
    </row>
    <row r="888" spans="2:16" ht="14.5">
      <c r="B888" s="33"/>
      <c r="C888" s="33"/>
      <c r="D888" s="33"/>
      <c r="E888" s="33"/>
      <c r="N888" s="1"/>
      <c r="O888" s="1"/>
      <c r="P888" s="1"/>
    </row>
    <row r="889" spans="2:16" ht="14.5">
      <c r="B889" s="33"/>
      <c r="C889" s="33"/>
      <c r="D889" s="33"/>
      <c r="E889" s="33"/>
      <c r="N889" s="1"/>
      <c r="O889" s="1"/>
      <c r="P889" s="1"/>
    </row>
    <row r="890" spans="2:16" ht="14.5">
      <c r="B890" s="33"/>
      <c r="C890" s="33"/>
      <c r="D890" s="33"/>
      <c r="E890" s="33"/>
      <c r="N890" s="1"/>
      <c r="O890" s="1"/>
      <c r="P890" s="1"/>
    </row>
    <row r="891" spans="2:16" ht="14.5">
      <c r="B891" s="33"/>
      <c r="C891" s="33"/>
      <c r="D891" s="33"/>
      <c r="E891" s="33"/>
      <c r="N891" s="1"/>
      <c r="O891" s="1"/>
      <c r="P891" s="1"/>
    </row>
    <row r="892" spans="2:16" ht="14.5">
      <c r="B892" s="33"/>
      <c r="C892" s="33"/>
      <c r="D892" s="33"/>
      <c r="E892" s="33"/>
      <c r="N892" s="1"/>
      <c r="O892" s="1"/>
      <c r="P892" s="1"/>
    </row>
    <row r="893" spans="2:16" ht="14.5">
      <c r="B893" s="33"/>
      <c r="C893" s="33"/>
      <c r="D893" s="33"/>
      <c r="E893" s="33"/>
      <c r="N893" s="1"/>
      <c r="O893" s="1"/>
      <c r="P893" s="1"/>
    </row>
    <row r="894" spans="2:16" ht="14.5">
      <c r="B894" s="33"/>
      <c r="C894" s="33"/>
      <c r="D894" s="33"/>
      <c r="E894" s="33"/>
      <c r="N894" s="1"/>
      <c r="O894" s="1"/>
      <c r="P894" s="1"/>
    </row>
    <row r="895" spans="2:16" ht="14.5">
      <c r="B895" s="33"/>
      <c r="C895" s="33"/>
      <c r="D895" s="33"/>
      <c r="E895" s="33"/>
      <c r="N895" s="1"/>
      <c r="O895" s="1"/>
      <c r="P895" s="1"/>
    </row>
    <row r="896" spans="2:16" ht="14.5">
      <c r="B896" s="33"/>
      <c r="C896" s="33"/>
      <c r="D896" s="33"/>
      <c r="E896" s="33"/>
      <c r="N896" s="1"/>
      <c r="O896" s="1"/>
      <c r="P896" s="1"/>
    </row>
    <row r="897" spans="2:16" ht="14.5">
      <c r="B897" s="33"/>
      <c r="C897" s="33"/>
      <c r="D897" s="33"/>
      <c r="E897" s="33"/>
      <c r="N897" s="1"/>
      <c r="O897" s="1"/>
      <c r="P897" s="1"/>
    </row>
    <row r="898" spans="2:16" ht="14.5">
      <c r="B898" s="33"/>
      <c r="C898" s="33"/>
      <c r="D898" s="33"/>
      <c r="E898" s="33"/>
      <c r="N898" s="1"/>
      <c r="O898" s="1"/>
      <c r="P898" s="1"/>
    </row>
    <row r="899" spans="2:16" ht="14.5">
      <c r="B899" s="33"/>
      <c r="C899" s="33"/>
      <c r="D899" s="33"/>
      <c r="E899" s="33"/>
      <c r="N899" s="1"/>
      <c r="O899" s="1"/>
      <c r="P899" s="1"/>
    </row>
    <row r="900" spans="2:16" ht="14.5">
      <c r="B900" s="33"/>
      <c r="C900" s="33"/>
      <c r="D900" s="33"/>
      <c r="E900" s="33"/>
      <c r="N900" s="1"/>
      <c r="O900" s="1"/>
      <c r="P900" s="1"/>
    </row>
    <row r="901" spans="2:16" ht="14.5">
      <c r="B901" s="33"/>
      <c r="C901" s="33"/>
      <c r="D901" s="33"/>
      <c r="E901" s="33"/>
      <c r="N901" s="1"/>
      <c r="O901" s="1"/>
      <c r="P901" s="1"/>
    </row>
    <row r="902" spans="2:16" ht="14.5">
      <c r="B902" s="33"/>
      <c r="C902" s="33"/>
      <c r="D902" s="33"/>
      <c r="E902" s="33"/>
      <c r="N902" s="1"/>
      <c r="O902" s="1"/>
      <c r="P902" s="1"/>
    </row>
    <row r="903" spans="2:16" ht="14.5">
      <c r="B903" s="33"/>
      <c r="C903" s="33"/>
      <c r="D903" s="33"/>
      <c r="E903" s="33"/>
      <c r="N903" s="1"/>
      <c r="O903" s="1"/>
      <c r="P903" s="1"/>
    </row>
    <row r="904" spans="2:16" ht="14.5">
      <c r="B904" s="33"/>
      <c r="C904" s="33"/>
      <c r="D904" s="33"/>
      <c r="E904" s="33"/>
      <c r="N904" s="1"/>
      <c r="O904" s="1"/>
      <c r="P904" s="1"/>
    </row>
    <row r="905" spans="2:16" ht="14.5">
      <c r="B905" s="33"/>
      <c r="C905" s="33"/>
      <c r="D905" s="33"/>
      <c r="E905" s="33"/>
      <c r="N905" s="1"/>
      <c r="O905" s="1"/>
      <c r="P905" s="1"/>
    </row>
    <row r="906" spans="2:16" ht="14.5">
      <c r="B906" s="33"/>
      <c r="C906" s="33"/>
      <c r="D906" s="33"/>
      <c r="E906" s="33"/>
      <c r="N906" s="1"/>
      <c r="O906" s="1"/>
      <c r="P906" s="1"/>
    </row>
    <row r="907" spans="2:16" ht="14.5">
      <c r="B907" s="33"/>
      <c r="C907" s="33"/>
      <c r="D907" s="33"/>
      <c r="E907" s="33"/>
      <c r="N907" s="1"/>
      <c r="O907" s="1"/>
      <c r="P907" s="1"/>
    </row>
    <row r="908" spans="2:16" ht="14.5">
      <c r="B908" s="33"/>
      <c r="C908" s="33"/>
      <c r="D908" s="33"/>
      <c r="E908" s="33"/>
      <c r="N908" s="1"/>
      <c r="O908" s="1"/>
      <c r="P908" s="1"/>
    </row>
    <row r="909" spans="2:16" ht="14.5">
      <c r="B909" s="33"/>
      <c r="C909" s="33"/>
      <c r="D909" s="33"/>
      <c r="E909" s="33"/>
      <c r="N909" s="1"/>
      <c r="O909" s="1"/>
      <c r="P909" s="1"/>
    </row>
    <row r="910" spans="2:16" ht="14.5">
      <c r="B910" s="33"/>
      <c r="C910" s="33"/>
      <c r="D910" s="33"/>
      <c r="E910" s="33"/>
      <c r="N910" s="1"/>
      <c r="O910" s="1"/>
      <c r="P910" s="1"/>
    </row>
    <row r="911" spans="2:16" ht="14.5">
      <c r="B911" s="33"/>
      <c r="C911" s="33"/>
      <c r="D911" s="33"/>
      <c r="E911" s="33"/>
      <c r="N911" s="1"/>
      <c r="O911" s="1"/>
      <c r="P911" s="1"/>
    </row>
    <row r="912" spans="2:16" ht="14.5">
      <c r="B912" s="33"/>
      <c r="C912" s="33"/>
      <c r="D912" s="33"/>
      <c r="E912" s="33"/>
      <c r="N912" s="1"/>
      <c r="O912" s="1"/>
      <c r="P912" s="1"/>
    </row>
    <row r="913" spans="2:16" ht="14.5">
      <c r="B913" s="33"/>
      <c r="C913" s="33"/>
      <c r="D913" s="33"/>
      <c r="E913" s="33"/>
      <c r="N913" s="1"/>
      <c r="O913" s="1"/>
      <c r="P913" s="1"/>
    </row>
    <row r="914" spans="2:16" ht="14.5">
      <c r="B914" s="33"/>
      <c r="C914" s="33"/>
      <c r="D914" s="33"/>
      <c r="E914" s="33"/>
      <c r="N914" s="1"/>
      <c r="O914" s="1"/>
      <c r="P914" s="1"/>
    </row>
    <row r="915" spans="2:16" ht="14.5">
      <c r="B915" s="33"/>
      <c r="C915" s="33"/>
      <c r="D915" s="33"/>
      <c r="E915" s="33"/>
      <c r="N915" s="1"/>
      <c r="O915" s="1"/>
      <c r="P915" s="1"/>
    </row>
    <row r="916" spans="2:16" ht="14.5">
      <c r="B916" s="33"/>
      <c r="C916" s="33"/>
      <c r="D916" s="33"/>
      <c r="E916" s="33"/>
      <c r="N916" s="1"/>
      <c r="O916" s="1"/>
      <c r="P916" s="1"/>
    </row>
    <row r="917" spans="2:16" ht="14.5">
      <c r="B917" s="33"/>
      <c r="C917" s="33"/>
      <c r="D917" s="33"/>
      <c r="E917" s="33"/>
      <c r="N917" s="1"/>
      <c r="O917" s="1"/>
      <c r="P917" s="1"/>
    </row>
    <row r="918" spans="2:16" ht="14.5">
      <c r="B918" s="33"/>
      <c r="C918" s="33"/>
      <c r="D918" s="33"/>
      <c r="E918" s="33"/>
      <c r="N918" s="1"/>
      <c r="O918" s="1"/>
      <c r="P918" s="1"/>
    </row>
    <row r="919" spans="2:16" ht="14.5">
      <c r="B919" s="33"/>
      <c r="C919" s="33"/>
      <c r="D919" s="33"/>
      <c r="E919" s="33"/>
      <c r="N919" s="1"/>
      <c r="O919" s="1"/>
      <c r="P919" s="1"/>
    </row>
    <row r="920" spans="2:16" ht="14.5">
      <c r="B920" s="33"/>
      <c r="C920" s="33"/>
      <c r="D920" s="33"/>
      <c r="E920" s="33"/>
      <c r="N920" s="1"/>
      <c r="O920" s="1"/>
      <c r="P920" s="1"/>
    </row>
    <row r="921" spans="2:16" ht="14.5">
      <c r="B921" s="33"/>
      <c r="C921" s="33"/>
      <c r="D921" s="33"/>
      <c r="E921" s="33"/>
      <c r="N921" s="1"/>
      <c r="O921" s="1"/>
      <c r="P921" s="1"/>
    </row>
    <row r="922" spans="2:16" ht="14.5">
      <c r="B922" s="33"/>
      <c r="C922" s="33"/>
      <c r="D922" s="33"/>
      <c r="E922" s="33"/>
      <c r="N922" s="1"/>
      <c r="O922" s="1"/>
      <c r="P922" s="1"/>
    </row>
    <row r="923" spans="2:16" ht="14.5">
      <c r="B923" s="33"/>
      <c r="C923" s="33"/>
      <c r="D923" s="33"/>
      <c r="E923" s="33"/>
      <c r="N923" s="1"/>
      <c r="O923" s="1"/>
      <c r="P923" s="1"/>
    </row>
    <row r="924" spans="2:16" ht="14.5">
      <c r="B924" s="33"/>
      <c r="C924" s="33"/>
      <c r="D924" s="33"/>
      <c r="E924" s="33"/>
      <c r="N924" s="1"/>
      <c r="O924" s="1"/>
      <c r="P924" s="1"/>
    </row>
    <row r="925" spans="2:16" ht="14.5">
      <c r="B925" s="33"/>
      <c r="C925" s="33"/>
      <c r="D925" s="33"/>
      <c r="E925" s="33"/>
      <c r="N925" s="1"/>
      <c r="O925" s="1"/>
      <c r="P925" s="1"/>
    </row>
    <row r="926" spans="2:16" ht="14.5">
      <c r="B926" s="33"/>
      <c r="C926" s="33"/>
      <c r="D926" s="33"/>
      <c r="E926" s="33"/>
      <c r="N926" s="1"/>
      <c r="O926" s="1"/>
      <c r="P926" s="1"/>
    </row>
    <row r="927" spans="2:16" ht="14.5">
      <c r="B927" s="33"/>
      <c r="C927" s="33"/>
      <c r="D927" s="33"/>
      <c r="E927" s="33"/>
      <c r="N927" s="1"/>
      <c r="O927" s="1"/>
      <c r="P927" s="1"/>
    </row>
    <row r="928" spans="2:16" ht="14.5">
      <c r="B928" s="33"/>
      <c r="C928" s="33"/>
      <c r="D928" s="33"/>
      <c r="E928" s="33"/>
      <c r="N928" s="1"/>
      <c r="O928" s="1"/>
      <c r="P928" s="1"/>
    </row>
    <row r="929" spans="2:16" ht="14.5">
      <c r="B929" s="33"/>
      <c r="C929" s="33"/>
      <c r="D929" s="33"/>
      <c r="E929" s="33"/>
      <c r="N929" s="1"/>
      <c r="O929" s="1"/>
      <c r="P929" s="1"/>
    </row>
    <row r="930" spans="2:16" ht="14.5">
      <c r="B930" s="33"/>
      <c r="C930" s="33"/>
      <c r="D930" s="33"/>
      <c r="E930" s="33"/>
      <c r="N930" s="1"/>
      <c r="O930" s="1"/>
      <c r="P930" s="1"/>
    </row>
    <row r="931" spans="2:16" ht="14.5">
      <c r="B931" s="33"/>
      <c r="C931" s="33"/>
      <c r="D931" s="33"/>
      <c r="E931" s="33"/>
      <c r="N931" s="1"/>
      <c r="O931" s="1"/>
      <c r="P931" s="1"/>
    </row>
    <row r="932" spans="2:16" ht="14.5">
      <c r="B932" s="33"/>
      <c r="C932" s="33"/>
      <c r="D932" s="33"/>
      <c r="E932" s="33"/>
      <c r="N932" s="1"/>
      <c r="O932" s="1"/>
      <c r="P932" s="1"/>
    </row>
    <row r="933" spans="2:16" ht="14.5">
      <c r="B933" s="33"/>
      <c r="C933" s="33"/>
      <c r="D933" s="33"/>
      <c r="E933" s="33"/>
      <c r="N933" s="1"/>
      <c r="O933" s="1"/>
      <c r="P933" s="1"/>
    </row>
    <row r="934" spans="2:16" ht="14.5">
      <c r="B934" s="33"/>
      <c r="C934" s="33"/>
      <c r="D934" s="33"/>
      <c r="E934" s="33"/>
      <c r="N934" s="1"/>
      <c r="O934" s="1"/>
      <c r="P934" s="1"/>
    </row>
    <row r="935" spans="2:16" ht="14.5">
      <c r="B935" s="33"/>
      <c r="C935" s="33"/>
      <c r="D935" s="33"/>
      <c r="E935" s="33"/>
      <c r="N935" s="1"/>
      <c r="O935" s="1"/>
      <c r="P935" s="1"/>
    </row>
    <row r="936" spans="2:16" ht="14.5">
      <c r="B936" s="33"/>
      <c r="C936" s="33"/>
      <c r="D936" s="33"/>
      <c r="E936" s="33"/>
      <c r="N936" s="1"/>
      <c r="O936" s="1"/>
      <c r="P936" s="1"/>
    </row>
    <row r="937" spans="2:16" ht="14.5">
      <c r="B937" s="33"/>
      <c r="C937" s="33"/>
      <c r="D937" s="33"/>
      <c r="E937" s="33"/>
      <c r="N937" s="1"/>
      <c r="O937" s="1"/>
      <c r="P937" s="1"/>
    </row>
    <row r="938" spans="2:16" ht="14.5">
      <c r="B938" s="33"/>
      <c r="C938" s="33"/>
      <c r="D938" s="33"/>
      <c r="E938" s="33"/>
      <c r="N938" s="1"/>
      <c r="O938" s="1"/>
      <c r="P938" s="1"/>
    </row>
    <row r="939" spans="2:16" ht="14.5">
      <c r="B939" s="33"/>
      <c r="C939" s="33"/>
      <c r="D939" s="33"/>
      <c r="E939" s="33"/>
      <c r="N939" s="1"/>
      <c r="O939" s="1"/>
      <c r="P939" s="1"/>
    </row>
    <row r="940" spans="2:16" ht="14.5">
      <c r="B940" s="33"/>
      <c r="C940" s="33"/>
      <c r="D940" s="33"/>
      <c r="E940" s="33"/>
      <c r="N940" s="1"/>
      <c r="O940" s="1"/>
      <c r="P940" s="1"/>
    </row>
    <row r="941" spans="2:16" ht="14.5">
      <c r="B941" s="33"/>
      <c r="C941" s="33"/>
      <c r="D941" s="33"/>
      <c r="E941" s="33"/>
      <c r="N941" s="1"/>
      <c r="O941" s="1"/>
      <c r="P941" s="1"/>
    </row>
    <row r="942" spans="2:16" ht="14.5">
      <c r="B942" s="33"/>
      <c r="C942" s="33"/>
      <c r="D942" s="33"/>
      <c r="E942" s="33"/>
      <c r="N942" s="1"/>
      <c r="O942" s="1"/>
      <c r="P942" s="1"/>
    </row>
    <row r="943" spans="2:16" ht="14.5">
      <c r="B943" s="33"/>
      <c r="C943" s="33"/>
      <c r="D943" s="33"/>
      <c r="E943" s="33"/>
      <c r="N943" s="1"/>
      <c r="O943" s="1"/>
      <c r="P943" s="1"/>
    </row>
    <row r="944" spans="2:16" ht="14.5">
      <c r="B944" s="33"/>
      <c r="C944" s="33"/>
      <c r="D944" s="33"/>
      <c r="E944" s="33"/>
      <c r="N944" s="1"/>
      <c r="O944" s="1"/>
      <c r="P944" s="1"/>
    </row>
    <row r="945" spans="2:16" ht="14.5">
      <c r="B945" s="33"/>
      <c r="C945" s="33"/>
      <c r="D945" s="33"/>
      <c r="E945" s="33"/>
      <c r="N945" s="1"/>
      <c r="O945" s="1"/>
      <c r="P945" s="1"/>
    </row>
    <row r="946" spans="2:16" ht="14.5">
      <c r="B946" s="33"/>
      <c r="C946" s="33"/>
      <c r="D946" s="33"/>
      <c r="E946" s="33"/>
      <c r="N946" s="1"/>
      <c r="O946" s="1"/>
      <c r="P946" s="1"/>
    </row>
    <row r="947" spans="2:16" ht="14.5">
      <c r="B947" s="33"/>
      <c r="C947" s="33"/>
      <c r="D947" s="33"/>
      <c r="E947" s="33"/>
      <c r="N947" s="1"/>
      <c r="O947" s="1"/>
      <c r="P947" s="1"/>
    </row>
    <row r="948" spans="2:16" ht="14.5">
      <c r="B948" s="33"/>
      <c r="C948" s="33"/>
      <c r="D948" s="33"/>
      <c r="E948" s="33"/>
      <c r="N948" s="1"/>
      <c r="O948" s="1"/>
      <c r="P948" s="1"/>
    </row>
    <row r="949" spans="2:16" ht="14.5">
      <c r="B949" s="33"/>
      <c r="C949" s="33"/>
      <c r="D949" s="33"/>
      <c r="E949" s="33"/>
      <c r="N949" s="1"/>
      <c r="O949" s="1"/>
      <c r="P949" s="1"/>
    </row>
    <row r="950" spans="2:16" ht="14.5">
      <c r="B950" s="33"/>
      <c r="C950" s="33"/>
      <c r="D950" s="33"/>
      <c r="E950" s="33"/>
      <c r="N950" s="1"/>
      <c r="O950" s="1"/>
      <c r="P950" s="1"/>
    </row>
    <row r="951" spans="2:16" ht="14.5">
      <c r="B951" s="33"/>
      <c r="C951" s="33"/>
      <c r="D951" s="33"/>
      <c r="E951" s="33"/>
      <c r="N951" s="1"/>
      <c r="O951" s="1"/>
      <c r="P951" s="1"/>
    </row>
    <row r="952" spans="2:16" ht="14.5">
      <c r="B952" s="33"/>
      <c r="C952" s="33"/>
      <c r="D952" s="33"/>
      <c r="E952" s="33"/>
      <c r="N952" s="1"/>
      <c r="O952" s="1"/>
      <c r="P952" s="1"/>
    </row>
    <row r="953" spans="2:16" ht="14.5">
      <c r="B953" s="33"/>
      <c r="C953" s="33"/>
      <c r="D953" s="33"/>
      <c r="E953" s="33"/>
      <c r="N953" s="1"/>
      <c r="O953" s="1"/>
      <c r="P953" s="1"/>
    </row>
    <row r="954" spans="2:16" ht="14.5">
      <c r="B954" s="33"/>
      <c r="C954" s="33"/>
      <c r="D954" s="33"/>
      <c r="E954" s="33"/>
      <c r="N954" s="1"/>
      <c r="O954" s="1"/>
      <c r="P954" s="1"/>
    </row>
    <row r="955" spans="2:16" ht="14.5">
      <c r="B955" s="33"/>
      <c r="C955" s="33"/>
      <c r="D955" s="33"/>
      <c r="E955" s="33"/>
      <c r="N955" s="1"/>
      <c r="O955" s="1"/>
      <c r="P955" s="1"/>
    </row>
    <row r="956" spans="2:16" ht="14.5">
      <c r="B956" s="33"/>
      <c r="C956" s="33"/>
      <c r="D956" s="33"/>
      <c r="E956" s="33"/>
      <c r="N956" s="1"/>
      <c r="O956" s="1"/>
      <c r="P956" s="1"/>
    </row>
    <row r="957" spans="2:16" ht="14.5">
      <c r="B957" s="33"/>
      <c r="C957" s="33"/>
      <c r="D957" s="33"/>
      <c r="E957" s="33"/>
      <c r="N957" s="1"/>
      <c r="O957" s="1"/>
      <c r="P957" s="1"/>
    </row>
    <row r="958" spans="2:16" ht="14.5">
      <c r="B958" s="33"/>
      <c r="C958" s="33"/>
      <c r="D958" s="33"/>
      <c r="E958" s="33"/>
      <c r="N958" s="1"/>
      <c r="O958" s="1"/>
      <c r="P958" s="1"/>
    </row>
    <row r="959" spans="2:16" ht="14.5">
      <c r="B959" s="33"/>
      <c r="C959" s="33"/>
      <c r="D959" s="33"/>
      <c r="E959" s="33"/>
      <c r="N959" s="1"/>
      <c r="O959" s="1"/>
      <c r="P959" s="1"/>
    </row>
    <row r="960" spans="2:16" ht="14.5">
      <c r="B960" s="33"/>
      <c r="C960" s="33"/>
      <c r="D960" s="33"/>
      <c r="E960" s="33"/>
      <c r="N960" s="1"/>
      <c r="O960" s="1"/>
      <c r="P960" s="1"/>
    </row>
    <row r="961" spans="2:16" ht="14.5">
      <c r="B961" s="33"/>
      <c r="C961" s="33"/>
      <c r="D961" s="33"/>
      <c r="E961" s="33"/>
      <c r="N961" s="1"/>
      <c r="O961" s="1"/>
      <c r="P961" s="1"/>
    </row>
    <row r="962" spans="2:16" ht="14.5">
      <c r="B962" s="33"/>
      <c r="C962" s="33"/>
      <c r="D962" s="33"/>
      <c r="E962" s="33"/>
      <c r="N962" s="1"/>
      <c r="O962" s="1"/>
      <c r="P962" s="1"/>
    </row>
    <row r="963" spans="2:16" ht="14.5">
      <c r="B963" s="33"/>
      <c r="C963" s="33"/>
      <c r="D963" s="33"/>
      <c r="E963" s="33"/>
      <c r="N963" s="1"/>
      <c r="O963" s="1"/>
      <c r="P963" s="1"/>
    </row>
    <row r="964" spans="2:16" ht="14.5">
      <c r="B964" s="33"/>
      <c r="C964" s="33"/>
      <c r="D964" s="33"/>
      <c r="E964" s="33"/>
      <c r="N964" s="1"/>
      <c r="O964" s="1"/>
      <c r="P964" s="1"/>
    </row>
    <row r="965" spans="2:16" ht="14.5">
      <c r="B965" s="33"/>
      <c r="C965" s="33"/>
      <c r="D965" s="33"/>
      <c r="E965" s="33"/>
      <c r="N965" s="1"/>
      <c r="O965" s="1"/>
      <c r="P965" s="1"/>
    </row>
    <row r="966" spans="2:16" ht="14.5">
      <c r="B966" s="33"/>
      <c r="C966" s="33"/>
      <c r="D966" s="33"/>
      <c r="E966" s="33"/>
      <c r="N966" s="1"/>
      <c r="O966" s="1"/>
      <c r="P966" s="1"/>
    </row>
    <row r="967" spans="2:16" ht="14.5">
      <c r="B967" s="33"/>
      <c r="C967" s="33"/>
      <c r="D967" s="33"/>
      <c r="E967" s="33"/>
      <c r="N967" s="1"/>
      <c r="O967" s="1"/>
      <c r="P967" s="1"/>
    </row>
    <row r="968" spans="2:16" ht="14.5">
      <c r="B968" s="33"/>
      <c r="C968" s="33"/>
      <c r="D968" s="33"/>
      <c r="E968" s="33"/>
      <c r="N968" s="1"/>
      <c r="O968" s="1"/>
      <c r="P968" s="1"/>
    </row>
    <row r="969" spans="2:16" ht="14.5">
      <c r="B969" s="33"/>
      <c r="C969" s="33"/>
      <c r="D969" s="33"/>
      <c r="E969" s="33"/>
      <c r="N969" s="1"/>
      <c r="O969" s="1"/>
      <c r="P969" s="1"/>
    </row>
    <row r="970" spans="2:16" ht="14.5">
      <c r="B970" s="33"/>
      <c r="C970" s="33"/>
      <c r="D970" s="33"/>
      <c r="E970" s="33"/>
      <c r="N970" s="1"/>
      <c r="O970" s="1"/>
      <c r="P970" s="1"/>
    </row>
    <row r="971" spans="2:16" ht="14.5">
      <c r="B971" s="33"/>
      <c r="C971" s="33"/>
      <c r="D971" s="33"/>
      <c r="E971" s="33"/>
      <c r="N971" s="1"/>
      <c r="O971" s="1"/>
      <c r="P971" s="1"/>
    </row>
    <row r="972" spans="2:16" ht="14.5">
      <c r="B972" s="33"/>
      <c r="C972" s="33"/>
      <c r="D972" s="33"/>
      <c r="E972" s="33"/>
      <c r="N972" s="1"/>
      <c r="O972" s="1"/>
      <c r="P972" s="1"/>
    </row>
    <row r="973" spans="2:16" ht="14.5">
      <c r="B973" s="33"/>
      <c r="C973" s="33"/>
      <c r="D973" s="33"/>
      <c r="E973" s="33"/>
      <c r="N973" s="1"/>
      <c r="O973" s="1"/>
      <c r="P973" s="1"/>
    </row>
    <row r="974" spans="2:16" ht="14.5">
      <c r="B974" s="33"/>
      <c r="C974" s="33"/>
      <c r="D974" s="33"/>
      <c r="E974" s="33"/>
      <c r="N974" s="1"/>
      <c r="O974" s="1"/>
      <c r="P974" s="1"/>
    </row>
    <row r="975" spans="2:16" ht="14.5">
      <c r="B975" s="33"/>
      <c r="C975" s="33"/>
      <c r="D975" s="33"/>
      <c r="E975" s="33"/>
      <c r="N975" s="1"/>
      <c r="O975" s="1"/>
      <c r="P975" s="1"/>
    </row>
    <row r="976" spans="2:16" ht="14.5">
      <c r="B976" s="33"/>
      <c r="C976" s="33"/>
      <c r="D976" s="33"/>
      <c r="E976" s="33"/>
      <c r="N976" s="1"/>
      <c r="O976" s="1"/>
      <c r="P976" s="1"/>
    </row>
    <row r="977" spans="2:16" ht="14.5">
      <c r="B977" s="33"/>
      <c r="C977" s="33"/>
      <c r="D977" s="33"/>
      <c r="E977" s="33"/>
      <c r="N977" s="1"/>
      <c r="O977" s="1"/>
      <c r="P977" s="1"/>
    </row>
    <row r="978" spans="2:16" ht="14.5">
      <c r="B978" s="33"/>
      <c r="C978" s="33"/>
      <c r="D978" s="33"/>
      <c r="E978" s="33"/>
      <c r="N978" s="1"/>
      <c r="O978" s="1"/>
      <c r="P978" s="1"/>
    </row>
    <row r="979" spans="2:16" ht="14.5">
      <c r="B979" s="33"/>
      <c r="C979" s="33"/>
      <c r="D979" s="33"/>
      <c r="E979" s="33"/>
      <c r="N979" s="1"/>
      <c r="O979" s="1"/>
      <c r="P979" s="1"/>
    </row>
    <row r="980" spans="2:16" ht="14.5">
      <c r="B980" s="33"/>
      <c r="C980" s="33"/>
      <c r="D980" s="33"/>
      <c r="E980" s="33"/>
      <c r="N980" s="1"/>
      <c r="O980" s="1"/>
      <c r="P980" s="1"/>
    </row>
    <row r="981" spans="2:16" ht="14.5">
      <c r="B981" s="33"/>
      <c r="C981" s="33"/>
      <c r="D981" s="33"/>
      <c r="E981" s="33"/>
      <c r="N981" s="1"/>
      <c r="O981" s="1"/>
      <c r="P981" s="1"/>
    </row>
    <row r="982" spans="2:16" ht="14.5">
      <c r="B982" s="33"/>
      <c r="C982" s="33"/>
      <c r="D982" s="33"/>
      <c r="E982" s="33"/>
      <c r="N982" s="1"/>
      <c r="O982" s="1"/>
      <c r="P982" s="1"/>
    </row>
    <row r="983" spans="2:16" ht="14.5">
      <c r="B983" s="33"/>
      <c r="C983" s="33"/>
      <c r="D983" s="33"/>
      <c r="E983" s="33"/>
      <c r="N983" s="1"/>
      <c r="O983" s="1"/>
      <c r="P983" s="1"/>
    </row>
    <row r="984" spans="2:16" ht="14.5">
      <c r="B984" s="33"/>
      <c r="C984" s="33"/>
      <c r="D984" s="33"/>
      <c r="E984" s="33"/>
      <c r="N984" s="1"/>
      <c r="O984" s="1"/>
      <c r="P984" s="1"/>
    </row>
    <row r="985" spans="2:16" ht="14.5">
      <c r="B985" s="33"/>
      <c r="C985" s="33"/>
      <c r="D985" s="33"/>
      <c r="E985" s="33"/>
      <c r="N985" s="1"/>
      <c r="O985" s="1"/>
      <c r="P985" s="1"/>
    </row>
    <row r="986" spans="2:16" ht="14.5">
      <c r="B986" s="33"/>
      <c r="C986" s="33"/>
      <c r="D986" s="33"/>
      <c r="E986" s="33"/>
      <c r="N986" s="1"/>
      <c r="O986" s="1"/>
      <c r="P986" s="1"/>
    </row>
    <row r="987" spans="2:16" ht="14.5">
      <c r="B987" s="33"/>
      <c r="C987" s="33"/>
      <c r="D987" s="33"/>
      <c r="E987" s="33"/>
      <c r="N987" s="1"/>
      <c r="O987" s="1"/>
      <c r="P987" s="1"/>
    </row>
    <row r="988" spans="2:16" ht="14.5">
      <c r="B988" s="33"/>
      <c r="C988" s="33"/>
      <c r="D988" s="33"/>
      <c r="E988" s="33"/>
      <c r="N988" s="1"/>
      <c r="O988" s="1"/>
      <c r="P988" s="1"/>
    </row>
    <row r="989" spans="2:16" ht="14.5">
      <c r="B989" s="33"/>
      <c r="C989" s="33"/>
      <c r="D989" s="33"/>
      <c r="E989" s="33"/>
      <c r="N989" s="1"/>
      <c r="O989" s="1"/>
      <c r="P989" s="1"/>
    </row>
    <row r="990" spans="2:16" ht="14.5">
      <c r="B990" s="33"/>
      <c r="C990" s="33"/>
      <c r="D990" s="33"/>
      <c r="E990" s="33"/>
      <c r="N990" s="1"/>
      <c r="O990" s="1"/>
      <c r="P990" s="1"/>
    </row>
    <row r="991" spans="2:16" ht="14.5">
      <c r="B991" s="33"/>
      <c r="C991" s="33"/>
      <c r="D991" s="33"/>
      <c r="E991" s="33"/>
      <c r="N991" s="1"/>
      <c r="O991" s="1"/>
      <c r="P991" s="1"/>
    </row>
    <row r="992" spans="2:16" ht="14.5">
      <c r="B992" s="33"/>
      <c r="C992" s="33"/>
      <c r="D992" s="33"/>
      <c r="E992" s="33"/>
      <c r="N992" s="1"/>
      <c r="O992" s="1"/>
      <c r="P992" s="1"/>
    </row>
    <row r="993" spans="2:16" ht="14.5">
      <c r="B993" s="33"/>
      <c r="C993" s="33"/>
      <c r="D993" s="33"/>
      <c r="E993" s="33"/>
      <c r="N993" s="1"/>
      <c r="O993" s="1"/>
      <c r="P993" s="1"/>
    </row>
    <row r="994" spans="2:16" ht="14.5">
      <c r="B994" s="33"/>
      <c r="C994" s="33"/>
      <c r="D994" s="33"/>
      <c r="E994" s="33"/>
      <c r="N994" s="1"/>
      <c r="O994" s="1"/>
      <c r="P994" s="1"/>
    </row>
    <row r="995" spans="2:16" ht="14.5">
      <c r="B995" s="33"/>
      <c r="C995" s="33"/>
      <c r="D995" s="33"/>
      <c r="E995" s="33"/>
      <c r="N995" s="1"/>
      <c r="O995" s="1"/>
      <c r="P995" s="1"/>
    </row>
    <row r="996" spans="2:16" ht="14.5">
      <c r="B996" s="33"/>
      <c r="C996" s="33"/>
      <c r="D996" s="33"/>
      <c r="E996" s="33"/>
      <c r="N996" s="1"/>
      <c r="O996" s="1"/>
      <c r="P996" s="1"/>
    </row>
    <row r="997" spans="2:16" ht="14.5">
      <c r="B997" s="33"/>
      <c r="C997" s="33"/>
      <c r="D997" s="33"/>
      <c r="E997" s="33"/>
      <c r="N997" s="1"/>
      <c r="O997" s="1"/>
      <c r="P997" s="1"/>
    </row>
    <row r="998" spans="2:16" ht="14.5">
      <c r="B998" s="33"/>
      <c r="C998" s="33"/>
      <c r="D998" s="33"/>
      <c r="E998" s="33"/>
      <c r="N998" s="1"/>
      <c r="O998" s="1"/>
      <c r="P998" s="1"/>
    </row>
    <row r="999" spans="2:16" ht="15" customHeight="1">
      <c r="B999" s="33"/>
      <c r="C999" s="33"/>
      <c r="D999" s="33"/>
      <c r="E999" s="33"/>
      <c r="N999" s="1"/>
      <c r="O999" s="1"/>
      <c r="P999" s="1"/>
    </row>
    <row r="1000" spans="2:16" ht="15" customHeight="1">
      <c r="B1000" s="33"/>
      <c r="C1000" s="33"/>
      <c r="D1000" s="33"/>
      <c r="E1000" s="33"/>
      <c r="N1000" s="1"/>
      <c r="O1000" s="1"/>
      <c r="P1000" s="1"/>
    </row>
    <row r="1001" spans="2:16" ht="15" customHeight="1">
      <c r="B1001" s="33"/>
      <c r="C1001" s="33"/>
      <c r="D1001" s="33"/>
      <c r="E1001" s="33"/>
      <c r="N1001" s="1"/>
      <c r="O1001" s="1"/>
      <c r="P1001" s="1"/>
    </row>
    <row r="1002" spans="2:16" ht="15" customHeight="1">
      <c r="B1002" s="33"/>
      <c r="C1002" s="33"/>
      <c r="D1002" s="33"/>
      <c r="E1002" s="33"/>
      <c r="N1002" s="1"/>
      <c r="O1002" s="1"/>
      <c r="P1002" s="1"/>
    </row>
    <row r="1003" spans="2:16" ht="15" customHeight="1">
      <c r="B1003" s="33"/>
      <c r="C1003" s="33"/>
      <c r="D1003" s="33"/>
      <c r="E1003" s="33"/>
      <c r="N1003" s="1"/>
      <c r="O1003" s="1"/>
      <c r="P1003" s="1"/>
    </row>
    <row r="1004" spans="2:16" ht="15" customHeight="1">
      <c r="B1004" s="33"/>
      <c r="C1004" s="33"/>
      <c r="D1004" s="33"/>
      <c r="E1004" s="33"/>
      <c r="N1004" s="1"/>
      <c r="O1004" s="1"/>
      <c r="P1004" s="1"/>
    </row>
    <row r="1005" spans="2:16" ht="15" customHeight="1">
      <c r="B1005" s="33"/>
      <c r="C1005" s="33"/>
      <c r="D1005" s="33"/>
      <c r="E1005" s="33"/>
      <c r="N1005" s="1"/>
      <c r="O1005" s="1"/>
      <c r="P1005" s="1"/>
    </row>
    <row r="1006" spans="2:16" ht="15" customHeight="1">
      <c r="B1006" s="33"/>
      <c r="C1006" s="33"/>
      <c r="D1006" s="33"/>
      <c r="E1006" s="33"/>
      <c r="N1006" s="1"/>
      <c r="O1006" s="1"/>
      <c r="P1006" s="1"/>
    </row>
    <row r="1007" spans="2:16" ht="15" customHeight="1">
      <c r="B1007" s="33"/>
      <c r="C1007" s="33"/>
      <c r="D1007" s="33"/>
      <c r="E1007" s="33"/>
      <c r="N1007" s="1"/>
      <c r="O1007" s="1"/>
      <c r="P1007" s="1"/>
    </row>
    <row r="1008" spans="2:16" ht="15" customHeight="1">
      <c r="B1008" s="33"/>
      <c r="C1008" s="33"/>
      <c r="D1008" s="33"/>
      <c r="E1008" s="33"/>
      <c r="N1008" s="1"/>
      <c r="O1008" s="1"/>
      <c r="P1008" s="1"/>
    </row>
    <row r="1009" spans="2:16" ht="15" customHeight="1">
      <c r="B1009" s="33"/>
      <c r="C1009" s="33"/>
      <c r="D1009" s="33"/>
      <c r="E1009" s="33"/>
      <c r="N1009" s="1"/>
      <c r="O1009" s="1"/>
      <c r="P1009" s="1"/>
    </row>
    <row r="1010" spans="2:16" ht="15" customHeight="1">
      <c r="B1010" s="33"/>
      <c r="C1010" s="33"/>
      <c r="D1010" s="33"/>
      <c r="E1010" s="33"/>
      <c r="N1010" s="1"/>
      <c r="O1010" s="1"/>
    </row>
    <row r="1011" spans="2:16" ht="15" customHeight="1">
      <c r="B1011" s="33"/>
      <c r="C1011" s="33"/>
      <c r="D1011" s="33"/>
      <c r="E1011" s="33"/>
      <c r="N1011" s="1"/>
      <c r="O1011" s="1"/>
    </row>
    <row r="1012" spans="2:16" ht="15" customHeight="1">
      <c r="B1012" s="33"/>
      <c r="C1012" s="33"/>
      <c r="D1012" s="33"/>
      <c r="E1012" s="33"/>
      <c r="N1012" s="1"/>
      <c r="O1012" s="1"/>
    </row>
    <row r="1013" spans="2:16" ht="15" customHeight="1">
      <c r="B1013" s="33"/>
      <c r="C1013" s="33"/>
      <c r="D1013" s="33"/>
      <c r="E1013" s="33"/>
      <c r="N1013" s="1"/>
      <c r="O1013" s="1"/>
    </row>
    <row r="1014" spans="2:16" ht="15" customHeight="1">
      <c r="N1014" s="1"/>
      <c r="O1014" s="1"/>
    </row>
    <row r="1015" spans="2:16" ht="15" customHeight="1">
      <c r="N1015" s="1"/>
      <c r="O1015" s="1"/>
    </row>
  </sheetData>
  <mergeCells count="12">
    <mergeCell ref="I64:O64"/>
    <mergeCell ref="P64:P65"/>
    <mergeCell ref="P1:P2"/>
    <mergeCell ref="P23:P24"/>
    <mergeCell ref="A25:E25"/>
    <mergeCell ref="F25:F26"/>
    <mergeCell ref="I23:O23"/>
    <mergeCell ref="I42:N42"/>
    <mergeCell ref="O42:O43"/>
    <mergeCell ref="A1:E1"/>
    <mergeCell ref="F1:F2"/>
    <mergeCell ref="I1:O1"/>
  </mergeCells>
  <conditionalFormatting sqref="B1:E19 J3:O19 E20 J25:O39 B25:E45 J44:N59 E46">
    <cfRule type="cellIs" dxfId="1" priority="2" operator="lessThan">
      <formula>11</formula>
    </cfRule>
  </conditionalFormatting>
  <conditionalFormatting sqref="J66:O82">
    <cfRule type="cellIs" dxfId="0" priority="1" operator="lessThan">
      <formula>11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outlinePr summaryBelow="0" summaryRight="0"/>
  </sheetPr>
  <dimension ref="A1:E999"/>
  <sheetViews>
    <sheetView workbookViewId="0">
      <selection activeCell="F7" sqref="F7"/>
    </sheetView>
  </sheetViews>
  <sheetFormatPr defaultColWidth="14.453125" defaultRowHeight="15" customHeight="1"/>
  <cols>
    <col min="2" max="2" width="21.26953125" customWidth="1"/>
    <col min="3" max="3" width="14.453125" style="8"/>
  </cols>
  <sheetData>
    <row r="1" spans="1:5" ht="14.5">
      <c r="A1" s="5" t="s">
        <v>0</v>
      </c>
      <c r="B1" s="6" t="s">
        <v>2</v>
      </c>
      <c r="C1" s="6" t="s">
        <v>41</v>
      </c>
      <c r="D1" s="6" t="s">
        <v>42</v>
      </c>
      <c r="E1" s="6" t="s">
        <v>43</v>
      </c>
    </row>
    <row r="2" spans="1:5" ht="14.5">
      <c r="A2" s="46"/>
      <c r="B2" s="7"/>
      <c r="D2" s="7"/>
      <c r="E2" s="6"/>
    </row>
    <row r="3" spans="1:5" ht="14.5">
      <c r="A3" s="9"/>
      <c r="B3" s="7"/>
      <c r="D3" s="7"/>
      <c r="E3" s="6"/>
    </row>
    <row r="4" spans="1:5" ht="14.5">
      <c r="A4" s="9"/>
      <c r="B4" s="7"/>
      <c r="D4" s="7"/>
      <c r="E4" s="6"/>
    </row>
    <row r="5" spans="1:5" ht="14.5">
      <c r="A5" s="9"/>
      <c r="B5" s="7"/>
      <c r="D5" s="7"/>
      <c r="E5" s="6"/>
    </row>
    <row r="6" spans="1:5" ht="14.5">
      <c r="A6" s="9"/>
      <c r="B6" s="7"/>
      <c r="D6" s="7"/>
      <c r="E6" s="6"/>
    </row>
    <row r="7" spans="1:5" ht="14.5">
      <c r="A7" s="9"/>
      <c r="B7" s="7"/>
      <c r="D7" s="7"/>
      <c r="E7" s="6"/>
    </row>
    <row r="8" spans="1:5" ht="14.5">
      <c r="A8" s="9"/>
      <c r="B8" s="7"/>
      <c r="D8" s="7"/>
      <c r="E8" s="6"/>
    </row>
    <row r="9" spans="1:5" ht="14.5">
      <c r="A9" s="9"/>
      <c r="B9" s="7"/>
      <c r="D9" s="7"/>
      <c r="E9" s="6"/>
    </row>
    <row r="10" spans="1:5" ht="14.5">
      <c r="A10" s="9"/>
      <c r="B10" s="7"/>
      <c r="D10" s="7"/>
      <c r="E10" s="6"/>
    </row>
    <row r="11" spans="1:5" ht="14.5">
      <c r="A11" s="9"/>
      <c r="B11" s="7"/>
      <c r="D11" s="7"/>
      <c r="E11" s="6"/>
    </row>
    <row r="12" spans="1:5" ht="14.5">
      <c r="A12" s="9"/>
      <c r="B12" s="7"/>
      <c r="D12" s="7"/>
      <c r="E12" s="6"/>
    </row>
    <row r="13" spans="1:5" ht="14.5">
      <c r="A13" s="9"/>
      <c r="B13" s="7"/>
      <c r="D13" s="7"/>
      <c r="E13" s="6"/>
    </row>
    <row r="14" spans="1:5" ht="14.5">
      <c r="A14" s="9"/>
      <c r="B14" s="7"/>
      <c r="D14" s="7"/>
      <c r="E14" s="6"/>
    </row>
    <row r="15" spans="1:5" ht="14.5">
      <c r="A15" s="9"/>
      <c r="B15" s="7"/>
      <c r="D15" s="7"/>
      <c r="E15" s="6"/>
    </row>
    <row r="16" spans="1:5" ht="14.5">
      <c r="A16" s="9"/>
      <c r="B16" s="7"/>
      <c r="D16" s="7"/>
      <c r="E16" s="6"/>
    </row>
    <row r="17" spans="1:5" ht="14.5">
      <c r="A17" s="9"/>
      <c r="B17" s="7"/>
      <c r="D17" s="7"/>
      <c r="E17" s="6"/>
    </row>
    <row r="18" spans="1:5" ht="14.5">
      <c r="A18" s="9"/>
      <c r="B18" s="7"/>
      <c r="D18" s="7"/>
      <c r="E18" s="6"/>
    </row>
    <row r="19" spans="1:5" ht="14.5">
      <c r="A19" s="9"/>
      <c r="B19" s="7"/>
      <c r="D19" s="7"/>
      <c r="E19" s="6"/>
    </row>
    <row r="20" spans="1:5" ht="14.5">
      <c r="A20" s="9"/>
      <c r="B20" s="7"/>
      <c r="D20" s="7"/>
      <c r="E20" s="6"/>
    </row>
    <row r="21" spans="1:5" ht="14.5">
      <c r="A21" s="9"/>
      <c r="B21" s="7"/>
      <c r="D21" s="7"/>
      <c r="E21" s="6"/>
    </row>
    <row r="22" spans="1:5" ht="14.5">
      <c r="A22" s="9"/>
      <c r="B22" s="7"/>
      <c r="D22" s="7"/>
      <c r="E22" s="6"/>
    </row>
    <row r="23" spans="1:5" ht="14.5">
      <c r="A23" s="9"/>
      <c r="B23" s="7"/>
      <c r="D23" s="7"/>
      <c r="E23" s="6"/>
    </row>
    <row r="24" spans="1:5" ht="14.5">
      <c r="A24" s="9"/>
      <c r="B24" s="7"/>
      <c r="D24" s="7"/>
      <c r="E24" s="6"/>
    </row>
    <row r="25" spans="1:5" ht="14.5">
      <c r="A25" s="9"/>
      <c r="B25" s="7"/>
      <c r="D25" s="7"/>
      <c r="E25" s="6"/>
    </row>
    <row r="26" spans="1:5" ht="14.5">
      <c r="A26" s="9"/>
      <c r="B26" s="7"/>
      <c r="D26" s="7"/>
      <c r="E26" s="6"/>
    </row>
    <row r="27" spans="1:5" ht="14.5">
      <c r="A27" s="9"/>
      <c r="B27" s="7"/>
      <c r="D27" s="7"/>
      <c r="E27" s="6"/>
    </row>
    <row r="28" spans="1:5" ht="14.5">
      <c r="A28" s="9"/>
      <c r="B28" s="7"/>
      <c r="D28" s="7"/>
      <c r="E28" s="6"/>
    </row>
    <row r="29" spans="1:5" ht="14.5">
      <c r="A29" s="9"/>
      <c r="B29" s="7"/>
      <c r="D29" s="7"/>
      <c r="E29" s="6"/>
    </row>
    <row r="30" spans="1:5" ht="14.5">
      <c r="A30" s="9"/>
      <c r="B30" s="7"/>
      <c r="D30" s="7"/>
      <c r="E30" s="6"/>
    </row>
    <row r="31" spans="1:5" ht="14.5">
      <c r="A31" s="9"/>
      <c r="B31" s="7"/>
      <c r="D31" s="7"/>
      <c r="E31" s="6"/>
    </row>
    <row r="32" spans="1:5" ht="14.5">
      <c r="A32" s="9"/>
      <c r="B32" s="7"/>
      <c r="D32" s="7"/>
      <c r="E32" s="6"/>
    </row>
    <row r="33" spans="1:5" ht="14.5">
      <c r="A33" s="9"/>
      <c r="B33" s="7"/>
      <c r="D33" s="7"/>
      <c r="E33" s="6"/>
    </row>
    <row r="34" spans="1:5" ht="14.5">
      <c r="A34" s="9"/>
      <c r="B34" s="7"/>
      <c r="D34" s="7"/>
      <c r="E34" s="6"/>
    </row>
    <row r="35" spans="1:5" ht="14.5">
      <c r="A35" s="46"/>
      <c r="B35" s="7"/>
      <c r="D35" s="7"/>
      <c r="E35" s="6"/>
    </row>
    <row r="36" spans="1:5" ht="14.5">
      <c r="A36" s="9"/>
      <c r="B36" s="7"/>
      <c r="D36" s="7"/>
      <c r="E36" s="6"/>
    </row>
    <row r="37" spans="1:5" ht="14.5">
      <c r="A37" s="9"/>
      <c r="B37" s="7"/>
      <c r="D37" s="7"/>
      <c r="E37" s="6"/>
    </row>
    <row r="38" spans="1:5" ht="14.5">
      <c r="A38" s="9"/>
      <c r="B38" s="7"/>
      <c r="D38" s="7"/>
      <c r="E38" s="6"/>
    </row>
    <row r="39" spans="1:5" ht="14.5">
      <c r="A39" s="9"/>
      <c r="B39" s="7"/>
      <c r="D39" s="7"/>
      <c r="E39" s="6"/>
    </row>
    <row r="40" spans="1:5" ht="14.5">
      <c r="A40" s="9"/>
      <c r="B40" s="7"/>
      <c r="D40" s="7"/>
      <c r="E40" s="6"/>
    </row>
    <row r="41" spans="1:5" ht="14.5">
      <c r="A41" s="9"/>
      <c r="B41" s="7"/>
      <c r="D41" s="7"/>
      <c r="E41" s="6"/>
    </row>
    <row r="42" spans="1:5" ht="14.5">
      <c r="A42" s="9"/>
      <c r="B42" s="7"/>
      <c r="D42" s="7"/>
      <c r="E42" s="6"/>
    </row>
    <row r="43" spans="1:5" ht="14.5">
      <c r="A43" s="9"/>
      <c r="B43" s="7"/>
      <c r="D43" s="7"/>
      <c r="E43" s="6"/>
    </row>
    <row r="44" spans="1:5" ht="14.5">
      <c r="A44" s="9"/>
      <c r="B44" s="7"/>
      <c r="D44" s="7"/>
      <c r="E44" s="6"/>
    </row>
    <row r="45" spans="1:5" ht="14.5">
      <c r="A45" s="9"/>
      <c r="B45" s="7"/>
      <c r="D45" s="7"/>
      <c r="E45" s="6"/>
    </row>
    <row r="46" spans="1:5" ht="14.5">
      <c r="A46" s="9"/>
      <c r="B46" s="7"/>
      <c r="D46" s="7"/>
      <c r="E46" s="6"/>
    </row>
    <row r="47" spans="1:5" ht="14.5">
      <c r="A47" s="9"/>
      <c r="B47" s="7"/>
      <c r="D47" s="7"/>
      <c r="E47" s="6"/>
    </row>
    <row r="48" spans="1:5" ht="14.5">
      <c r="A48" s="9"/>
      <c r="B48" s="7"/>
      <c r="D48" s="7"/>
      <c r="E48" s="6"/>
    </row>
    <row r="49" spans="1:5" ht="14.5">
      <c r="A49" s="9"/>
      <c r="B49" s="7"/>
      <c r="D49" s="7"/>
      <c r="E49" s="6"/>
    </row>
    <row r="50" spans="1:5" ht="14.5">
      <c r="A50" s="9"/>
      <c r="B50" s="7"/>
      <c r="D50" s="7"/>
      <c r="E50" s="6"/>
    </row>
    <row r="51" spans="1:5" ht="14.5">
      <c r="A51" s="47"/>
      <c r="B51" s="7"/>
      <c r="D51" s="7"/>
      <c r="E51" s="6"/>
    </row>
    <row r="52" spans="1:5" ht="14.5">
      <c r="A52" s="9"/>
      <c r="B52" s="7"/>
      <c r="D52" s="7"/>
      <c r="E52" s="6"/>
    </row>
    <row r="53" spans="1:5" ht="14.5">
      <c r="A53" s="9"/>
      <c r="B53" s="7"/>
      <c r="D53" s="7"/>
      <c r="E53" s="6"/>
    </row>
    <row r="54" spans="1:5" ht="14.5">
      <c r="A54" s="9"/>
      <c r="B54" s="7"/>
      <c r="D54" s="7"/>
      <c r="E54" s="6"/>
    </row>
    <row r="55" spans="1:5" ht="14.5">
      <c r="A55" s="9"/>
      <c r="B55" s="7"/>
      <c r="D55" s="7"/>
      <c r="E55" s="6"/>
    </row>
    <row r="56" spans="1:5" ht="14.5">
      <c r="A56" s="9"/>
      <c r="B56" s="7"/>
      <c r="D56" s="7"/>
      <c r="E56" s="6"/>
    </row>
    <row r="57" spans="1:5" ht="14.5">
      <c r="A57" s="9"/>
      <c r="B57" s="7"/>
      <c r="D57" s="7"/>
      <c r="E57" s="6"/>
    </row>
    <row r="58" spans="1:5" ht="14.5">
      <c r="A58" s="9"/>
      <c r="B58" s="7"/>
      <c r="D58" s="7"/>
      <c r="E58" s="6"/>
    </row>
    <row r="59" spans="1:5" ht="14.5">
      <c r="A59" s="9"/>
      <c r="B59" s="7"/>
      <c r="D59" s="7"/>
      <c r="E59" s="6"/>
    </row>
    <row r="60" spans="1:5" ht="14.5">
      <c r="A60" s="9"/>
      <c r="B60" s="7"/>
      <c r="D60" s="7"/>
      <c r="E60" s="6"/>
    </row>
    <row r="61" spans="1:5" ht="14.5">
      <c r="A61" s="9"/>
      <c r="B61" s="7"/>
      <c r="D61" s="7"/>
      <c r="E61" s="6"/>
    </row>
    <row r="62" spans="1:5" ht="14.5">
      <c r="A62" s="9"/>
      <c r="B62" s="7"/>
      <c r="D62" s="7"/>
      <c r="E62" s="6"/>
    </row>
    <row r="63" spans="1:5" ht="14.5">
      <c r="A63" s="9"/>
      <c r="B63" s="7"/>
      <c r="D63" s="7"/>
      <c r="E63" s="6"/>
    </row>
    <row r="64" spans="1:5" ht="14.5">
      <c r="A64" s="9"/>
      <c r="B64" s="7"/>
      <c r="D64" s="7"/>
      <c r="E64" s="6"/>
    </row>
    <row r="65" spans="1:5" ht="14.5">
      <c r="A65" s="9"/>
      <c r="B65" s="7"/>
      <c r="D65" s="7"/>
      <c r="E65" s="6"/>
    </row>
    <row r="66" spans="1:5" ht="14.5">
      <c r="A66" s="9"/>
      <c r="B66" s="7"/>
      <c r="D66" s="7"/>
      <c r="E66" s="6"/>
    </row>
    <row r="67" spans="1:5" ht="14.5">
      <c r="A67" s="9"/>
      <c r="B67" s="7"/>
      <c r="D67" s="7"/>
      <c r="E67" s="6"/>
    </row>
    <row r="68" spans="1:5" ht="14.5">
      <c r="A68" s="9"/>
      <c r="B68" s="7"/>
      <c r="D68" s="7"/>
      <c r="E68" s="6"/>
    </row>
    <row r="69" spans="1:5" ht="14.5">
      <c r="A69" s="9"/>
      <c r="B69" s="7"/>
      <c r="D69" s="7"/>
      <c r="E69" s="6"/>
    </row>
    <row r="70" spans="1:5" ht="14.5">
      <c r="A70" s="9"/>
      <c r="B70" s="7"/>
      <c r="D70" s="7"/>
      <c r="E70" s="6"/>
    </row>
    <row r="71" spans="1:5" ht="14.5">
      <c r="A71" s="9"/>
      <c r="B71" s="7"/>
      <c r="D71" s="7"/>
      <c r="E71" s="6"/>
    </row>
    <row r="72" spans="1:5" ht="14.5">
      <c r="A72" s="9"/>
      <c r="B72" s="7"/>
      <c r="D72" s="7"/>
      <c r="E72" s="6"/>
    </row>
    <row r="73" spans="1:5" ht="14.5">
      <c r="A73" s="9"/>
      <c r="B73" s="7"/>
      <c r="D73" s="7"/>
      <c r="E73" s="6"/>
    </row>
    <row r="74" spans="1:5" ht="14.5">
      <c r="A74" s="9"/>
      <c r="B74" s="7"/>
      <c r="D74" s="7"/>
      <c r="E74" s="6"/>
    </row>
    <row r="75" spans="1:5" ht="14.5">
      <c r="A75" s="9"/>
      <c r="B75" s="7"/>
      <c r="D75" s="7"/>
      <c r="E75" s="6"/>
    </row>
    <row r="76" spans="1:5" ht="14.5">
      <c r="A76" s="9"/>
      <c r="B76" s="7"/>
      <c r="D76" s="7"/>
      <c r="E76" s="6"/>
    </row>
    <row r="77" spans="1:5" ht="14.5">
      <c r="A77" s="9"/>
      <c r="B77" s="7"/>
      <c r="D77" s="7"/>
      <c r="E77" s="6"/>
    </row>
    <row r="78" spans="1:5" ht="14.5">
      <c r="A78" s="9"/>
      <c r="B78" s="7"/>
      <c r="D78" s="7"/>
      <c r="E78" s="6"/>
    </row>
    <row r="79" spans="1:5" ht="14.5">
      <c r="A79" s="9"/>
      <c r="B79" s="7"/>
      <c r="D79" s="7"/>
      <c r="E79" s="6"/>
    </row>
    <row r="80" spans="1:5" ht="14.5">
      <c r="A80" s="9"/>
      <c r="B80" s="7"/>
      <c r="D80" s="7"/>
      <c r="E80" s="6"/>
    </row>
    <row r="81" spans="1:5" ht="14.5">
      <c r="A81" s="9"/>
      <c r="B81" s="7"/>
      <c r="D81" s="7"/>
      <c r="E81" s="6"/>
    </row>
    <row r="82" spans="1:5" ht="14.5">
      <c r="A82" s="9"/>
      <c r="B82" s="7"/>
      <c r="D82" s="7"/>
      <c r="E82" s="6"/>
    </row>
    <row r="83" spans="1:5" ht="14.5">
      <c r="A83" s="9"/>
      <c r="B83" s="7"/>
      <c r="D83" s="7"/>
      <c r="E83" s="6"/>
    </row>
    <row r="84" spans="1:5" ht="14.5">
      <c r="A84" s="9"/>
      <c r="B84" s="7"/>
      <c r="D84" s="7"/>
      <c r="E84" s="6"/>
    </row>
    <row r="85" spans="1:5" ht="14.5">
      <c r="A85" s="9"/>
      <c r="B85" s="7"/>
      <c r="D85" s="7"/>
      <c r="E85" s="6"/>
    </row>
    <row r="86" spans="1:5" ht="14.5">
      <c r="A86" s="9"/>
      <c r="B86" s="7"/>
      <c r="D86" s="7"/>
      <c r="E86" s="6"/>
    </row>
    <row r="87" spans="1:5" ht="14.5">
      <c r="A87" s="9"/>
      <c r="B87" s="7"/>
      <c r="D87" s="7"/>
      <c r="E87" s="6"/>
    </row>
    <row r="88" spans="1:5" ht="14.5">
      <c r="A88" s="9"/>
      <c r="B88" s="7"/>
      <c r="D88" s="7"/>
      <c r="E88" s="6"/>
    </row>
    <row r="89" spans="1:5" ht="14.5">
      <c r="A89" s="9"/>
      <c r="B89" s="7"/>
      <c r="D89" s="7"/>
      <c r="E89" s="6"/>
    </row>
    <row r="90" spans="1:5" ht="14.5">
      <c r="A90" s="2"/>
      <c r="B90" s="3"/>
      <c r="D90" s="3"/>
    </row>
    <row r="91" spans="1:5" ht="14.5">
      <c r="A91" s="2"/>
      <c r="B91" s="3"/>
      <c r="D91" s="3"/>
    </row>
    <row r="92" spans="1:5" ht="14.5">
      <c r="A92" s="2"/>
      <c r="B92" s="3"/>
      <c r="D92" s="3"/>
    </row>
    <row r="93" spans="1:5" ht="14.5">
      <c r="A93" s="2"/>
      <c r="B93" s="3"/>
      <c r="D93" s="3"/>
    </row>
    <row r="94" spans="1:5" ht="14.5">
      <c r="A94" s="2"/>
      <c r="B94" s="3"/>
      <c r="D94" s="3"/>
    </row>
    <row r="95" spans="1:5" ht="14.5">
      <c r="A95" s="2"/>
      <c r="B95" s="3"/>
      <c r="D95" s="3"/>
    </row>
    <row r="96" spans="1:5" ht="14.5">
      <c r="A96" s="2"/>
      <c r="B96" s="3"/>
      <c r="D96" s="3"/>
    </row>
    <row r="97" spans="1:4" ht="14.5">
      <c r="A97" s="2"/>
      <c r="B97" s="3"/>
      <c r="D97" s="3"/>
    </row>
    <row r="98" spans="1:4" ht="14.5">
      <c r="A98" s="2"/>
      <c r="B98" s="3"/>
      <c r="D98" s="3"/>
    </row>
    <row r="99" spans="1:4" ht="14.5">
      <c r="A99" s="2"/>
      <c r="B99" s="3"/>
      <c r="D99" s="3"/>
    </row>
    <row r="100" spans="1:4" ht="14.5">
      <c r="A100" s="2"/>
      <c r="B100" s="3"/>
      <c r="D100" s="3"/>
    </row>
    <row r="101" spans="1:4" ht="14.5">
      <c r="A101" s="2"/>
      <c r="B101" s="3"/>
      <c r="D101" s="3"/>
    </row>
    <row r="102" spans="1:4" ht="14.5">
      <c r="A102" s="2"/>
      <c r="B102" s="3"/>
      <c r="D102" s="3"/>
    </row>
    <row r="103" spans="1:4" ht="14.5">
      <c r="A103" s="2"/>
      <c r="B103" s="3"/>
      <c r="D103" s="3"/>
    </row>
    <row r="104" spans="1:4" ht="14.5">
      <c r="A104" s="2"/>
      <c r="B104" s="3"/>
      <c r="D104" s="3"/>
    </row>
    <row r="105" spans="1:4" ht="14.5">
      <c r="A105" s="2"/>
      <c r="B105" s="3"/>
      <c r="D105" s="3"/>
    </row>
    <row r="106" spans="1:4" ht="14.5">
      <c r="A106" s="2"/>
      <c r="B106" s="3"/>
      <c r="D106" s="3"/>
    </row>
    <row r="107" spans="1:4" ht="14.5">
      <c r="A107" s="2"/>
      <c r="B107" s="3"/>
      <c r="D107" s="3"/>
    </row>
    <row r="108" spans="1:4" ht="14.5">
      <c r="A108" s="2"/>
      <c r="B108" s="3"/>
      <c r="D108" s="3"/>
    </row>
    <row r="109" spans="1:4" ht="14.5">
      <c r="A109" s="2"/>
      <c r="B109" s="3"/>
      <c r="D109" s="3"/>
    </row>
    <row r="110" spans="1:4" ht="14.5">
      <c r="A110" s="2"/>
      <c r="B110" s="3"/>
      <c r="D110" s="3"/>
    </row>
    <row r="111" spans="1:4" ht="14.5">
      <c r="A111" s="2"/>
      <c r="B111" s="3"/>
      <c r="D111" s="3"/>
    </row>
    <row r="112" spans="1:4" ht="14.5">
      <c r="A112" s="2"/>
      <c r="B112" s="3"/>
      <c r="D112" s="3"/>
    </row>
    <row r="113" spans="1:4" ht="14.5">
      <c r="A113" s="2"/>
      <c r="B113" s="3"/>
      <c r="D113" s="3"/>
    </row>
    <row r="114" spans="1:4" ht="14.5">
      <c r="A114" s="2"/>
      <c r="B114" s="3"/>
      <c r="D114" s="3"/>
    </row>
    <row r="115" spans="1:4" ht="14.5">
      <c r="A115" s="2"/>
      <c r="B115" s="3"/>
      <c r="D115" s="3"/>
    </row>
    <row r="116" spans="1:4" ht="14.5">
      <c r="A116" s="2"/>
      <c r="B116" s="3"/>
      <c r="D116" s="3"/>
    </row>
    <row r="117" spans="1:4" ht="14.5">
      <c r="A117" s="2"/>
      <c r="B117" s="3"/>
      <c r="D117" s="3"/>
    </row>
    <row r="118" spans="1:4" ht="14.5">
      <c r="A118" s="2"/>
      <c r="B118" s="3"/>
      <c r="D118" s="3"/>
    </row>
    <row r="119" spans="1:4" ht="14.5">
      <c r="A119" s="2"/>
      <c r="B119" s="3"/>
      <c r="D119" s="3"/>
    </row>
    <row r="120" spans="1:4" ht="14.5">
      <c r="A120" s="2"/>
      <c r="B120" s="3"/>
      <c r="D120" s="3"/>
    </row>
    <row r="121" spans="1:4" ht="14.5">
      <c r="A121" s="2"/>
      <c r="B121" s="3"/>
      <c r="D121" s="3"/>
    </row>
    <row r="122" spans="1:4" ht="14.5">
      <c r="A122" s="2"/>
      <c r="B122" s="3"/>
      <c r="D122" s="3"/>
    </row>
    <row r="123" spans="1:4" ht="14.5">
      <c r="A123" s="2"/>
      <c r="B123" s="3"/>
      <c r="D123" s="3"/>
    </row>
    <row r="124" spans="1:4" ht="14.5">
      <c r="A124" s="2"/>
      <c r="B124" s="3"/>
      <c r="D124" s="3"/>
    </row>
    <row r="125" spans="1:4" ht="14.5">
      <c r="A125" s="2"/>
      <c r="B125" s="3"/>
      <c r="D125" s="3"/>
    </row>
    <row r="126" spans="1:4" ht="14.5">
      <c r="A126" s="2"/>
      <c r="B126" s="3"/>
      <c r="D126" s="3"/>
    </row>
    <row r="127" spans="1:4" ht="14.5">
      <c r="A127" s="2"/>
      <c r="B127" s="3"/>
      <c r="D127" s="3"/>
    </row>
    <row r="128" spans="1:4" ht="14.5">
      <c r="A128" s="2"/>
      <c r="B128" s="3"/>
      <c r="D128" s="3"/>
    </row>
    <row r="129" spans="1:4" ht="14.5">
      <c r="A129" s="2"/>
      <c r="B129" s="3"/>
      <c r="D129" s="3"/>
    </row>
    <row r="130" spans="1:4" ht="14.5">
      <c r="A130" s="2"/>
      <c r="B130" s="3"/>
      <c r="D130" s="3"/>
    </row>
    <row r="131" spans="1:4" ht="14.5">
      <c r="A131" s="2"/>
      <c r="B131" s="3"/>
      <c r="D131" s="3"/>
    </row>
    <row r="132" spans="1:4" ht="14.5">
      <c r="A132" s="2"/>
      <c r="B132" s="3"/>
      <c r="D132" s="3"/>
    </row>
    <row r="133" spans="1:4" ht="14.5">
      <c r="A133" s="2"/>
      <c r="B133" s="3"/>
      <c r="D133" s="3"/>
    </row>
    <row r="134" spans="1:4" ht="14.5">
      <c r="A134" s="2"/>
      <c r="B134" s="3"/>
      <c r="D134" s="3"/>
    </row>
    <row r="135" spans="1:4" ht="14.5">
      <c r="A135" s="2"/>
      <c r="B135" s="3"/>
      <c r="D135" s="3"/>
    </row>
    <row r="136" spans="1:4" ht="14.5">
      <c r="A136" s="2"/>
      <c r="B136" s="3"/>
      <c r="D136" s="3"/>
    </row>
    <row r="137" spans="1:4" ht="14.5">
      <c r="A137" s="2"/>
      <c r="B137" s="3"/>
      <c r="D137" s="3"/>
    </row>
    <row r="138" spans="1:4" ht="14.5">
      <c r="A138" s="2"/>
      <c r="B138" s="3"/>
      <c r="D138" s="3"/>
    </row>
    <row r="139" spans="1:4" ht="14.5">
      <c r="A139" s="2"/>
      <c r="B139" s="3"/>
      <c r="D139" s="3"/>
    </row>
    <row r="140" spans="1:4" ht="14.5">
      <c r="A140" s="2"/>
      <c r="B140" s="3"/>
      <c r="D140" s="3"/>
    </row>
    <row r="141" spans="1:4" ht="14.5">
      <c r="A141" s="2"/>
      <c r="B141" s="3"/>
      <c r="D141" s="3"/>
    </row>
    <row r="142" spans="1:4" ht="14.5">
      <c r="A142" s="2"/>
      <c r="B142" s="3"/>
      <c r="D142" s="3"/>
    </row>
    <row r="143" spans="1:4" ht="14.5">
      <c r="A143" s="2"/>
      <c r="B143" s="3"/>
      <c r="D143" s="3"/>
    </row>
    <row r="144" spans="1:4" ht="14.5">
      <c r="A144" s="2"/>
      <c r="B144" s="3"/>
      <c r="D144" s="3"/>
    </row>
    <row r="145" spans="1:4" ht="14.5">
      <c r="A145" s="2"/>
      <c r="B145" s="3"/>
      <c r="D145" s="3"/>
    </row>
    <row r="146" spans="1:4" ht="14.5">
      <c r="A146" s="2"/>
      <c r="B146" s="3"/>
      <c r="D146" s="3"/>
    </row>
    <row r="147" spans="1:4" ht="14.5">
      <c r="A147" s="2"/>
      <c r="B147" s="3"/>
      <c r="D147" s="3"/>
    </row>
    <row r="148" spans="1:4" ht="14.5">
      <c r="A148" s="2"/>
      <c r="B148" s="3"/>
      <c r="D148" s="3"/>
    </row>
    <row r="149" spans="1:4" ht="14.5">
      <c r="A149" s="2"/>
      <c r="B149" s="3"/>
      <c r="D149" s="3"/>
    </row>
    <row r="150" spans="1:4" ht="14.5">
      <c r="A150" s="2"/>
      <c r="B150" s="3"/>
      <c r="D150" s="3"/>
    </row>
    <row r="151" spans="1:4" ht="14.5">
      <c r="A151" s="2"/>
      <c r="B151" s="3"/>
      <c r="D151" s="3"/>
    </row>
    <row r="152" spans="1:4" ht="14.5">
      <c r="A152" s="2"/>
      <c r="B152" s="3"/>
      <c r="D152" s="3"/>
    </row>
    <row r="153" spans="1:4" ht="14.5">
      <c r="A153" s="2"/>
      <c r="B153" s="3"/>
      <c r="D153" s="3"/>
    </row>
    <row r="154" spans="1:4" ht="14.5">
      <c r="A154" s="2"/>
      <c r="B154" s="3"/>
      <c r="D154" s="3"/>
    </row>
    <row r="155" spans="1:4" ht="14.5">
      <c r="A155" s="2"/>
      <c r="B155" s="3"/>
      <c r="D155" s="3"/>
    </row>
    <row r="156" spans="1:4" ht="14.5">
      <c r="A156" s="2"/>
      <c r="B156" s="3"/>
      <c r="D156" s="3"/>
    </row>
    <row r="157" spans="1:4" ht="14.5">
      <c r="A157" s="2"/>
      <c r="B157" s="3"/>
      <c r="D157" s="3"/>
    </row>
    <row r="158" spans="1:4" ht="14.5">
      <c r="A158" s="2"/>
      <c r="B158" s="3"/>
      <c r="D158" s="3"/>
    </row>
    <row r="159" spans="1:4" ht="14.5">
      <c r="A159" s="2"/>
      <c r="B159" s="3"/>
      <c r="D159" s="3"/>
    </row>
    <row r="160" spans="1:4" ht="14.5">
      <c r="A160" s="2"/>
      <c r="B160" s="3"/>
      <c r="D160" s="3"/>
    </row>
    <row r="161" spans="1:4" ht="14.5">
      <c r="A161" s="2"/>
      <c r="B161" s="3"/>
      <c r="D161" s="3"/>
    </row>
    <row r="162" spans="1:4" ht="14.5">
      <c r="A162" s="2"/>
      <c r="B162" s="3"/>
      <c r="D162" s="3"/>
    </row>
    <row r="163" spans="1:4" ht="14.5">
      <c r="A163" s="2"/>
      <c r="B163" s="3"/>
      <c r="D163" s="3"/>
    </row>
    <row r="164" spans="1:4" ht="14.5">
      <c r="A164" s="2"/>
      <c r="B164" s="3"/>
      <c r="D164" s="3"/>
    </row>
    <row r="165" spans="1:4" ht="14.5">
      <c r="A165" s="2"/>
      <c r="B165" s="3"/>
      <c r="D165" s="3"/>
    </row>
    <row r="166" spans="1:4" ht="14.5">
      <c r="A166" s="2"/>
      <c r="B166" s="3"/>
      <c r="D166" s="3"/>
    </row>
    <row r="167" spans="1:4" ht="14.5">
      <c r="A167" s="2"/>
      <c r="B167" s="3"/>
      <c r="D167" s="3"/>
    </row>
    <row r="168" spans="1:4" ht="14.5">
      <c r="A168" s="2"/>
      <c r="B168" s="3"/>
      <c r="D168" s="3"/>
    </row>
    <row r="169" spans="1:4" ht="14.5">
      <c r="A169" s="2"/>
      <c r="B169" s="3"/>
      <c r="D169" s="3"/>
    </row>
    <row r="170" spans="1:4" ht="14.5">
      <c r="A170" s="2"/>
      <c r="B170" s="3"/>
      <c r="D170" s="3"/>
    </row>
    <row r="171" spans="1:4" ht="14.5">
      <c r="A171" s="2"/>
      <c r="B171" s="3"/>
      <c r="D171" s="3"/>
    </row>
    <row r="172" spans="1:4" ht="14.5">
      <c r="A172" s="2"/>
      <c r="B172" s="3"/>
      <c r="D172" s="3"/>
    </row>
    <row r="173" spans="1:4" ht="14.5">
      <c r="A173" s="2"/>
      <c r="B173" s="3"/>
      <c r="D173" s="3"/>
    </row>
    <row r="174" spans="1:4" ht="14.5">
      <c r="A174" s="2"/>
      <c r="B174" s="3"/>
      <c r="D174" s="3"/>
    </row>
    <row r="175" spans="1:4" ht="14.5">
      <c r="A175" s="2"/>
      <c r="B175" s="3"/>
      <c r="D175" s="3"/>
    </row>
    <row r="176" spans="1:4" ht="14.5">
      <c r="A176" s="2"/>
      <c r="B176" s="3"/>
      <c r="D176" s="3"/>
    </row>
    <row r="177" spans="1:4" ht="14.5">
      <c r="A177" s="2"/>
      <c r="B177" s="3"/>
      <c r="D177" s="3"/>
    </row>
    <row r="178" spans="1:4" ht="14.5">
      <c r="A178" s="2"/>
      <c r="B178" s="3"/>
      <c r="D178" s="3"/>
    </row>
    <row r="179" spans="1:4" ht="14.5">
      <c r="A179" s="2"/>
      <c r="B179" s="3"/>
      <c r="D179" s="3"/>
    </row>
    <row r="180" spans="1:4" ht="14.5">
      <c r="A180" s="2"/>
      <c r="B180" s="3"/>
      <c r="D180" s="3"/>
    </row>
    <row r="181" spans="1:4" ht="14.5">
      <c r="A181" s="2"/>
      <c r="B181" s="3"/>
      <c r="D181" s="3"/>
    </row>
    <row r="182" spans="1:4" ht="14.5">
      <c r="A182" s="2"/>
      <c r="B182" s="3"/>
      <c r="D182" s="3"/>
    </row>
    <row r="183" spans="1:4" ht="14.5">
      <c r="A183" s="2"/>
      <c r="B183" s="3"/>
      <c r="D183" s="3"/>
    </row>
    <row r="184" spans="1:4" ht="14.5">
      <c r="A184" s="2"/>
      <c r="B184" s="3"/>
      <c r="D184" s="3"/>
    </row>
    <row r="185" spans="1:4" ht="14.5">
      <c r="A185" s="2"/>
      <c r="B185" s="3"/>
      <c r="D185" s="3"/>
    </row>
    <row r="186" spans="1:4" ht="14.5">
      <c r="A186" s="2"/>
      <c r="B186" s="3"/>
      <c r="D186" s="3"/>
    </row>
    <row r="187" spans="1:4" ht="14.5">
      <c r="A187" s="2"/>
      <c r="B187" s="3"/>
      <c r="D187" s="3"/>
    </row>
    <row r="188" spans="1:4" ht="14.5">
      <c r="A188" s="2"/>
      <c r="B188" s="3"/>
      <c r="D188" s="3"/>
    </row>
    <row r="189" spans="1:4" ht="14.5">
      <c r="A189" s="2"/>
      <c r="B189" s="3"/>
      <c r="D189" s="3"/>
    </row>
    <row r="190" spans="1:4" ht="14.5">
      <c r="A190" s="2"/>
      <c r="B190" s="3"/>
      <c r="D190" s="3"/>
    </row>
    <row r="191" spans="1:4" ht="14.5">
      <c r="A191" s="2"/>
      <c r="B191" s="3"/>
      <c r="D191" s="3"/>
    </row>
    <row r="192" spans="1:4" ht="14.5">
      <c r="A192" s="2"/>
      <c r="B192" s="3"/>
      <c r="D192" s="3"/>
    </row>
    <row r="193" spans="1:4" ht="14.5">
      <c r="A193" s="2"/>
      <c r="B193" s="3"/>
      <c r="D193" s="3"/>
    </row>
    <row r="194" spans="1:4" ht="14.5">
      <c r="A194" s="2"/>
      <c r="B194" s="3"/>
      <c r="D194" s="3"/>
    </row>
    <row r="195" spans="1:4" ht="14.5">
      <c r="A195" s="2"/>
      <c r="B195" s="3"/>
      <c r="D195" s="3"/>
    </row>
    <row r="196" spans="1:4" ht="14.5">
      <c r="A196" s="2"/>
      <c r="B196" s="3"/>
      <c r="D196" s="3"/>
    </row>
    <row r="197" spans="1:4" ht="14.5">
      <c r="A197" s="2"/>
      <c r="B197" s="3"/>
      <c r="D197" s="3"/>
    </row>
    <row r="198" spans="1:4" ht="14.5">
      <c r="A198" s="2"/>
      <c r="B198" s="3"/>
      <c r="D198" s="3"/>
    </row>
    <row r="199" spans="1:4" ht="14.5">
      <c r="A199" s="2"/>
      <c r="B199" s="3"/>
      <c r="D199" s="3"/>
    </row>
    <row r="200" spans="1:4" ht="14.5">
      <c r="A200" s="2"/>
      <c r="B200" s="3"/>
      <c r="D200" s="3"/>
    </row>
    <row r="201" spans="1:4" ht="14.5">
      <c r="A201" s="2"/>
      <c r="B201" s="3"/>
      <c r="D201" s="3"/>
    </row>
    <row r="202" spans="1:4" ht="14.5">
      <c r="A202" s="2"/>
      <c r="B202" s="3"/>
      <c r="D202" s="3"/>
    </row>
    <row r="203" spans="1:4" ht="14.5">
      <c r="A203" s="2"/>
      <c r="B203" s="3"/>
      <c r="D203" s="3"/>
    </row>
    <row r="204" spans="1:4" ht="14.5">
      <c r="A204" s="2"/>
      <c r="B204" s="3"/>
      <c r="D204" s="3"/>
    </row>
    <row r="205" spans="1:4" ht="14.5">
      <c r="A205" s="2"/>
      <c r="B205" s="3"/>
      <c r="D205" s="3"/>
    </row>
    <row r="206" spans="1:4" ht="14.5">
      <c r="A206" s="2"/>
      <c r="B206" s="3"/>
      <c r="D206" s="3"/>
    </row>
    <row r="207" spans="1:4" ht="14.5">
      <c r="A207" s="2"/>
      <c r="B207" s="3"/>
      <c r="D207" s="3"/>
    </row>
    <row r="208" spans="1:4" ht="14.5">
      <c r="A208" s="2"/>
      <c r="B208" s="3"/>
      <c r="D208" s="3"/>
    </row>
    <row r="209" spans="1:4" ht="14.5">
      <c r="A209" s="2"/>
      <c r="B209" s="3"/>
      <c r="D209" s="3"/>
    </row>
    <row r="210" spans="1:4" ht="14.5">
      <c r="A210" s="2"/>
      <c r="B210" s="3"/>
      <c r="D210" s="3"/>
    </row>
    <row r="211" spans="1:4" ht="14.5">
      <c r="A211" s="2"/>
      <c r="B211" s="3"/>
      <c r="D211" s="3"/>
    </row>
    <row r="212" spans="1:4" ht="14.5">
      <c r="A212" s="2"/>
      <c r="B212" s="3"/>
      <c r="D212" s="3"/>
    </row>
    <row r="213" spans="1:4" ht="14.5">
      <c r="A213" s="2"/>
      <c r="B213" s="3"/>
      <c r="D213" s="3"/>
    </row>
    <row r="214" spans="1:4" ht="14.5">
      <c r="A214" s="2"/>
      <c r="B214" s="3"/>
      <c r="D214" s="3"/>
    </row>
    <row r="215" spans="1:4" ht="14.5">
      <c r="A215" s="2"/>
      <c r="B215" s="3"/>
      <c r="D215" s="3"/>
    </row>
    <row r="216" spans="1:4" ht="14.5">
      <c r="A216" s="2"/>
      <c r="B216" s="3"/>
      <c r="D216" s="3"/>
    </row>
    <row r="217" spans="1:4" ht="14.5">
      <c r="A217" s="2"/>
      <c r="B217" s="3"/>
      <c r="D217" s="3"/>
    </row>
    <row r="218" spans="1:4" ht="14.5">
      <c r="A218" s="2"/>
      <c r="B218" s="3"/>
      <c r="D218" s="3"/>
    </row>
    <row r="219" spans="1:4" ht="14.5">
      <c r="A219" s="2"/>
      <c r="B219" s="3"/>
      <c r="D219" s="3"/>
    </row>
    <row r="220" spans="1:4" ht="14.5">
      <c r="A220" s="2"/>
      <c r="B220" s="3"/>
      <c r="D220" s="3"/>
    </row>
    <row r="221" spans="1:4" ht="14.5">
      <c r="A221" s="2"/>
      <c r="B221" s="3"/>
      <c r="D221" s="3"/>
    </row>
    <row r="222" spans="1:4" ht="14.5">
      <c r="A222" s="2"/>
      <c r="B222" s="3"/>
      <c r="D222" s="3"/>
    </row>
    <row r="223" spans="1:4" ht="14.5">
      <c r="A223" s="2"/>
      <c r="B223" s="3"/>
      <c r="D223" s="3"/>
    </row>
    <row r="224" spans="1:4" ht="14.5">
      <c r="A224" s="2"/>
      <c r="B224" s="3"/>
      <c r="D224" s="3"/>
    </row>
    <row r="225" spans="1:4" ht="14.5">
      <c r="A225" s="2"/>
      <c r="B225" s="3"/>
      <c r="D225" s="3"/>
    </row>
    <row r="226" spans="1:4" ht="14.5">
      <c r="A226" s="2"/>
      <c r="B226" s="3"/>
      <c r="D226" s="3"/>
    </row>
    <row r="227" spans="1:4" ht="14.5">
      <c r="A227" s="2"/>
      <c r="B227" s="3"/>
      <c r="D227" s="3"/>
    </row>
    <row r="228" spans="1:4" ht="14.5">
      <c r="A228" s="2"/>
      <c r="B228" s="3"/>
      <c r="D228" s="3"/>
    </row>
    <row r="229" spans="1:4" ht="14.5">
      <c r="A229" s="2"/>
      <c r="B229" s="3"/>
      <c r="D229" s="3"/>
    </row>
    <row r="230" spans="1:4" ht="14.5">
      <c r="A230" s="2"/>
      <c r="B230" s="3"/>
      <c r="D230" s="3"/>
    </row>
    <row r="231" spans="1:4" ht="14.5">
      <c r="A231" s="2"/>
      <c r="B231" s="3"/>
      <c r="D231" s="3"/>
    </row>
    <row r="232" spans="1:4" ht="14.5">
      <c r="A232" s="2"/>
      <c r="B232" s="3"/>
      <c r="D232" s="3"/>
    </row>
    <row r="233" spans="1:4" ht="14.5">
      <c r="A233" s="2"/>
      <c r="B233" s="3"/>
      <c r="D233" s="3"/>
    </row>
    <row r="234" spans="1:4" ht="14.5">
      <c r="A234" s="2"/>
      <c r="B234" s="3"/>
      <c r="D234" s="3"/>
    </row>
    <row r="235" spans="1:4" ht="14.5">
      <c r="A235" s="2"/>
      <c r="B235" s="3"/>
      <c r="D235" s="3"/>
    </row>
    <row r="236" spans="1:4" ht="14.5">
      <c r="A236" s="2"/>
      <c r="B236" s="3"/>
      <c r="D236" s="3"/>
    </row>
    <row r="237" spans="1:4" ht="14.5">
      <c r="A237" s="2"/>
      <c r="B237" s="3"/>
      <c r="D237" s="3"/>
    </row>
    <row r="238" spans="1:4" ht="14.5">
      <c r="A238" s="2"/>
      <c r="B238" s="3"/>
      <c r="D238" s="3"/>
    </row>
    <row r="239" spans="1:4" ht="14.5">
      <c r="A239" s="2"/>
      <c r="B239" s="3"/>
      <c r="D239" s="3"/>
    </row>
    <row r="240" spans="1:4" ht="14.5">
      <c r="A240" s="2"/>
      <c r="B240" s="3"/>
      <c r="D240" s="3"/>
    </row>
    <row r="241" spans="1:4" ht="14.5">
      <c r="A241" s="2"/>
      <c r="B241" s="3"/>
      <c r="D241" s="3"/>
    </row>
    <row r="242" spans="1:4" ht="14.5">
      <c r="A242" s="2"/>
      <c r="B242" s="3"/>
      <c r="D242" s="3"/>
    </row>
    <row r="243" spans="1:4" ht="14.5">
      <c r="A243" s="2"/>
      <c r="B243" s="3"/>
      <c r="D243" s="3"/>
    </row>
    <row r="244" spans="1:4" ht="14.5">
      <c r="A244" s="2"/>
      <c r="B244" s="3"/>
      <c r="D244" s="3"/>
    </row>
    <row r="245" spans="1:4" ht="14.5">
      <c r="A245" s="2"/>
      <c r="B245" s="3"/>
      <c r="D245" s="3"/>
    </row>
    <row r="246" spans="1:4" ht="14.5">
      <c r="A246" s="2"/>
      <c r="B246" s="3"/>
      <c r="D246" s="3"/>
    </row>
    <row r="247" spans="1:4" ht="14.5">
      <c r="A247" s="2"/>
      <c r="B247" s="3"/>
      <c r="D247" s="3"/>
    </row>
    <row r="248" spans="1:4" ht="14.5">
      <c r="A248" s="2"/>
      <c r="B248" s="3"/>
      <c r="D248" s="3"/>
    </row>
    <row r="249" spans="1:4" ht="14.5">
      <c r="A249" s="2"/>
      <c r="B249" s="3"/>
      <c r="D249" s="3"/>
    </row>
    <row r="250" spans="1:4" ht="14.5">
      <c r="A250" s="2"/>
      <c r="B250" s="3"/>
      <c r="D250" s="3"/>
    </row>
    <row r="251" spans="1:4" ht="14.5">
      <c r="A251" s="2"/>
      <c r="B251" s="3"/>
      <c r="D251" s="3"/>
    </row>
    <row r="252" spans="1:4" ht="14.5">
      <c r="A252" s="2"/>
      <c r="B252" s="3"/>
      <c r="D252" s="3"/>
    </row>
    <row r="253" spans="1:4" ht="14.5">
      <c r="A253" s="2"/>
      <c r="B253" s="3"/>
      <c r="D253" s="3"/>
    </row>
    <row r="254" spans="1:4" ht="14.5">
      <c r="A254" s="2"/>
      <c r="B254" s="3"/>
      <c r="D254" s="3"/>
    </row>
    <row r="255" spans="1:4" ht="14.5">
      <c r="A255" s="2"/>
      <c r="B255" s="3"/>
      <c r="D255" s="3"/>
    </row>
    <row r="256" spans="1:4" ht="14.5">
      <c r="A256" s="2"/>
      <c r="B256" s="3"/>
      <c r="D256" s="3"/>
    </row>
    <row r="257" spans="1:4" ht="14.5">
      <c r="A257" s="2"/>
      <c r="B257" s="3"/>
      <c r="D257" s="3"/>
    </row>
    <row r="258" spans="1:4" ht="14.5">
      <c r="A258" s="2"/>
      <c r="B258" s="3"/>
      <c r="D258" s="3"/>
    </row>
    <row r="259" spans="1:4" ht="14.5">
      <c r="A259" s="2"/>
      <c r="B259" s="3"/>
      <c r="D259" s="3"/>
    </row>
    <row r="260" spans="1:4" ht="14.5">
      <c r="A260" s="2"/>
      <c r="B260" s="3"/>
      <c r="D260" s="3"/>
    </row>
    <row r="261" spans="1:4" ht="14.5">
      <c r="A261" s="2"/>
      <c r="B261" s="3"/>
      <c r="D261" s="3"/>
    </row>
    <row r="262" spans="1:4" ht="14.5">
      <c r="A262" s="2"/>
      <c r="B262" s="3"/>
      <c r="D262" s="3"/>
    </row>
    <row r="263" spans="1:4" ht="14.5">
      <c r="A263" s="2"/>
      <c r="B263" s="3"/>
      <c r="D263" s="3"/>
    </row>
    <row r="264" spans="1:4" ht="14.5">
      <c r="A264" s="2"/>
      <c r="B264" s="3"/>
      <c r="D264" s="3"/>
    </row>
    <row r="265" spans="1:4" ht="14.5">
      <c r="A265" s="2"/>
      <c r="B265" s="3"/>
      <c r="D265" s="3"/>
    </row>
    <row r="266" spans="1:4" ht="14.5">
      <c r="A266" s="2"/>
      <c r="B266" s="3"/>
      <c r="D266" s="3"/>
    </row>
    <row r="267" spans="1:4" ht="14.5">
      <c r="A267" s="2"/>
      <c r="B267" s="3"/>
      <c r="D267" s="3"/>
    </row>
    <row r="268" spans="1:4" ht="14.5">
      <c r="A268" s="2"/>
      <c r="B268" s="3"/>
      <c r="D268" s="3"/>
    </row>
    <row r="269" spans="1:4" ht="14.5">
      <c r="A269" s="2"/>
      <c r="B269" s="3"/>
      <c r="D269" s="3"/>
    </row>
    <row r="270" spans="1:4" ht="14.5">
      <c r="A270" s="2"/>
      <c r="B270" s="3"/>
      <c r="D270" s="3"/>
    </row>
    <row r="271" spans="1:4" ht="14.5">
      <c r="A271" s="2"/>
      <c r="B271" s="3"/>
      <c r="D271" s="3"/>
    </row>
    <row r="272" spans="1:4" ht="14.5">
      <c r="A272" s="2"/>
      <c r="B272" s="3"/>
      <c r="D272" s="3"/>
    </row>
    <row r="273" spans="1:4" ht="14.5">
      <c r="A273" s="2"/>
      <c r="B273" s="3"/>
      <c r="D273" s="3"/>
    </row>
    <row r="274" spans="1:4" ht="14.5">
      <c r="A274" s="2"/>
      <c r="B274" s="3"/>
      <c r="D274" s="3"/>
    </row>
    <row r="275" spans="1:4" ht="14.5">
      <c r="A275" s="2"/>
      <c r="B275" s="3"/>
      <c r="D275" s="3"/>
    </row>
    <row r="276" spans="1:4" ht="14.5">
      <c r="A276" s="2"/>
      <c r="B276" s="3"/>
      <c r="D276" s="3"/>
    </row>
    <row r="277" spans="1:4" ht="14.5">
      <c r="A277" s="2"/>
      <c r="B277" s="3"/>
      <c r="D277" s="3"/>
    </row>
    <row r="278" spans="1:4" ht="14.5">
      <c r="A278" s="2"/>
      <c r="B278" s="3"/>
      <c r="D278" s="3"/>
    </row>
    <row r="279" spans="1:4" ht="14.5">
      <c r="A279" s="2"/>
      <c r="B279" s="3"/>
      <c r="D279" s="3"/>
    </row>
    <row r="280" spans="1:4" ht="14.5">
      <c r="A280" s="2"/>
      <c r="B280" s="3"/>
      <c r="D280" s="3"/>
    </row>
    <row r="281" spans="1:4" ht="14.5">
      <c r="A281" s="2"/>
      <c r="B281" s="3"/>
      <c r="D281" s="3"/>
    </row>
    <row r="282" spans="1:4" ht="14.5">
      <c r="A282" s="2"/>
      <c r="B282" s="3"/>
      <c r="D282" s="3"/>
    </row>
    <row r="283" spans="1:4" ht="14.5">
      <c r="A283" s="2"/>
      <c r="B283" s="3"/>
      <c r="D283" s="3"/>
    </row>
    <row r="284" spans="1:4" ht="14.5">
      <c r="A284" s="2"/>
      <c r="B284" s="3"/>
      <c r="D284" s="3"/>
    </row>
    <row r="285" spans="1:4" ht="14.5">
      <c r="A285" s="2"/>
      <c r="B285" s="3"/>
      <c r="D285" s="3"/>
    </row>
    <row r="286" spans="1:4" ht="14.5">
      <c r="A286" s="2"/>
      <c r="B286" s="3"/>
      <c r="D286" s="3"/>
    </row>
    <row r="287" spans="1:4" ht="14.5">
      <c r="A287" s="2"/>
      <c r="B287" s="3"/>
      <c r="D287" s="3"/>
    </row>
    <row r="288" spans="1:4" ht="14.5">
      <c r="A288" s="2"/>
      <c r="B288" s="3"/>
      <c r="D288" s="3"/>
    </row>
    <row r="289" spans="1:4" ht="14.5">
      <c r="A289" s="2"/>
      <c r="B289" s="3"/>
      <c r="D289" s="3"/>
    </row>
    <row r="290" spans="1:4" ht="14.5">
      <c r="A290" s="2"/>
      <c r="B290" s="3"/>
      <c r="D290" s="3"/>
    </row>
    <row r="291" spans="1:4" ht="14.5">
      <c r="A291" s="2"/>
      <c r="B291" s="3"/>
      <c r="D291" s="3"/>
    </row>
    <row r="292" spans="1:4" ht="14.5">
      <c r="A292" s="2"/>
      <c r="B292" s="3"/>
      <c r="D292" s="3"/>
    </row>
    <row r="293" spans="1:4" ht="14.5">
      <c r="A293" s="2"/>
      <c r="B293" s="3"/>
      <c r="D293" s="3"/>
    </row>
    <row r="294" spans="1:4" ht="14.5">
      <c r="A294" s="2"/>
      <c r="B294" s="3"/>
      <c r="D294" s="3"/>
    </row>
    <row r="295" spans="1:4" ht="14.5">
      <c r="A295" s="2"/>
      <c r="B295" s="3"/>
      <c r="D295" s="3"/>
    </row>
    <row r="296" spans="1:4" ht="14.5">
      <c r="A296" s="2"/>
      <c r="B296" s="3"/>
      <c r="D296" s="3"/>
    </row>
    <row r="297" spans="1:4" ht="14.5">
      <c r="A297" s="2"/>
      <c r="B297" s="3"/>
      <c r="D297" s="3"/>
    </row>
    <row r="298" spans="1:4" ht="14.5">
      <c r="A298" s="2"/>
      <c r="B298" s="3"/>
      <c r="D298" s="3"/>
    </row>
    <row r="299" spans="1:4" ht="14.5">
      <c r="A299" s="2"/>
      <c r="B299" s="3"/>
      <c r="D299" s="3"/>
    </row>
    <row r="300" spans="1:4" ht="14.5">
      <c r="A300" s="2"/>
      <c r="B300" s="3"/>
      <c r="D300" s="3"/>
    </row>
    <row r="301" spans="1:4" ht="14.5">
      <c r="A301" s="2"/>
      <c r="B301" s="3"/>
      <c r="D301" s="3"/>
    </row>
    <row r="302" spans="1:4" ht="14.5">
      <c r="A302" s="2"/>
      <c r="B302" s="3"/>
      <c r="D302" s="3"/>
    </row>
    <row r="303" spans="1:4" ht="14.5">
      <c r="A303" s="2"/>
      <c r="B303" s="3"/>
      <c r="D303" s="3"/>
    </row>
    <row r="304" spans="1:4" ht="14.5">
      <c r="A304" s="2"/>
      <c r="B304" s="3"/>
      <c r="D304" s="3"/>
    </row>
    <row r="305" spans="1:4" ht="14.5">
      <c r="A305" s="2"/>
      <c r="B305" s="3"/>
      <c r="D305" s="3"/>
    </row>
    <row r="306" spans="1:4" ht="14.5">
      <c r="A306" s="2"/>
      <c r="B306" s="3"/>
      <c r="D306" s="3"/>
    </row>
    <row r="307" spans="1:4" ht="14.5">
      <c r="A307" s="2"/>
      <c r="B307" s="3"/>
      <c r="D307" s="3"/>
    </row>
    <row r="308" spans="1:4" ht="14.5">
      <c r="A308" s="2"/>
      <c r="B308" s="3"/>
      <c r="D308" s="3"/>
    </row>
    <row r="309" spans="1:4" ht="14.5">
      <c r="A309" s="2"/>
      <c r="B309" s="3"/>
      <c r="D309" s="3"/>
    </row>
    <row r="310" spans="1:4" ht="14.5">
      <c r="A310" s="2"/>
      <c r="B310" s="3"/>
      <c r="D310" s="3"/>
    </row>
    <row r="311" spans="1:4" ht="14.5">
      <c r="A311" s="2"/>
      <c r="B311" s="3"/>
      <c r="D311" s="3"/>
    </row>
    <row r="312" spans="1:4" ht="14.5">
      <c r="A312" s="2"/>
      <c r="B312" s="3"/>
      <c r="D312" s="3"/>
    </row>
    <row r="313" spans="1:4" ht="14.5">
      <c r="A313" s="2"/>
      <c r="B313" s="3"/>
      <c r="D313" s="3"/>
    </row>
    <row r="314" spans="1:4" ht="14.5">
      <c r="A314" s="2"/>
      <c r="B314" s="3"/>
      <c r="D314" s="3"/>
    </row>
    <row r="315" spans="1:4" ht="14.5">
      <c r="A315" s="2"/>
      <c r="B315" s="3"/>
      <c r="D315" s="3"/>
    </row>
    <row r="316" spans="1:4" ht="14.5">
      <c r="A316" s="2"/>
      <c r="B316" s="3"/>
      <c r="D316" s="3"/>
    </row>
    <row r="317" spans="1:4" ht="14.5">
      <c r="A317" s="2"/>
      <c r="B317" s="3"/>
      <c r="D317" s="3"/>
    </row>
    <row r="318" spans="1:4" ht="14.5">
      <c r="A318" s="2"/>
      <c r="B318" s="3"/>
      <c r="D318" s="3"/>
    </row>
    <row r="319" spans="1:4" ht="14.5">
      <c r="A319" s="2"/>
      <c r="B319" s="3"/>
      <c r="D319" s="3"/>
    </row>
    <row r="320" spans="1:4" ht="14.5">
      <c r="A320" s="2"/>
      <c r="B320" s="3"/>
      <c r="D320" s="3"/>
    </row>
    <row r="321" spans="1:4" ht="14.5">
      <c r="A321" s="2"/>
      <c r="B321" s="3"/>
      <c r="D321" s="3"/>
    </row>
    <row r="322" spans="1:4" ht="14.5">
      <c r="A322" s="2"/>
      <c r="B322" s="3"/>
      <c r="D322" s="3"/>
    </row>
    <row r="323" spans="1:4" ht="14.5">
      <c r="A323" s="2"/>
      <c r="B323" s="3"/>
      <c r="D323" s="3"/>
    </row>
    <row r="324" spans="1:4" ht="14.5">
      <c r="A324" s="2"/>
      <c r="B324" s="3"/>
      <c r="D324" s="3"/>
    </row>
    <row r="325" spans="1:4" ht="14.5">
      <c r="A325" s="2"/>
      <c r="B325" s="3"/>
      <c r="D325" s="3"/>
    </row>
    <row r="326" spans="1:4" ht="14.5">
      <c r="A326" s="2"/>
      <c r="B326" s="3"/>
      <c r="D326" s="3"/>
    </row>
    <row r="327" spans="1:4" ht="14.5">
      <c r="A327" s="2"/>
      <c r="B327" s="3"/>
      <c r="D327" s="3"/>
    </row>
    <row r="328" spans="1:4" ht="14.5">
      <c r="A328" s="2"/>
      <c r="B328" s="3"/>
      <c r="D328" s="3"/>
    </row>
    <row r="329" spans="1:4" ht="14.5">
      <c r="A329" s="2"/>
      <c r="B329" s="3"/>
      <c r="D329" s="3"/>
    </row>
    <row r="330" spans="1:4" ht="14.5">
      <c r="A330" s="2"/>
      <c r="B330" s="3"/>
      <c r="D330" s="3"/>
    </row>
    <row r="331" spans="1:4" ht="14.5">
      <c r="A331" s="2"/>
      <c r="B331" s="3"/>
      <c r="D331" s="3"/>
    </row>
    <row r="332" spans="1:4" ht="14.5">
      <c r="A332" s="2"/>
      <c r="B332" s="3"/>
      <c r="D332" s="3"/>
    </row>
    <row r="333" spans="1:4" ht="14.5">
      <c r="A333" s="2"/>
      <c r="B333" s="3"/>
      <c r="D333" s="3"/>
    </row>
    <row r="334" spans="1:4" ht="14.5">
      <c r="A334" s="2"/>
      <c r="B334" s="3"/>
      <c r="D334" s="3"/>
    </row>
    <row r="335" spans="1:4" ht="14.5">
      <c r="A335" s="2"/>
      <c r="B335" s="3"/>
      <c r="D335" s="3"/>
    </row>
    <row r="336" spans="1:4" ht="14.5">
      <c r="A336" s="2"/>
      <c r="B336" s="3"/>
      <c r="D336" s="3"/>
    </row>
    <row r="337" spans="1:4" ht="14.5">
      <c r="A337" s="2"/>
      <c r="B337" s="3"/>
      <c r="D337" s="3"/>
    </row>
    <row r="338" spans="1:4" ht="14.5">
      <c r="A338" s="2"/>
      <c r="B338" s="3"/>
      <c r="D338" s="3"/>
    </row>
    <row r="339" spans="1:4" ht="14.5">
      <c r="A339" s="2"/>
      <c r="B339" s="3"/>
      <c r="D339" s="3"/>
    </row>
    <row r="340" spans="1:4" ht="14.5">
      <c r="A340" s="2"/>
      <c r="B340" s="3"/>
      <c r="D340" s="3"/>
    </row>
    <row r="341" spans="1:4" ht="14.5">
      <c r="A341" s="2"/>
      <c r="B341" s="3"/>
      <c r="D341" s="3"/>
    </row>
    <row r="342" spans="1:4" ht="14.5">
      <c r="A342" s="2"/>
      <c r="B342" s="3"/>
      <c r="D342" s="3"/>
    </row>
    <row r="343" spans="1:4" ht="14.5">
      <c r="A343" s="2"/>
      <c r="B343" s="3"/>
      <c r="D343" s="3"/>
    </row>
    <row r="344" spans="1:4" ht="14.5">
      <c r="A344" s="2"/>
      <c r="B344" s="3"/>
      <c r="D344" s="3"/>
    </row>
    <row r="345" spans="1:4" ht="14.5">
      <c r="A345" s="2"/>
      <c r="B345" s="3"/>
      <c r="D345" s="3"/>
    </row>
    <row r="346" spans="1:4" ht="14.5">
      <c r="A346" s="2"/>
      <c r="B346" s="3"/>
      <c r="D346" s="3"/>
    </row>
    <row r="347" spans="1:4" ht="14.5">
      <c r="A347" s="2"/>
      <c r="B347" s="3"/>
      <c r="D347" s="3"/>
    </row>
    <row r="348" spans="1:4" ht="14.5">
      <c r="A348" s="2"/>
      <c r="B348" s="3"/>
      <c r="D348" s="3"/>
    </row>
    <row r="349" spans="1:4" ht="14.5">
      <c r="A349" s="2"/>
      <c r="B349" s="3"/>
      <c r="D349" s="3"/>
    </row>
    <row r="350" spans="1:4" ht="14.5">
      <c r="A350" s="2"/>
      <c r="B350" s="3"/>
      <c r="D350" s="3"/>
    </row>
    <row r="351" spans="1:4" ht="14.5">
      <c r="A351" s="2"/>
      <c r="B351" s="3"/>
      <c r="D351" s="3"/>
    </row>
    <row r="352" spans="1:4" ht="14.5">
      <c r="A352" s="2"/>
      <c r="B352" s="3"/>
      <c r="D352" s="3"/>
    </row>
    <row r="353" spans="1:4" ht="14.5">
      <c r="A353" s="2"/>
      <c r="B353" s="3"/>
      <c r="D353" s="3"/>
    </row>
    <row r="354" spans="1:4" ht="14.5">
      <c r="A354" s="2"/>
      <c r="B354" s="3"/>
      <c r="D354" s="3"/>
    </row>
    <row r="355" spans="1:4" ht="14.5">
      <c r="A355" s="2"/>
      <c r="B355" s="3"/>
      <c r="D355" s="3"/>
    </row>
    <row r="356" spans="1:4" ht="14.5">
      <c r="A356" s="2"/>
      <c r="B356" s="3"/>
      <c r="D356" s="3"/>
    </row>
    <row r="357" spans="1:4" ht="14.5">
      <c r="A357" s="2"/>
      <c r="B357" s="3"/>
      <c r="D357" s="3"/>
    </row>
    <row r="358" spans="1:4" ht="14.5">
      <c r="A358" s="2"/>
      <c r="B358" s="3"/>
      <c r="D358" s="3"/>
    </row>
    <row r="359" spans="1:4" ht="14.5">
      <c r="A359" s="2"/>
      <c r="B359" s="3"/>
      <c r="D359" s="3"/>
    </row>
    <row r="360" spans="1:4" ht="14.5">
      <c r="A360" s="2"/>
      <c r="B360" s="3"/>
      <c r="D360" s="3"/>
    </row>
    <row r="361" spans="1:4" ht="14.5">
      <c r="A361" s="2"/>
      <c r="B361" s="3"/>
      <c r="D361" s="3"/>
    </row>
    <row r="362" spans="1:4" ht="14.5">
      <c r="A362" s="2"/>
      <c r="B362" s="3"/>
      <c r="D362" s="3"/>
    </row>
    <row r="363" spans="1:4" ht="14.5">
      <c r="A363" s="2"/>
      <c r="B363" s="3"/>
      <c r="D363" s="3"/>
    </row>
    <row r="364" spans="1:4" ht="14.5">
      <c r="A364" s="2"/>
      <c r="B364" s="3"/>
      <c r="D364" s="3"/>
    </row>
    <row r="365" spans="1:4" ht="14.5">
      <c r="A365" s="2"/>
      <c r="B365" s="3"/>
      <c r="D365" s="3"/>
    </row>
    <row r="366" spans="1:4" ht="14.5">
      <c r="A366" s="2"/>
      <c r="B366" s="3"/>
      <c r="D366" s="3"/>
    </row>
    <row r="367" spans="1:4" ht="14.5">
      <c r="A367" s="2"/>
      <c r="B367" s="3"/>
      <c r="D367" s="3"/>
    </row>
    <row r="368" spans="1:4" ht="14.5">
      <c r="A368" s="2"/>
      <c r="B368" s="3"/>
      <c r="D368" s="3"/>
    </row>
    <row r="369" spans="1:4" ht="14.5">
      <c r="A369" s="2"/>
      <c r="B369" s="3"/>
      <c r="D369" s="3"/>
    </row>
    <row r="370" spans="1:4" ht="14.5">
      <c r="A370" s="2"/>
      <c r="B370" s="3"/>
      <c r="D370" s="3"/>
    </row>
    <row r="371" spans="1:4" ht="14.5">
      <c r="A371" s="2"/>
      <c r="B371" s="3"/>
      <c r="D371" s="3"/>
    </row>
    <row r="372" spans="1:4" ht="14.5">
      <c r="A372" s="2"/>
      <c r="B372" s="3"/>
      <c r="D372" s="3"/>
    </row>
    <row r="373" spans="1:4" ht="14.5">
      <c r="A373" s="2"/>
      <c r="B373" s="3"/>
      <c r="D373" s="3"/>
    </row>
    <row r="374" spans="1:4" ht="14.5">
      <c r="A374" s="2"/>
      <c r="B374" s="3"/>
      <c r="D374" s="3"/>
    </row>
    <row r="375" spans="1:4" ht="14.5">
      <c r="A375" s="2"/>
      <c r="B375" s="3"/>
      <c r="D375" s="3"/>
    </row>
    <row r="376" spans="1:4" ht="14.5">
      <c r="A376" s="2"/>
      <c r="B376" s="3"/>
      <c r="D376" s="3"/>
    </row>
    <row r="377" spans="1:4" ht="14.5">
      <c r="A377" s="2"/>
      <c r="B377" s="3"/>
      <c r="D377" s="3"/>
    </row>
    <row r="378" spans="1:4" ht="14.5">
      <c r="A378" s="2"/>
      <c r="B378" s="3"/>
      <c r="D378" s="3"/>
    </row>
    <row r="379" spans="1:4" ht="14.5">
      <c r="A379" s="2"/>
      <c r="B379" s="3"/>
      <c r="D379" s="3"/>
    </row>
    <row r="380" spans="1:4" ht="14.5">
      <c r="A380" s="2"/>
      <c r="B380" s="3"/>
      <c r="D380" s="3"/>
    </row>
    <row r="381" spans="1:4" ht="14.5">
      <c r="A381" s="2"/>
      <c r="B381" s="3"/>
      <c r="D381" s="3"/>
    </row>
    <row r="382" spans="1:4" ht="14.5">
      <c r="A382" s="2"/>
      <c r="B382" s="3"/>
      <c r="D382" s="3"/>
    </row>
    <row r="383" spans="1:4" ht="14.5">
      <c r="A383" s="2"/>
      <c r="B383" s="3"/>
      <c r="D383" s="3"/>
    </row>
    <row r="384" spans="1:4" ht="14.5">
      <c r="A384" s="2"/>
      <c r="B384" s="3"/>
      <c r="D384" s="3"/>
    </row>
    <row r="385" spans="1:4" ht="14.5">
      <c r="A385" s="2"/>
      <c r="B385" s="3"/>
      <c r="D385" s="3"/>
    </row>
    <row r="386" spans="1:4" ht="14.5">
      <c r="A386" s="2"/>
      <c r="B386" s="3"/>
      <c r="D386" s="3"/>
    </row>
    <row r="387" spans="1:4" ht="14.5">
      <c r="A387" s="2"/>
      <c r="B387" s="3"/>
      <c r="D387" s="3"/>
    </row>
    <row r="388" spans="1:4" ht="14.5">
      <c r="A388" s="2"/>
      <c r="B388" s="3"/>
      <c r="D388" s="3"/>
    </row>
    <row r="389" spans="1:4" ht="14.5">
      <c r="A389" s="2"/>
      <c r="B389" s="3"/>
      <c r="D389" s="3"/>
    </row>
    <row r="390" spans="1:4" ht="14.5">
      <c r="A390" s="2"/>
      <c r="B390" s="3"/>
      <c r="D390" s="3"/>
    </row>
    <row r="391" spans="1:4" ht="14.5">
      <c r="A391" s="2"/>
      <c r="B391" s="3"/>
      <c r="D391" s="3"/>
    </row>
    <row r="392" spans="1:4" ht="14.5">
      <c r="A392" s="2"/>
      <c r="B392" s="3"/>
      <c r="D392" s="3"/>
    </row>
    <row r="393" spans="1:4" ht="14.5">
      <c r="A393" s="2"/>
      <c r="B393" s="3"/>
      <c r="D393" s="3"/>
    </row>
    <row r="394" spans="1:4" ht="14.5">
      <c r="A394" s="2"/>
      <c r="B394" s="3"/>
      <c r="D394" s="3"/>
    </row>
    <row r="395" spans="1:4" ht="14.5">
      <c r="A395" s="2"/>
      <c r="B395" s="3"/>
      <c r="D395" s="3"/>
    </row>
    <row r="396" spans="1:4" ht="14.5">
      <c r="A396" s="2"/>
      <c r="B396" s="3"/>
      <c r="D396" s="3"/>
    </row>
    <row r="397" spans="1:4" ht="14.5">
      <c r="A397" s="2"/>
      <c r="B397" s="3"/>
      <c r="D397" s="3"/>
    </row>
    <row r="398" spans="1:4" ht="14.5">
      <c r="A398" s="2"/>
      <c r="B398" s="3"/>
      <c r="D398" s="3"/>
    </row>
    <row r="399" spans="1:4" ht="14.5">
      <c r="A399" s="2"/>
      <c r="B399" s="3"/>
      <c r="D399" s="3"/>
    </row>
    <row r="400" spans="1:4" ht="14.5">
      <c r="A400" s="2"/>
      <c r="B400" s="3"/>
      <c r="D400" s="3"/>
    </row>
    <row r="401" spans="1:4" ht="14.5">
      <c r="A401" s="2"/>
      <c r="B401" s="3"/>
      <c r="D401" s="3"/>
    </row>
    <row r="402" spans="1:4" ht="14.5">
      <c r="A402" s="2"/>
      <c r="B402" s="3"/>
      <c r="D402" s="3"/>
    </row>
    <row r="403" spans="1:4" ht="14.5">
      <c r="A403" s="2"/>
      <c r="B403" s="3"/>
      <c r="D403" s="3"/>
    </row>
    <row r="404" spans="1:4" ht="14.5">
      <c r="A404" s="2"/>
      <c r="B404" s="3"/>
      <c r="D404" s="3"/>
    </row>
    <row r="405" spans="1:4" ht="14.5">
      <c r="A405" s="2"/>
      <c r="B405" s="3"/>
      <c r="D405" s="3"/>
    </row>
    <row r="406" spans="1:4" ht="14.5">
      <c r="A406" s="2"/>
      <c r="B406" s="3"/>
      <c r="D406" s="3"/>
    </row>
    <row r="407" spans="1:4" ht="14.5">
      <c r="A407" s="2"/>
      <c r="B407" s="3"/>
      <c r="D407" s="3"/>
    </row>
    <row r="408" spans="1:4" ht="14.5">
      <c r="A408" s="2"/>
      <c r="B408" s="3"/>
      <c r="D408" s="3"/>
    </row>
    <row r="409" spans="1:4" ht="14.5">
      <c r="A409" s="2"/>
      <c r="B409" s="3"/>
      <c r="D409" s="3"/>
    </row>
    <row r="410" spans="1:4" ht="14.5">
      <c r="A410" s="2"/>
      <c r="B410" s="3"/>
      <c r="D410" s="3"/>
    </row>
    <row r="411" spans="1:4" ht="14.5">
      <c r="A411" s="2"/>
      <c r="B411" s="3"/>
      <c r="D411" s="3"/>
    </row>
    <row r="412" spans="1:4" ht="14.5">
      <c r="A412" s="2"/>
      <c r="B412" s="3"/>
      <c r="D412" s="3"/>
    </row>
    <row r="413" spans="1:4" ht="14.5">
      <c r="A413" s="2"/>
      <c r="B413" s="3"/>
      <c r="D413" s="3"/>
    </row>
    <row r="414" spans="1:4" ht="14.5">
      <c r="A414" s="2"/>
      <c r="B414" s="3"/>
      <c r="D414" s="3"/>
    </row>
    <row r="415" spans="1:4" ht="14.5">
      <c r="A415" s="2"/>
      <c r="B415" s="3"/>
      <c r="D415" s="3"/>
    </row>
    <row r="416" spans="1:4" ht="14.5">
      <c r="A416" s="2"/>
      <c r="B416" s="3"/>
      <c r="D416" s="3"/>
    </row>
    <row r="417" spans="1:4" ht="14.5">
      <c r="A417" s="2"/>
      <c r="B417" s="3"/>
      <c r="D417" s="3"/>
    </row>
    <row r="418" spans="1:4" ht="14.5">
      <c r="A418" s="2"/>
      <c r="B418" s="3"/>
      <c r="D418" s="3"/>
    </row>
    <row r="419" spans="1:4" ht="14.5">
      <c r="A419" s="2"/>
      <c r="B419" s="3"/>
      <c r="D419" s="3"/>
    </row>
    <row r="420" spans="1:4" ht="14.5">
      <c r="A420" s="2"/>
      <c r="B420" s="3"/>
      <c r="D420" s="3"/>
    </row>
    <row r="421" spans="1:4" ht="14.5">
      <c r="A421" s="2"/>
      <c r="B421" s="3"/>
      <c r="D421" s="3"/>
    </row>
    <row r="422" spans="1:4" ht="14.5">
      <c r="A422" s="2"/>
      <c r="B422" s="3"/>
      <c r="D422" s="3"/>
    </row>
    <row r="423" spans="1:4" ht="14.5">
      <c r="A423" s="2"/>
      <c r="B423" s="3"/>
      <c r="D423" s="3"/>
    </row>
    <row r="424" spans="1:4" ht="14.5">
      <c r="A424" s="2"/>
      <c r="B424" s="3"/>
      <c r="D424" s="3"/>
    </row>
    <row r="425" spans="1:4" ht="14.5">
      <c r="A425" s="2"/>
      <c r="B425" s="3"/>
      <c r="D425" s="3"/>
    </row>
    <row r="426" spans="1:4" ht="14.5">
      <c r="A426" s="2"/>
      <c r="B426" s="3"/>
      <c r="D426" s="3"/>
    </row>
    <row r="427" spans="1:4" ht="14.5">
      <c r="A427" s="2"/>
      <c r="B427" s="3"/>
      <c r="D427" s="3"/>
    </row>
    <row r="428" spans="1:4" ht="14.5">
      <c r="A428" s="2"/>
      <c r="B428" s="3"/>
      <c r="D428" s="3"/>
    </row>
    <row r="429" spans="1:4" ht="14.5">
      <c r="A429" s="2"/>
      <c r="B429" s="3"/>
      <c r="D429" s="3"/>
    </row>
    <row r="430" spans="1:4" ht="14.5">
      <c r="A430" s="2"/>
      <c r="B430" s="3"/>
      <c r="D430" s="3"/>
    </row>
    <row r="431" spans="1:4" ht="14.5">
      <c r="A431" s="2"/>
      <c r="B431" s="3"/>
      <c r="D431" s="3"/>
    </row>
    <row r="432" spans="1:4" ht="14.5">
      <c r="A432" s="2"/>
      <c r="B432" s="3"/>
      <c r="D432" s="3"/>
    </row>
    <row r="433" spans="1:4" ht="14.5">
      <c r="A433" s="2"/>
      <c r="B433" s="3"/>
      <c r="D433" s="3"/>
    </row>
    <row r="434" spans="1:4" ht="14.5">
      <c r="A434" s="2"/>
      <c r="B434" s="3"/>
      <c r="D434" s="3"/>
    </row>
    <row r="435" spans="1:4" ht="14.5">
      <c r="A435" s="2"/>
      <c r="B435" s="3"/>
      <c r="D435" s="3"/>
    </row>
    <row r="436" spans="1:4" ht="14.5">
      <c r="A436" s="2"/>
      <c r="B436" s="3"/>
      <c r="D436" s="3"/>
    </row>
    <row r="437" spans="1:4" ht="14.5">
      <c r="A437" s="2"/>
      <c r="B437" s="3"/>
      <c r="D437" s="3"/>
    </row>
    <row r="438" spans="1:4" ht="14.5">
      <c r="A438" s="2"/>
      <c r="B438" s="3"/>
      <c r="D438" s="3"/>
    </row>
    <row r="439" spans="1:4" ht="14.5">
      <c r="A439" s="2"/>
      <c r="B439" s="3"/>
      <c r="D439" s="3"/>
    </row>
    <row r="440" spans="1:4" ht="14.5">
      <c r="A440" s="2"/>
      <c r="B440" s="3"/>
      <c r="D440" s="3"/>
    </row>
    <row r="441" spans="1:4" ht="14.5">
      <c r="A441" s="2"/>
      <c r="B441" s="3"/>
      <c r="D441" s="3"/>
    </row>
    <row r="442" spans="1:4" ht="14.5">
      <c r="A442" s="2"/>
      <c r="B442" s="3"/>
      <c r="D442" s="3"/>
    </row>
    <row r="443" spans="1:4" ht="14.5">
      <c r="A443" s="2"/>
      <c r="B443" s="3"/>
      <c r="D443" s="3"/>
    </row>
    <row r="444" spans="1:4" ht="14.5">
      <c r="A444" s="2"/>
      <c r="B444" s="3"/>
      <c r="D444" s="3"/>
    </row>
    <row r="445" spans="1:4" ht="14.5">
      <c r="A445" s="2"/>
      <c r="B445" s="3"/>
      <c r="D445" s="3"/>
    </row>
    <row r="446" spans="1:4" ht="14.5">
      <c r="A446" s="2"/>
      <c r="B446" s="3"/>
      <c r="D446" s="3"/>
    </row>
    <row r="447" spans="1:4" ht="14.5">
      <c r="A447" s="2"/>
      <c r="B447" s="3"/>
      <c r="D447" s="3"/>
    </row>
    <row r="448" spans="1:4" ht="14.5">
      <c r="A448" s="2"/>
      <c r="B448" s="3"/>
      <c r="D448" s="3"/>
    </row>
    <row r="449" spans="1:4" ht="14.5">
      <c r="A449" s="2"/>
      <c r="B449" s="3"/>
      <c r="D449" s="3"/>
    </row>
    <row r="450" spans="1:4" ht="14.5">
      <c r="A450" s="2"/>
      <c r="B450" s="3"/>
      <c r="D450" s="3"/>
    </row>
    <row r="451" spans="1:4" ht="14.5">
      <c r="A451" s="2"/>
      <c r="B451" s="3"/>
      <c r="D451" s="3"/>
    </row>
    <row r="452" spans="1:4" ht="14.5">
      <c r="A452" s="2"/>
      <c r="B452" s="3"/>
      <c r="D452" s="3"/>
    </row>
    <row r="453" spans="1:4" ht="14.5">
      <c r="A453" s="2"/>
      <c r="B453" s="3"/>
      <c r="D453" s="3"/>
    </row>
    <row r="454" spans="1:4" ht="14.5">
      <c r="A454" s="2"/>
      <c r="B454" s="3"/>
      <c r="D454" s="3"/>
    </row>
    <row r="455" spans="1:4" ht="14.5">
      <c r="A455" s="2"/>
      <c r="B455" s="3"/>
      <c r="D455" s="3"/>
    </row>
    <row r="456" spans="1:4" ht="14.5">
      <c r="A456" s="2"/>
      <c r="B456" s="3"/>
      <c r="D456" s="3"/>
    </row>
    <row r="457" spans="1:4" ht="14.5">
      <c r="A457" s="2"/>
      <c r="B457" s="3"/>
      <c r="D457" s="3"/>
    </row>
    <row r="458" spans="1:4" ht="14.5">
      <c r="A458" s="2"/>
      <c r="B458" s="3"/>
      <c r="D458" s="3"/>
    </row>
    <row r="459" spans="1:4" ht="14.5">
      <c r="A459" s="2"/>
      <c r="B459" s="3"/>
      <c r="D459" s="3"/>
    </row>
    <row r="460" spans="1:4" ht="14.5">
      <c r="A460" s="2"/>
      <c r="B460" s="3"/>
      <c r="D460" s="3"/>
    </row>
    <row r="461" spans="1:4" ht="14.5">
      <c r="A461" s="2"/>
      <c r="B461" s="3"/>
      <c r="D461" s="3"/>
    </row>
    <row r="462" spans="1:4" ht="14.5">
      <c r="A462" s="2"/>
      <c r="B462" s="3"/>
      <c r="D462" s="3"/>
    </row>
    <row r="463" spans="1:4" ht="14.5">
      <c r="A463" s="2"/>
      <c r="B463" s="3"/>
      <c r="D463" s="3"/>
    </row>
    <row r="464" spans="1:4" ht="14.5">
      <c r="A464" s="2"/>
      <c r="B464" s="3"/>
      <c r="D464" s="3"/>
    </row>
    <row r="465" spans="1:4" ht="14.5">
      <c r="A465" s="2"/>
      <c r="B465" s="3"/>
      <c r="D465" s="3"/>
    </row>
    <row r="466" spans="1:4" ht="14.5">
      <c r="A466" s="2"/>
      <c r="B466" s="3"/>
      <c r="D466" s="3"/>
    </row>
    <row r="467" spans="1:4" ht="14.5">
      <c r="A467" s="2"/>
      <c r="B467" s="3"/>
      <c r="D467" s="3"/>
    </row>
    <row r="468" spans="1:4" ht="14.5">
      <c r="A468" s="2"/>
      <c r="B468" s="3"/>
      <c r="D468" s="3"/>
    </row>
    <row r="469" spans="1:4" ht="14.5">
      <c r="A469" s="2"/>
      <c r="B469" s="3"/>
      <c r="D469" s="3"/>
    </row>
    <row r="470" spans="1:4" ht="14.5">
      <c r="A470" s="2"/>
      <c r="B470" s="3"/>
      <c r="D470" s="3"/>
    </row>
    <row r="471" spans="1:4" ht="14.5">
      <c r="A471" s="2"/>
      <c r="B471" s="3"/>
      <c r="D471" s="3"/>
    </row>
    <row r="472" spans="1:4" ht="14.5">
      <c r="A472" s="2"/>
      <c r="B472" s="3"/>
      <c r="D472" s="3"/>
    </row>
    <row r="473" spans="1:4" ht="14.5">
      <c r="A473" s="2"/>
      <c r="B473" s="3"/>
      <c r="D473" s="3"/>
    </row>
    <row r="474" spans="1:4" ht="14.5">
      <c r="A474" s="2"/>
      <c r="B474" s="3"/>
      <c r="D474" s="3"/>
    </row>
    <row r="475" spans="1:4" ht="14.5">
      <c r="A475" s="2"/>
      <c r="B475" s="3"/>
      <c r="D475" s="3"/>
    </row>
    <row r="476" spans="1:4" ht="14.5">
      <c r="A476" s="2"/>
      <c r="B476" s="3"/>
      <c r="D476" s="3"/>
    </row>
    <row r="477" spans="1:4" ht="14.5">
      <c r="A477" s="2"/>
      <c r="B477" s="3"/>
      <c r="D477" s="3"/>
    </row>
    <row r="478" spans="1:4" ht="14.5">
      <c r="A478" s="2"/>
      <c r="B478" s="3"/>
      <c r="D478" s="3"/>
    </row>
    <row r="479" spans="1:4" ht="14.5">
      <c r="A479" s="2"/>
      <c r="B479" s="3"/>
      <c r="D479" s="3"/>
    </row>
    <row r="480" spans="1:4" ht="14.5">
      <c r="A480" s="2"/>
      <c r="B480" s="3"/>
      <c r="D480" s="3"/>
    </row>
    <row r="481" spans="1:4" ht="14.5">
      <c r="A481" s="2"/>
      <c r="B481" s="3"/>
      <c r="D481" s="3"/>
    </row>
    <row r="482" spans="1:4" ht="14.5">
      <c r="A482" s="2"/>
      <c r="B482" s="3"/>
      <c r="D482" s="3"/>
    </row>
    <row r="483" spans="1:4" ht="14.5">
      <c r="A483" s="2"/>
      <c r="B483" s="3"/>
      <c r="D483" s="3"/>
    </row>
    <row r="484" spans="1:4" ht="14.5">
      <c r="A484" s="2"/>
      <c r="B484" s="3"/>
      <c r="D484" s="3"/>
    </row>
    <row r="485" spans="1:4" ht="14.5">
      <c r="A485" s="2"/>
      <c r="B485" s="3"/>
      <c r="D485" s="3"/>
    </row>
    <row r="486" spans="1:4" ht="14.5">
      <c r="A486" s="2"/>
      <c r="B486" s="3"/>
      <c r="D486" s="3"/>
    </row>
    <row r="487" spans="1:4" ht="14.5">
      <c r="A487" s="2"/>
      <c r="B487" s="3"/>
      <c r="D487" s="3"/>
    </row>
    <row r="488" spans="1:4" ht="14.5">
      <c r="A488" s="2"/>
      <c r="B488" s="3"/>
      <c r="D488" s="3"/>
    </row>
    <row r="489" spans="1:4" ht="14.5">
      <c r="A489" s="2"/>
      <c r="B489" s="3"/>
      <c r="D489" s="3"/>
    </row>
    <row r="490" spans="1:4" ht="14.5">
      <c r="A490" s="2"/>
      <c r="B490" s="3"/>
      <c r="D490" s="3"/>
    </row>
    <row r="491" spans="1:4" ht="14.5">
      <c r="A491" s="2"/>
      <c r="B491" s="3"/>
      <c r="D491" s="3"/>
    </row>
    <row r="492" spans="1:4" ht="14.5">
      <c r="A492" s="2"/>
      <c r="B492" s="3"/>
      <c r="D492" s="3"/>
    </row>
    <row r="493" spans="1:4" ht="14.5">
      <c r="A493" s="2"/>
      <c r="B493" s="3"/>
      <c r="D493" s="3"/>
    </row>
    <row r="494" spans="1:4" ht="14.5">
      <c r="A494" s="2"/>
      <c r="B494" s="3"/>
      <c r="D494" s="3"/>
    </row>
    <row r="495" spans="1:4" ht="14.5">
      <c r="A495" s="2"/>
      <c r="B495" s="3"/>
      <c r="D495" s="3"/>
    </row>
    <row r="496" spans="1:4" ht="14.5">
      <c r="A496" s="2"/>
      <c r="B496" s="3"/>
      <c r="D496" s="3"/>
    </row>
    <row r="497" spans="1:4" ht="14.5">
      <c r="A497" s="2"/>
      <c r="B497" s="3"/>
      <c r="D497" s="3"/>
    </row>
    <row r="498" spans="1:4" ht="14.5">
      <c r="A498" s="2"/>
      <c r="B498" s="3"/>
      <c r="D498" s="3"/>
    </row>
    <row r="499" spans="1:4" ht="14.5">
      <c r="A499" s="2"/>
      <c r="B499" s="3"/>
      <c r="D499" s="3"/>
    </row>
    <row r="500" spans="1:4" ht="14.5">
      <c r="A500" s="2"/>
      <c r="B500" s="3"/>
      <c r="D500" s="3"/>
    </row>
    <row r="501" spans="1:4" ht="14.5">
      <c r="A501" s="2"/>
      <c r="B501" s="3"/>
      <c r="D501" s="3"/>
    </row>
    <row r="502" spans="1:4" ht="14.5">
      <c r="A502" s="2"/>
      <c r="B502" s="3"/>
      <c r="D502" s="3"/>
    </row>
    <row r="503" spans="1:4" ht="14.5">
      <c r="A503" s="2"/>
      <c r="B503" s="3"/>
      <c r="D503" s="3"/>
    </row>
    <row r="504" spans="1:4" ht="14.5">
      <c r="A504" s="2"/>
      <c r="B504" s="3"/>
      <c r="D504" s="3"/>
    </row>
    <row r="505" spans="1:4" ht="14.5">
      <c r="A505" s="2"/>
      <c r="B505" s="3"/>
      <c r="D505" s="3"/>
    </row>
    <row r="506" spans="1:4" ht="14.5">
      <c r="A506" s="2"/>
      <c r="B506" s="3"/>
      <c r="D506" s="3"/>
    </row>
    <row r="507" spans="1:4" ht="14.5">
      <c r="A507" s="2"/>
      <c r="B507" s="3"/>
      <c r="D507" s="3"/>
    </row>
    <row r="508" spans="1:4" ht="14.5">
      <c r="A508" s="2"/>
      <c r="B508" s="3"/>
      <c r="D508" s="3"/>
    </row>
    <row r="509" spans="1:4" ht="14.5">
      <c r="A509" s="2"/>
      <c r="B509" s="3"/>
      <c r="D509" s="3"/>
    </row>
    <row r="510" spans="1:4" ht="14.5">
      <c r="A510" s="2"/>
      <c r="B510" s="3"/>
      <c r="D510" s="3"/>
    </row>
    <row r="511" spans="1:4" ht="14.5">
      <c r="A511" s="2"/>
      <c r="B511" s="3"/>
      <c r="D511" s="3"/>
    </row>
    <row r="512" spans="1:4" ht="14.5">
      <c r="A512" s="2"/>
      <c r="B512" s="3"/>
      <c r="D512" s="3"/>
    </row>
    <row r="513" spans="1:4" ht="14.5">
      <c r="A513" s="2"/>
      <c r="B513" s="3"/>
      <c r="D513" s="3"/>
    </row>
    <row r="514" spans="1:4" ht="14.5">
      <c r="A514" s="2"/>
      <c r="B514" s="3"/>
      <c r="D514" s="3"/>
    </row>
    <row r="515" spans="1:4" ht="14.5">
      <c r="A515" s="2"/>
      <c r="B515" s="3"/>
      <c r="D515" s="3"/>
    </row>
    <row r="516" spans="1:4" ht="14.5">
      <c r="A516" s="2"/>
      <c r="B516" s="3"/>
      <c r="D516" s="3"/>
    </row>
    <row r="517" spans="1:4" ht="14.5">
      <c r="A517" s="2"/>
      <c r="B517" s="3"/>
      <c r="D517" s="3"/>
    </row>
    <row r="518" spans="1:4" ht="14.5">
      <c r="A518" s="2"/>
      <c r="B518" s="3"/>
      <c r="D518" s="3"/>
    </row>
    <row r="519" spans="1:4" ht="14.5">
      <c r="A519" s="2"/>
      <c r="B519" s="3"/>
      <c r="D519" s="3"/>
    </row>
    <row r="520" spans="1:4" ht="14.5">
      <c r="A520" s="2"/>
      <c r="B520" s="3"/>
      <c r="D520" s="3"/>
    </row>
    <row r="521" spans="1:4" ht="14.5">
      <c r="A521" s="2"/>
      <c r="B521" s="3"/>
      <c r="D521" s="3"/>
    </row>
    <row r="522" spans="1:4" ht="14.5">
      <c r="A522" s="2"/>
      <c r="B522" s="3"/>
      <c r="D522" s="3"/>
    </row>
    <row r="523" spans="1:4" ht="14.5">
      <c r="A523" s="2"/>
      <c r="B523" s="3"/>
      <c r="D523" s="3"/>
    </row>
    <row r="524" spans="1:4" ht="14.5">
      <c r="A524" s="2"/>
      <c r="B524" s="3"/>
      <c r="D524" s="3"/>
    </row>
    <row r="525" spans="1:4" ht="14.5">
      <c r="A525" s="2"/>
      <c r="B525" s="3"/>
      <c r="D525" s="3"/>
    </row>
    <row r="526" spans="1:4" ht="14.5">
      <c r="A526" s="2"/>
      <c r="B526" s="3"/>
      <c r="D526" s="3"/>
    </row>
    <row r="527" spans="1:4" ht="14.5">
      <c r="A527" s="2"/>
      <c r="B527" s="3"/>
      <c r="D527" s="3"/>
    </row>
    <row r="528" spans="1:4" ht="14.5">
      <c r="A528" s="2"/>
      <c r="B528" s="3"/>
      <c r="D528" s="3"/>
    </row>
    <row r="529" spans="1:4" ht="14.5">
      <c r="A529" s="2"/>
      <c r="B529" s="3"/>
      <c r="D529" s="3"/>
    </row>
    <row r="530" spans="1:4" ht="14.5">
      <c r="A530" s="2"/>
      <c r="B530" s="3"/>
      <c r="D530" s="3"/>
    </row>
    <row r="531" spans="1:4" ht="14.5">
      <c r="A531" s="2"/>
      <c r="B531" s="3"/>
      <c r="D531" s="3"/>
    </row>
    <row r="532" spans="1:4" ht="14.5">
      <c r="A532" s="2"/>
      <c r="B532" s="3"/>
      <c r="D532" s="3"/>
    </row>
    <row r="533" spans="1:4" ht="14.5">
      <c r="A533" s="2"/>
      <c r="B533" s="3"/>
      <c r="D533" s="3"/>
    </row>
    <row r="534" spans="1:4" ht="14.5">
      <c r="A534" s="2"/>
      <c r="B534" s="3"/>
      <c r="D534" s="3"/>
    </row>
    <row r="535" spans="1:4" ht="14.5">
      <c r="A535" s="2"/>
      <c r="B535" s="3"/>
      <c r="D535" s="3"/>
    </row>
    <row r="536" spans="1:4" ht="14.5">
      <c r="A536" s="2"/>
      <c r="B536" s="3"/>
      <c r="D536" s="3"/>
    </row>
    <row r="537" spans="1:4" ht="14.5">
      <c r="A537" s="2"/>
      <c r="B537" s="3"/>
      <c r="D537" s="3"/>
    </row>
    <row r="538" spans="1:4" ht="14.5">
      <c r="A538" s="2"/>
      <c r="B538" s="3"/>
      <c r="D538" s="3"/>
    </row>
    <row r="539" spans="1:4" ht="14.5">
      <c r="A539" s="2"/>
      <c r="B539" s="3"/>
      <c r="D539" s="3"/>
    </row>
    <row r="540" spans="1:4" ht="14.5">
      <c r="A540" s="2"/>
      <c r="B540" s="3"/>
      <c r="D540" s="3"/>
    </row>
    <row r="541" spans="1:4" ht="14.5">
      <c r="A541" s="2"/>
      <c r="B541" s="3"/>
      <c r="D541" s="3"/>
    </row>
    <row r="542" spans="1:4" ht="14.5">
      <c r="A542" s="2"/>
      <c r="B542" s="3"/>
      <c r="D542" s="3"/>
    </row>
    <row r="543" spans="1:4" ht="14.5">
      <c r="A543" s="2"/>
      <c r="B543" s="3"/>
      <c r="D543" s="3"/>
    </row>
    <row r="544" spans="1:4" ht="14.5">
      <c r="A544" s="2"/>
      <c r="B544" s="3"/>
      <c r="D544" s="3"/>
    </row>
    <row r="545" spans="1:4" ht="14.5">
      <c r="A545" s="2"/>
      <c r="B545" s="3"/>
      <c r="D545" s="3"/>
    </row>
    <row r="546" spans="1:4" ht="14.5">
      <c r="A546" s="2"/>
      <c r="B546" s="3"/>
      <c r="D546" s="3"/>
    </row>
    <row r="547" spans="1:4" ht="14.5">
      <c r="A547" s="2"/>
      <c r="B547" s="3"/>
      <c r="D547" s="3"/>
    </row>
    <row r="548" spans="1:4" ht="14.5">
      <c r="A548" s="2"/>
      <c r="B548" s="3"/>
      <c r="D548" s="3"/>
    </row>
    <row r="549" spans="1:4" ht="14.5">
      <c r="A549" s="2"/>
      <c r="B549" s="3"/>
      <c r="D549" s="3"/>
    </row>
    <row r="550" spans="1:4" ht="14.5">
      <c r="A550" s="2"/>
      <c r="B550" s="3"/>
      <c r="D550" s="3"/>
    </row>
    <row r="551" spans="1:4" ht="14.5">
      <c r="A551" s="2"/>
      <c r="B551" s="3"/>
      <c r="D551" s="3"/>
    </row>
    <row r="552" spans="1:4" ht="14.5">
      <c r="A552" s="2"/>
      <c r="B552" s="3"/>
      <c r="D552" s="3"/>
    </row>
    <row r="553" spans="1:4" ht="14.5">
      <c r="A553" s="2"/>
      <c r="B553" s="3"/>
      <c r="D553" s="3"/>
    </row>
    <row r="554" spans="1:4" ht="14.5">
      <c r="A554" s="2"/>
      <c r="B554" s="3"/>
      <c r="D554" s="3"/>
    </row>
    <row r="555" spans="1:4" ht="14.5">
      <c r="A555" s="2"/>
      <c r="B555" s="3"/>
      <c r="D555" s="3"/>
    </row>
    <row r="556" spans="1:4" ht="14.5">
      <c r="A556" s="2"/>
      <c r="B556" s="3"/>
      <c r="D556" s="3"/>
    </row>
    <row r="557" spans="1:4" ht="14.5">
      <c r="A557" s="2"/>
      <c r="B557" s="3"/>
      <c r="D557" s="3"/>
    </row>
    <row r="558" spans="1:4" ht="14.5">
      <c r="A558" s="2"/>
      <c r="B558" s="3"/>
      <c r="D558" s="3"/>
    </row>
    <row r="559" spans="1:4" ht="14.5">
      <c r="A559" s="2"/>
      <c r="B559" s="3"/>
      <c r="D559" s="3"/>
    </row>
    <row r="560" spans="1:4" ht="14.5">
      <c r="A560" s="2"/>
      <c r="B560" s="3"/>
      <c r="D560" s="3"/>
    </row>
    <row r="561" spans="1:4" ht="14.5">
      <c r="A561" s="2"/>
      <c r="B561" s="3"/>
      <c r="D561" s="3"/>
    </row>
    <row r="562" spans="1:4" ht="14.5">
      <c r="A562" s="2"/>
      <c r="B562" s="3"/>
      <c r="D562" s="3"/>
    </row>
    <row r="563" spans="1:4" ht="14.5">
      <c r="A563" s="2"/>
      <c r="B563" s="3"/>
      <c r="D563" s="3"/>
    </row>
    <row r="564" spans="1:4" ht="14.5">
      <c r="A564" s="2"/>
      <c r="B564" s="3"/>
      <c r="D564" s="3"/>
    </row>
    <row r="565" spans="1:4" ht="14.5">
      <c r="A565" s="2"/>
      <c r="B565" s="3"/>
      <c r="D565" s="3"/>
    </row>
    <row r="566" spans="1:4" ht="14.5">
      <c r="A566" s="2"/>
      <c r="B566" s="3"/>
      <c r="D566" s="3"/>
    </row>
    <row r="567" spans="1:4" ht="14.5">
      <c r="A567" s="2"/>
      <c r="B567" s="3"/>
      <c r="D567" s="3"/>
    </row>
    <row r="568" spans="1:4" ht="14.5">
      <c r="A568" s="2"/>
      <c r="B568" s="3"/>
      <c r="D568" s="3"/>
    </row>
    <row r="569" spans="1:4" ht="14.5">
      <c r="A569" s="2"/>
      <c r="B569" s="3"/>
      <c r="D569" s="3"/>
    </row>
    <row r="570" spans="1:4" ht="14.5">
      <c r="A570" s="2"/>
      <c r="B570" s="3"/>
      <c r="D570" s="3"/>
    </row>
    <row r="571" spans="1:4" ht="14.5">
      <c r="A571" s="2"/>
      <c r="B571" s="3"/>
      <c r="D571" s="3"/>
    </row>
    <row r="572" spans="1:4" ht="14.5">
      <c r="A572" s="2"/>
      <c r="B572" s="3"/>
      <c r="D572" s="3"/>
    </row>
    <row r="573" spans="1:4" ht="14.5">
      <c r="A573" s="2"/>
      <c r="B573" s="3"/>
      <c r="D573" s="3"/>
    </row>
    <row r="574" spans="1:4" ht="14.5">
      <c r="A574" s="2"/>
      <c r="B574" s="3"/>
      <c r="D574" s="3"/>
    </row>
    <row r="575" spans="1:4" ht="14.5">
      <c r="A575" s="2"/>
      <c r="B575" s="3"/>
      <c r="D575" s="3"/>
    </row>
    <row r="576" spans="1:4" ht="14.5">
      <c r="A576" s="2"/>
      <c r="B576" s="3"/>
      <c r="D576" s="3"/>
    </row>
    <row r="577" spans="1:4" ht="14.5">
      <c r="A577" s="2"/>
      <c r="B577" s="3"/>
      <c r="D577" s="3"/>
    </row>
    <row r="578" spans="1:4" ht="14.5">
      <c r="A578" s="2"/>
      <c r="B578" s="3"/>
      <c r="D578" s="3"/>
    </row>
    <row r="579" spans="1:4" ht="14.5">
      <c r="A579" s="2"/>
      <c r="B579" s="3"/>
      <c r="D579" s="3"/>
    </row>
    <row r="580" spans="1:4" ht="14.5">
      <c r="A580" s="2"/>
      <c r="B580" s="3"/>
      <c r="D580" s="3"/>
    </row>
    <row r="581" spans="1:4" ht="14.5">
      <c r="A581" s="2"/>
      <c r="B581" s="3"/>
      <c r="D581" s="3"/>
    </row>
    <row r="582" spans="1:4" ht="14.5">
      <c r="A582" s="2"/>
      <c r="B582" s="3"/>
      <c r="D582" s="3"/>
    </row>
    <row r="583" spans="1:4" ht="14.5">
      <c r="A583" s="2"/>
      <c r="B583" s="3"/>
      <c r="D583" s="3"/>
    </row>
    <row r="584" spans="1:4" ht="14.5">
      <c r="A584" s="2"/>
      <c r="B584" s="3"/>
      <c r="D584" s="3"/>
    </row>
    <row r="585" spans="1:4" ht="14.5">
      <c r="A585" s="2"/>
      <c r="B585" s="3"/>
      <c r="D585" s="3"/>
    </row>
    <row r="586" spans="1:4" ht="14.5">
      <c r="A586" s="2"/>
      <c r="B586" s="3"/>
      <c r="D586" s="3"/>
    </row>
    <row r="587" spans="1:4" ht="14.5">
      <c r="A587" s="2"/>
      <c r="B587" s="3"/>
      <c r="D587" s="3"/>
    </row>
    <row r="588" spans="1:4" ht="14.5">
      <c r="A588" s="2"/>
      <c r="B588" s="3"/>
      <c r="D588" s="3"/>
    </row>
    <row r="589" spans="1:4" ht="14.5">
      <c r="A589" s="2"/>
      <c r="B589" s="3"/>
      <c r="D589" s="3"/>
    </row>
    <row r="590" spans="1:4" ht="14.5">
      <c r="A590" s="2"/>
      <c r="B590" s="3"/>
      <c r="D590" s="3"/>
    </row>
    <row r="591" spans="1:4" ht="14.5">
      <c r="A591" s="2"/>
      <c r="B591" s="3"/>
      <c r="D591" s="3"/>
    </row>
    <row r="592" spans="1:4" ht="14.5">
      <c r="A592" s="2"/>
      <c r="B592" s="3"/>
      <c r="D592" s="3"/>
    </row>
    <row r="593" spans="1:4" ht="14.5">
      <c r="A593" s="2"/>
      <c r="B593" s="3"/>
      <c r="D593" s="3"/>
    </row>
    <row r="594" spans="1:4" ht="14.5">
      <c r="A594" s="2"/>
      <c r="B594" s="3"/>
      <c r="D594" s="3"/>
    </row>
    <row r="595" spans="1:4" ht="14.5">
      <c r="A595" s="2"/>
      <c r="B595" s="3"/>
      <c r="D595" s="3"/>
    </row>
    <row r="596" spans="1:4" ht="14.5">
      <c r="A596" s="2"/>
      <c r="B596" s="3"/>
      <c r="D596" s="3"/>
    </row>
    <row r="597" spans="1:4" ht="14.5">
      <c r="A597" s="2"/>
      <c r="B597" s="3"/>
      <c r="D597" s="3"/>
    </row>
    <row r="598" spans="1:4" ht="14.5">
      <c r="A598" s="2"/>
      <c r="B598" s="3"/>
      <c r="D598" s="3"/>
    </row>
    <row r="599" spans="1:4" ht="14.5">
      <c r="A599" s="2"/>
      <c r="B599" s="3"/>
      <c r="D599" s="3"/>
    </row>
    <row r="600" spans="1:4" ht="14.5">
      <c r="A600" s="2"/>
      <c r="B600" s="3"/>
      <c r="D600" s="3"/>
    </row>
    <row r="601" spans="1:4" ht="14.5">
      <c r="A601" s="2"/>
      <c r="B601" s="3"/>
      <c r="D601" s="3"/>
    </row>
    <row r="602" spans="1:4" ht="14.5">
      <c r="A602" s="2"/>
      <c r="B602" s="3"/>
      <c r="D602" s="3"/>
    </row>
    <row r="603" spans="1:4" ht="14.5">
      <c r="A603" s="2"/>
      <c r="B603" s="3"/>
      <c r="D603" s="3"/>
    </row>
    <row r="604" spans="1:4" ht="14.5">
      <c r="A604" s="2"/>
      <c r="B604" s="3"/>
      <c r="D604" s="3"/>
    </row>
    <row r="605" spans="1:4" ht="14.5">
      <c r="A605" s="2"/>
      <c r="B605" s="3"/>
      <c r="D605" s="3"/>
    </row>
    <row r="606" spans="1:4" ht="14.5">
      <c r="A606" s="2"/>
      <c r="B606" s="3"/>
      <c r="D606" s="3"/>
    </row>
    <row r="607" spans="1:4" ht="14.5">
      <c r="A607" s="2"/>
      <c r="B607" s="3"/>
      <c r="D607" s="3"/>
    </row>
    <row r="608" spans="1:4" ht="14.5">
      <c r="A608" s="2"/>
      <c r="B608" s="3"/>
      <c r="D608" s="3"/>
    </row>
    <row r="609" spans="1:4" ht="14.5">
      <c r="A609" s="2"/>
      <c r="B609" s="3"/>
      <c r="D609" s="3"/>
    </row>
    <row r="610" spans="1:4" ht="14.5">
      <c r="A610" s="2"/>
      <c r="B610" s="3"/>
      <c r="D610" s="3"/>
    </row>
    <row r="611" spans="1:4" ht="14.5">
      <c r="A611" s="2"/>
      <c r="B611" s="3"/>
      <c r="D611" s="3"/>
    </row>
    <row r="612" spans="1:4" ht="14.5">
      <c r="A612" s="2"/>
      <c r="B612" s="3"/>
      <c r="D612" s="3"/>
    </row>
    <row r="613" spans="1:4" ht="14.5">
      <c r="A613" s="2"/>
      <c r="B613" s="3"/>
      <c r="D613" s="3"/>
    </row>
    <row r="614" spans="1:4" ht="14.5">
      <c r="A614" s="2"/>
      <c r="B614" s="3"/>
      <c r="D614" s="3"/>
    </row>
    <row r="615" spans="1:4" ht="14.5">
      <c r="A615" s="2"/>
      <c r="B615" s="3"/>
      <c r="D615" s="3"/>
    </row>
    <row r="616" spans="1:4" ht="14.5">
      <c r="A616" s="2"/>
      <c r="B616" s="3"/>
      <c r="D616" s="3"/>
    </row>
    <row r="617" spans="1:4" ht="14.5">
      <c r="A617" s="2"/>
      <c r="B617" s="3"/>
      <c r="D617" s="3"/>
    </row>
    <row r="618" spans="1:4" ht="14.5">
      <c r="A618" s="2"/>
      <c r="B618" s="3"/>
      <c r="D618" s="3"/>
    </row>
    <row r="619" spans="1:4" ht="14.5">
      <c r="A619" s="2"/>
      <c r="B619" s="3"/>
      <c r="D619" s="3"/>
    </row>
    <row r="620" spans="1:4" ht="14.5">
      <c r="A620" s="2"/>
      <c r="B620" s="3"/>
      <c r="D620" s="3"/>
    </row>
    <row r="621" spans="1:4" ht="14.5">
      <c r="A621" s="2"/>
      <c r="B621" s="3"/>
      <c r="D621" s="3"/>
    </row>
    <row r="622" spans="1:4" ht="14.5">
      <c r="A622" s="2"/>
      <c r="B622" s="3"/>
      <c r="D622" s="3"/>
    </row>
    <row r="623" spans="1:4" ht="14.5">
      <c r="A623" s="2"/>
      <c r="B623" s="3"/>
      <c r="D623" s="3"/>
    </row>
    <row r="624" spans="1:4" ht="14.5">
      <c r="A624" s="2"/>
      <c r="B624" s="3"/>
      <c r="D624" s="3"/>
    </row>
    <row r="625" spans="1:4" ht="14.5">
      <c r="A625" s="2"/>
      <c r="B625" s="3"/>
      <c r="D625" s="3"/>
    </row>
    <row r="626" spans="1:4" ht="14.5">
      <c r="A626" s="2"/>
      <c r="B626" s="3"/>
      <c r="D626" s="3"/>
    </row>
    <row r="627" spans="1:4" ht="14.5">
      <c r="A627" s="2"/>
      <c r="B627" s="3"/>
      <c r="D627" s="3"/>
    </row>
    <row r="628" spans="1:4" ht="14.5">
      <c r="A628" s="2"/>
      <c r="B628" s="3"/>
      <c r="D628" s="3"/>
    </row>
    <row r="629" spans="1:4" ht="14.5">
      <c r="A629" s="2"/>
      <c r="B629" s="3"/>
      <c r="D629" s="3"/>
    </row>
    <row r="630" spans="1:4" ht="14.5">
      <c r="A630" s="2"/>
      <c r="B630" s="3"/>
      <c r="D630" s="3"/>
    </row>
    <row r="631" spans="1:4" ht="14.5">
      <c r="A631" s="2"/>
      <c r="B631" s="3"/>
      <c r="D631" s="3"/>
    </row>
    <row r="632" spans="1:4" ht="14.5">
      <c r="A632" s="2"/>
      <c r="B632" s="3"/>
      <c r="D632" s="3"/>
    </row>
    <row r="633" spans="1:4" ht="14.5">
      <c r="A633" s="2"/>
      <c r="B633" s="3"/>
      <c r="D633" s="3"/>
    </row>
    <row r="634" spans="1:4" ht="14.5">
      <c r="A634" s="2"/>
      <c r="B634" s="3"/>
      <c r="D634" s="3"/>
    </row>
    <row r="635" spans="1:4" ht="14.5">
      <c r="A635" s="2"/>
      <c r="B635" s="3"/>
      <c r="D635" s="3"/>
    </row>
    <row r="636" spans="1:4" ht="14.5">
      <c r="A636" s="2"/>
      <c r="B636" s="3"/>
      <c r="D636" s="3"/>
    </row>
    <row r="637" spans="1:4" ht="14.5">
      <c r="A637" s="2"/>
      <c r="B637" s="3"/>
      <c r="D637" s="3"/>
    </row>
    <row r="638" spans="1:4" ht="14.5">
      <c r="A638" s="2"/>
      <c r="B638" s="3"/>
      <c r="D638" s="3"/>
    </row>
    <row r="639" spans="1:4" ht="14.5">
      <c r="A639" s="2"/>
      <c r="B639" s="3"/>
      <c r="D639" s="3"/>
    </row>
    <row r="640" spans="1:4" ht="14.5">
      <c r="A640" s="2"/>
      <c r="B640" s="3"/>
      <c r="D640" s="3"/>
    </row>
    <row r="641" spans="1:4" ht="14.5">
      <c r="A641" s="2"/>
      <c r="B641" s="3"/>
      <c r="D641" s="3"/>
    </row>
    <row r="642" spans="1:4" ht="14.5">
      <c r="A642" s="2"/>
      <c r="B642" s="3"/>
      <c r="D642" s="3"/>
    </row>
    <row r="643" spans="1:4" ht="14.5">
      <c r="A643" s="2"/>
      <c r="B643" s="3"/>
      <c r="D643" s="3"/>
    </row>
    <row r="644" spans="1:4" ht="14.5">
      <c r="A644" s="2"/>
      <c r="B644" s="3"/>
      <c r="D644" s="3"/>
    </row>
    <row r="645" spans="1:4" ht="14.5">
      <c r="A645" s="2"/>
      <c r="B645" s="3"/>
      <c r="D645" s="3"/>
    </row>
    <row r="646" spans="1:4" ht="14.5">
      <c r="A646" s="2"/>
      <c r="B646" s="3"/>
      <c r="D646" s="3"/>
    </row>
    <row r="647" spans="1:4" ht="14.5">
      <c r="A647" s="2"/>
      <c r="B647" s="3"/>
      <c r="D647" s="3"/>
    </row>
    <row r="648" spans="1:4" ht="14.5">
      <c r="A648" s="2"/>
      <c r="B648" s="3"/>
      <c r="D648" s="3"/>
    </row>
    <row r="649" spans="1:4" ht="14.5">
      <c r="A649" s="2"/>
      <c r="B649" s="3"/>
      <c r="D649" s="3"/>
    </row>
    <row r="650" spans="1:4" ht="14.5">
      <c r="A650" s="2"/>
      <c r="B650" s="3"/>
      <c r="D650" s="3"/>
    </row>
    <row r="651" spans="1:4" ht="14.5">
      <c r="A651" s="2"/>
      <c r="B651" s="3"/>
      <c r="D651" s="3"/>
    </row>
    <row r="652" spans="1:4" ht="14.5">
      <c r="A652" s="2"/>
      <c r="B652" s="3"/>
      <c r="D652" s="3"/>
    </row>
    <row r="653" spans="1:4" ht="14.5">
      <c r="A653" s="2"/>
      <c r="B653" s="3"/>
      <c r="D653" s="3"/>
    </row>
    <row r="654" spans="1:4" ht="14.5">
      <c r="A654" s="2"/>
      <c r="B654" s="3"/>
      <c r="D654" s="3"/>
    </row>
    <row r="655" spans="1:4" ht="14.5">
      <c r="A655" s="2"/>
      <c r="B655" s="3"/>
      <c r="D655" s="3"/>
    </row>
    <row r="656" spans="1:4" ht="14.5">
      <c r="A656" s="2"/>
      <c r="B656" s="3"/>
      <c r="D656" s="3"/>
    </row>
    <row r="657" spans="1:4" ht="14.5">
      <c r="A657" s="2"/>
      <c r="B657" s="3"/>
      <c r="D657" s="3"/>
    </row>
    <row r="658" spans="1:4" ht="14.5">
      <c r="A658" s="2"/>
      <c r="B658" s="3"/>
      <c r="D658" s="3"/>
    </row>
    <row r="659" spans="1:4" ht="14.5">
      <c r="A659" s="2"/>
      <c r="B659" s="3"/>
      <c r="D659" s="3"/>
    </row>
    <row r="660" spans="1:4" ht="14.5">
      <c r="A660" s="2"/>
      <c r="B660" s="3"/>
      <c r="D660" s="3"/>
    </row>
    <row r="661" spans="1:4" ht="14.5">
      <c r="A661" s="2"/>
      <c r="B661" s="3"/>
      <c r="D661" s="3"/>
    </row>
    <row r="662" spans="1:4" ht="14.5">
      <c r="A662" s="2"/>
      <c r="B662" s="3"/>
      <c r="D662" s="3"/>
    </row>
    <row r="663" spans="1:4" ht="14.5">
      <c r="A663" s="2"/>
      <c r="B663" s="3"/>
      <c r="D663" s="3"/>
    </row>
    <row r="664" spans="1:4" ht="14.5">
      <c r="A664" s="2"/>
      <c r="B664" s="3"/>
      <c r="D664" s="3"/>
    </row>
    <row r="665" spans="1:4" ht="14.5">
      <c r="A665" s="2"/>
      <c r="B665" s="3"/>
      <c r="D665" s="3"/>
    </row>
    <row r="666" spans="1:4" ht="14.5">
      <c r="A666" s="2"/>
      <c r="B666" s="3"/>
      <c r="D666" s="3"/>
    </row>
    <row r="667" spans="1:4" ht="14.5">
      <c r="A667" s="2"/>
      <c r="B667" s="3"/>
      <c r="D667" s="3"/>
    </row>
    <row r="668" spans="1:4" ht="14.5">
      <c r="A668" s="2"/>
      <c r="B668" s="3"/>
      <c r="D668" s="3"/>
    </row>
    <row r="669" spans="1:4" ht="14.5">
      <c r="A669" s="2"/>
      <c r="B669" s="3"/>
      <c r="D669" s="3"/>
    </row>
    <row r="670" spans="1:4" ht="14.5">
      <c r="A670" s="2"/>
      <c r="B670" s="3"/>
      <c r="D670" s="3"/>
    </row>
    <row r="671" spans="1:4" ht="14.5">
      <c r="A671" s="2"/>
      <c r="B671" s="3"/>
      <c r="D671" s="3"/>
    </row>
    <row r="672" spans="1:4" ht="14.5">
      <c r="A672" s="2"/>
      <c r="B672" s="3"/>
      <c r="D672" s="3"/>
    </row>
    <row r="673" spans="1:4" ht="14.5">
      <c r="A673" s="2"/>
      <c r="B673" s="3"/>
      <c r="D673" s="3"/>
    </row>
    <row r="674" spans="1:4" ht="14.5">
      <c r="A674" s="2"/>
      <c r="B674" s="3"/>
      <c r="D674" s="3"/>
    </row>
    <row r="675" spans="1:4" ht="14.5">
      <c r="A675" s="2"/>
      <c r="B675" s="3"/>
      <c r="D675" s="3"/>
    </row>
    <row r="676" spans="1:4" ht="14.5">
      <c r="A676" s="2"/>
      <c r="B676" s="3"/>
      <c r="D676" s="3"/>
    </row>
    <row r="677" spans="1:4" ht="14.5">
      <c r="A677" s="2"/>
      <c r="B677" s="3"/>
      <c r="D677" s="3"/>
    </row>
    <row r="678" spans="1:4" ht="14.5">
      <c r="A678" s="2"/>
      <c r="B678" s="3"/>
      <c r="D678" s="3"/>
    </row>
    <row r="679" spans="1:4" ht="14.5">
      <c r="A679" s="2"/>
      <c r="B679" s="3"/>
      <c r="D679" s="3"/>
    </row>
    <row r="680" spans="1:4" ht="14.5">
      <c r="A680" s="2"/>
      <c r="B680" s="3"/>
      <c r="D680" s="3"/>
    </row>
    <row r="681" spans="1:4" ht="14.5">
      <c r="A681" s="2"/>
      <c r="B681" s="3"/>
      <c r="D681" s="3"/>
    </row>
    <row r="682" spans="1:4" ht="14.5">
      <c r="A682" s="2"/>
      <c r="B682" s="3"/>
      <c r="D682" s="3"/>
    </row>
    <row r="683" spans="1:4" ht="14.5">
      <c r="A683" s="2"/>
      <c r="B683" s="3"/>
      <c r="D683" s="3"/>
    </row>
    <row r="684" spans="1:4" ht="14.5">
      <c r="A684" s="2"/>
      <c r="B684" s="3"/>
      <c r="D684" s="3"/>
    </row>
    <row r="685" spans="1:4" ht="14.5">
      <c r="A685" s="2"/>
      <c r="B685" s="3"/>
      <c r="D685" s="3"/>
    </row>
    <row r="686" spans="1:4" ht="14.5">
      <c r="A686" s="2"/>
      <c r="B686" s="3"/>
      <c r="D686" s="3"/>
    </row>
    <row r="687" spans="1:4" ht="14.5">
      <c r="A687" s="2"/>
      <c r="B687" s="3"/>
      <c r="D687" s="3"/>
    </row>
    <row r="688" spans="1:4" ht="14.5">
      <c r="A688" s="2"/>
      <c r="B688" s="3"/>
      <c r="D688" s="3"/>
    </row>
    <row r="689" spans="1:4" ht="14.5">
      <c r="A689" s="2"/>
      <c r="B689" s="3"/>
      <c r="D689" s="3"/>
    </row>
    <row r="690" spans="1:4" ht="14.5">
      <c r="A690" s="2"/>
      <c r="B690" s="3"/>
      <c r="D690" s="3"/>
    </row>
    <row r="691" spans="1:4" ht="14.5">
      <c r="A691" s="2"/>
      <c r="B691" s="3"/>
      <c r="D691" s="3"/>
    </row>
    <row r="692" spans="1:4" ht="14.5">
      <c r="A692" s="2"/>
      <c r="B692" s="3"/>
      <c r="D692" s="3"/>
    </row>
    <row r="693" spans="1:4" ht="14.5">
      <c r="A693" s="2"/>
      <c r="B693" s="3"/>
      <c r="D693" s="3"/>
    </row>
    <row r="694" spans="1:4" ht="14.5">
      <c r="A694" s="2"/>
      <c r="B694" s="3"/>
      <c r="D694" s="3"/>
    </row>
    <row r="695" spans="1:4" ht="14.5">
      <c r="A695" s="2"/>
      <c r="B695" s="3"/>
      <c r="D695" s="3"/>
    </row>
    <row r="696" spans="1:4" ht="14.5">
      <c r="A696" s="2"/>
      <c r="B696" s="3"/>
      <c r="D696" s="3"/>
    </row>
    <row r="697" spans="1:4" ht="14.5">
      <c r="A697" s="2"/>
      <c r="B697" s="3"/>
      <c r="D697" s="3"/>
    </row>
    <row r="698" spans="1:4" ht="14.5">
      <c r="A698" s="2"/>
      <c r="B698" s="3"/>
      <c r="D698" s="3"/>
    </row>
    <row r="699" spans="1:4" ht="14.5">
      <c r="A699" s="2"/>
      <c r="B699" s="3"/>
      <c r="D699" s="3"/>
    </row>
    <row r="700" spans="1:4" ht="14.5">
      <c r="A700" s="2"/>
      <c r="B700" s="3"/>
      <c r="D700" s="3"/>
    </row>
    <row r="701" spans="1:4" ht="14.5">
      <c r="A701" s="2"/>
      <c r="B701" s="3"/>
      <c r="D701" s="3"/>
    </row>
    <row r="702" spans="1:4" ht="14.5">
      <c r="A702" s="2"/>
      <c r="B702" s="3"/>
      <c r="D702" s="3"/>
    </row>
    <row r="703" spans="1:4" ht="14.5">
      <c r="A703" s="2"/>
      <c r="B703" s="3"/>
      <c r="D703" s="3"/>
    </row>
    <row r="704" spans="1:4" ht="14.5">
      <c r="A704" s="2"/>
      <c r="B704" s="3"/>
      <c r="D704" s="3"/>
    </row>
    <row r="705" spans="1:4" ht="14.5">
      <c r="A705" s="2"/>
      <c r="B705" s="3"/>
      <c r="D705" s="3"/>
    </row>
    <row r="706" spans="1:4" ht="14.5">
      <c r="A706" s="2"/>
      <c r="B706" s="3"/>
      <c r="D706" s="3"/>
    </row>
    <row r="707" spans="1:4" ht="14.5">
      <c r="A707" s="2"/>
      <c r="B707" s="3"/>
      <c r="D707" s="3"/>
    </row>
    <row r="708" spans="1:4" ht="14.5">
      <c r="A708" s="2"/>
      <c r="B708" s="3"/>
      <c r="D708" s="3"/>
    </row>
    <row r="709" spans="1:4" ht="14.5">
      <c r="A709" s="2"/>
      <c r="B709" s="3"/>
      <c r="D709" s="3"/>
    </row>
    <row r="710" spans="1:4" ht="14.5">
      <c r="A710" s="2"/>
      <c r="B710" s="3"/>
      <c r="D710" s="3"/>
    </row>
    <row r="711" spans="1:4" ht="14.5">
      <c r="A711" s="2"/>
      <c r="B711" s="3"/>
      <c r="D711" s="3"/>
    </row>
    <row r="712" spans="1:4" ht="14.5">
      <c r="A712" s="2"/>
      <c r="B712" s="3"/>
      <c r="D712" s="3"/>
    </row>
    <row r="713" spans="1:4" ht="14.5">
      <c r="A713" s="2"/>
      <c r="B713" s="3"/>
      <c r="D713" s="3"/>
    </row>
    <row r="714" spans="1:4" ht="14.5">
      <c r="A714" s="2"/>
      <c r="B714" s="3"/>
      <c r="D714" s="3"/>
    </row>
    <row r="715" spans="1:4" ht="14.5">
      <c r="A715" s="2"/>
      <c r="B715" s="3"/>
      <c r="D715" s="3"/>
    </row>
    <row r="716" spans="1:4" ht="14.5">
      <c r="A716" s="2"/>
      <c r="B716" s="3"/>
      <c r="D716" s="3"/>
    </row>
    <row r="717" spans="1:4" ht="14.5">
      <c r="A717" s="2"/>
      <c r="B717" s="3"/>
      <c r="D717" s="3"/>
    </row>
    <row r="718" spans="1:4" ht="14.5">
      <c r="A718" s="2"/>
      <c r="B718" s="3"/>
      <c r="D718" s="3"/>
    </row>
    <row r="719" spans="1:4" ht="14.5">
      <c r="A719" s="2"/>
      <c r="B719" s="3"/>
      <c r="D719" s="3"/>
    </row>
    <row r="720" spans="1:4" ht="14.5">
      <c r="A720" s="2"/>
      <c r="B720" s="3"/>
      <c r="D720" s="3"/>
    </row>
    <row r="721" spans="1:4" ht="14.5">
      <c r="A721" s="2"/>
      <c r="B721" s="3"/>
      <c r="D721" s="3"/>
    </row>
    <row r="722" spans="1:4" ht="14.5">
      <c r="A722" s="2"/>
      <c r="B722" s="3"/>
      <c r="D722" s="3"/>
    </row>
    <row r="723" spans="1:4" ht="14.5">
      <c r="A723" s="2"/>
      <c r="B723" s="3"/>
      <c r="D723" s="3"/>
    </row>
    <row r="724" spans="1:4" ht="14.5">
      <c r="A724" s="2"/>
      <c r="B724" s="3"/>
      <c r="D724" s="3"/>
    </row>
    <row r="725" spans="1:4" ht="14.5">
      <c r="A725" s="2"/>
      <c r="B725" s="3"/>
      <c r="D725" s="3"/>
    </row>
    <row r="726" spans="1:4" ht="14.5">
      <c r="A726" s="2"/>
      <c r="B726" s="3"/>
      <c r="D726" s="3"/>
    </row>
    <row r="727" spans="1:4" ht="14.5">
      <c r="A727" s="2"/>
      <c r="B727" s="3"/>
      <c r="D727" s="3"/>
    </row>
    <row r="728" spans="1:4" ht="14.5">
      <c r="A728" s="2"/>
      <c r="B728" s="3"/>
      <c r="D728" s="3"/>
    </row>
    <row r="729" spans="1:4" ht="14.5">
      <c r="A729" s="2"/>
      <c r="B729" s="3"/>
      <c r="D729" s="3"/>
    </row>
    <row r="730" spans="1:4" ht="14.5">
      <c r="A730" s="2"/>
      <c r="B730" s="3"/>
      <c r="D730" s="3"/>
    </row>
    <row r="731" spans="1:4" ht="14.5">
      <c r="A731" s="2"/>
      <c r="B731" s="3"/>
      <c r="D731" s="3"/>
    </row>
    <row r="732" spans="1:4" ht="14.5">
      <c r="A732" s="2"/>
      <c r="B732" s="3"/>
      <c r="D732" s="3"/>
    </row>
    <row r="733" spans="1:4" ht="14.5">
      <c r="A733" s="2"/>
      <c r="B733" s="3"/>
      <c r="D733" s="3"/>
    </row>
    <row r="734" spans="1:4" ht="14.5">
      <c r="A734" s="2"/>
      <c r="B734" s="3"/>
      <c r="D734" s="3"/>
    </row>
    <row r="735" spans="1:4" ht="14.5">
      <c r="A735" s="2"/>
      <c r="B735" s="3"/>
      <c r="D735" s="3"/>
    </row>
    <row r="736" spans="1:4" ht="14.5">
      <c r="A736" s="2"/>
      <c r="B736" s="3"/>
      <c r="D736" s="3"/>
    </row>
    <row r="737" spans="1:4" ht="14.5">
      <c r="A737" s="2"/>
      <c r="B737" s="3"/>
      <c r="D737" s="3"/>
    </row>
    <row r="738" spans="1:4" ht="14.5">
      <c r="A738" s="2"/>
      <c r="B738" s="3"/>
      <c r="D738" s="3"/>
    </row>
    <row r="739" spans="1:4" ht="14.5">
      <c r="A739" s="2"/>
      <c r="B739" s="3"/>
      <c r="D739" s="3"/>
    </row>
    <row r="740" spans="1:4" ht="14.5">
      <c r="A740" s="2"/>
      <c r="B740" s="3"/>
      <c r="D740" s="3"/>
    </row>
    <row r="741" spans="1:4" ht="14.5">
      <c r="A741" s="2"/>
      <c r="B741" s="3"/>
      <c r="D741" s="3"/>
    </row>
    <row r="742" spans="1:4" ht="14.5">
      <c r="A742" s="2"/>
      <c r="B742" s="3"/>
      <c r="D742" s="3"/>
    </row>
    <row r="743" spans="1:4" ht="14.5">
      <c r="A743" s="2"/>
      <c r="B743" s="3"/>
      <c r="D743" s="3"/>
    </row>
    <row r="744" spans="1:4" ht="14.5">
      <c r="A744" s="2"/>
      <c r="B744" s="3"/>
      <c r="D744" s="3"/>
    </row>
    <row r="745" spans="1:4" ht="14.5">
      <c r="A745" s="2"/>
      <c r="B745" s="3"/>
      <c r="D745" s="3"/>
    </row>
    <row r="746" spans="1:4" ht="14.5">
      <c r="A746" s="2"/>
      <c r="B746" s="3"/>
      <c r="D746" s="3"/>
    </row>
    <row r="747" spans="1:4" ht="14.5">
      <c r="A747" s="2"/>
      <c r="B747" s="3"/>
      <c r="D747" s="3"/>
    </row>
    <row r="748" spans="1:4" ht="14.5">
      <c r="A748" s="2"/>
      <c r="B748" s="3"/>
      <c r="D748" s="3"/>
    </row>
    <row r="749" spans="1:4" ht="14.5">
      <c r="A749" s="2"/>
      <c r="B749" s="3"/>
      <c r="D749" s="3"/>
    </row>
    <row r="750" spans="1:4" ht="14.5">
      <c r="A750" s="2"/>
      <c r="B750" s="3"/>
      <c r="D750" s="3"/>
    </row>
    <row r="751" spans="1:4" ht="14.5">
      <c r="A751" s="2"/>
      <c r="B751" s="3"/>
      <c r="D751" s="3"/>
    </row>
    <row r="752" spans="1:4" ht="14.5">
      <c r="A752" s="2"/>
      <c r="B752" s="3"/>
      <c r="D752" s="3"/>
    </row>
    <row r="753" spans="1:4" ht="14.5">
      <c r="A753" s="2"/>
      <c r="B753" s="3"/>
      <c r="D753" s="3"/>
    </row>
    <row r="754" spans="1:4" ht="14.5">
      <c r="A754" s="2"/>
      <c r="B754" s="3"/>
      <c r="D754" s="3"/>
    </row>
    <row r="755" spans="1:4" ht="14.5">
      <c r="A755" s="2"/>
      <c r="B755" s="3"/>
      <c r="D755" s="3"/>
    </row>
    <row r="756" spans="1:4" ht="14.5">
      <c r="A756" s="2"/>
      <c r="B756" s="3"/>
      <c r="D756" s="3"/>
    </row>
    <row r="757" spans="1:4" ht="14.5">
      <c r="A757" s="2"/>
      <c r="B757" s="3"/>
      <c r="D757" s="3"/>
    </row>
    <row r="758" spans="1:4" ht="14.5">
      <c r="A758" s="2"/>
      <c r="B758" s="3"/>
      <c r="D758" s="3"/>
    </row>
    <row r="759" spans="1:4" ht="14.5">
      <c r="A759" s="2"/>
      <c r="B759" s="3"/>
      <c r="D759" s="3"/>
    </row>
    <row r="760" spans="1:4" ht="14.5">
      <c r="A760" s="2"/>
      <c r="B760" s="3"/>
      <c r="D760" s="3"/>
    </row>
    <row r="761" spans="1:4" ht="14.5">
      <c r="A761" s="2"/>
      <c r="B761" s="3"/>
      <c r="D761" s="3"/>
    </row>
    <row r="762" spans="1:4" ht="14.5">
      <c r="A762" s="2"/>
      <c r="B762" s="3"/>
      <c r="D762" s="3"/>
    </row>
    <row r="763" spans="1:4" ht="14.5">
      <c r="A763" s="2"/>
      <c r="B763" s="3"/>
      <c r="D763" s="3"/>
    </row>
    <row r="764" spans="1:4" ht="14.5">
      <c r="A764" s="2"/>
      <c r="B764" s="3"/>
      <c r="D764" s="3"/>
    </row>
    <row r="765" spans="1:4" ht="14.5">
      <c r="A765" s="2"/>
      <c r="B765" s="3"/>
      <c r="D765" s="3"/>
    </row>
    <row r="766" spans="1:4" ht="14.5">
      <c r="A766" s="2"/>
      <c r="B766" s="3"/>
      <c r="D766" s="3"/>
    </row>
    <row r="767" spans="1:4" ht="14.5">
      <c r="A767" s="2"/>
      <c r="B767" s="3"/>
      <c r="D767" s="3"/>
    </row>
    <row r="768" spans="1:4" ht="14.5">
      <c r="A768" s="2"/>
      <c r="B768" s="3"/>
      <c r="D768" s="3"/>
    </row>
    <row r="769" spans="1:4" ht="14.5">
      <c r="A769" s="2"/>
      <c r="B769" s="3"/>
      <c r="D769" s="3"/>
    </row>
    <row r="770" spans="1:4" ht="14.5">
      <c r="A770" s="2"/>
      <c r="B770" s="3"/>
      <c r="D770" s="3"/>
    </row>
    <row r="771" spans="1:4" ht="14.5">
      <c r="A771" s="2"/>
      <c r="B771" s="3"/>
      <c r="D771" s="3"/>
    </row>
    <row r="772" spans="1:4" ht="14.5">
      <c r="A772" s="2"/>
      <c r="B772" s="3"/>
      <c r="D772" s="3"/>
    </row>
    <row r="773" spans="1:4" ht="14.5">
      <c r="A773" s="2"/>
      <c r="B773" s="3"/>
      <c r="D773" s="3"/>
    </row>
    <row r="774" spans="1:4" ht="14.5">
      <c r="A774" s="2"/>
      <c r="B774" s="3"/>
      <c r="D774" s="3"/>
    </row>
    <row r="775" spans="1:4" ht="14.5">
      <c r="A775" s="2"/>
      <c r="B775" s="3"/>
      <c r="D775" s="3"/>
    </row>
    <row r="776" spans="1:4" ht="14.5">
      <c r="A776" s="2"/>
      <c r="B776" s="3"/>
      <c r="D776" s="3"/>
    </row>
    <row r="777" spans="1:4" ht="14.5">
      <c r="A777" s="2"/>
      <c r="B777" s="3"/>
      <c r="D777" s="3"/>
    </row>
    <row r="778" spans="1:4" ht="14.5">
      <c r="A778" s="2"/>
      <c r="B778" s="3"/>
      <c r="D778" s="3"/>
    </row>
    <row r="779" spans="1:4" ht="14.5">
      <c r="A779" s="2"/>
      <c r="B779" s="3"/>
      <c r="D779" s="3"/>
    </row>
    <row r="780" spans="1:4" ht="14.5">
      <c r="A780" s="2"/>
      <c r="B780" s="3"/>
      <c r="D780" s="3"/>
    </row>
    <row r="781" spans="1:4" ht="14.5">
      <c r="A781" s="2"/>
      <c r="B781" s="3"/>
      <c r="D781" s="3"/>
    </row>
    <row r="782" spans="1:4" ht="14.5">
      <c r="A782" s="2"/>
      <c r="B782" s="3"/>
      <c r="D782" s="3"/>
    </row>
    <row r="783" spans="1:4" ht="14.5">
      <c r="A783" s="2"/>
      <c r="B783" s="3"/>
      <c r="D783" s="3"/>
    </row>
    <row r="784" spans="1:4" ht="14.5">
      <c r="A784" s="2"/>
      <c r="B784" s="3"/>
      <c r="D784" s="3"/>
    </row>
    <row r="785" spans="1:4" ht="14.5">
      <c r="A785" s="2"/>
      <c r="B785" s="3"/>
      <c r="D785" s="3"/>
    </row>
    <row r="786" spans="1:4" ht="14.5">
      <c r="A786" s="2"/>
      <c r="B786" s="3"/>
      <c r="D786" s="3"/>
    </row>
    <row r="787" spans="1:4" ht="14.5">
      <c r="A787" s="2"/>
      <c r="B787" s="3"/>
      <c r="D787" s="3"/>
    </row>
    <row r="788" spans="1:4" ht="14.5">
      <c r="A788" s="2"/>
      <c r="B788" s="3"/>
      <c r="D788" s="3"/>
    </row>
    <row r="789" spans="1:4" ht="14.5">
      <c r="A789" s="2"/>
      <c r="B789" s="3"/>
      <c r="D789" s="3"/>
    </row>
    <row r="790" spans="1:4" ht="14.5">
      <c r="A790" s="2"/>
      <c r="B790" s="3"/>
      <c r="D790" s="3"/>
    </row>
    <row r="791" spans="1:4" ht="14.5">
      <c r="A791" s="2"/>
      <c r="B791" s="3"/>
      <c r="D791" s="3"/>
    </row>
    <row r="792" spans="1:4" ht="14.5">
      <c r="A792" s="2"/>
      <c r="B792" s="3"/>
      <c r="D792" s="3"/>
    </row>
    <row r="793" spans="1:4" ht="14.5">
      <c r="A793" s="2"/>
      <c r="B793" s="3"/>
      <c r="D793" s="3"/>
    </row>
    <row r="794" spans="1:4" ht="14.5">
      <c r="A794" s="2"/>
      <c r="B794" s="3"/>
      <c r="D794" s="3"/>
    </row>
    <row r="795" spans="1:4" ht="14.5">
      <c r="A795" s="2"/>
      <c r="B795" s="3"/>
      <c r="D795" s="3"/>
    </row>
    <row r="796" spans="1:4" ht="14.5">
      <c r="A796" s="2"/>
      <c r="B796" s="3"/>
      <c r="D796" s="3"/>
    </row>
    <row r="797" spans="1:4" ht="14.5">
      <c r="A797" s="2"/>
      <c r="B797" s="3"/>
      <c r="D797" s="3"/>
    </row>
    <row r="798" spans="1:4" ht="14.5">
      <c r="A798" s="2"/>
      <c r="B798" s="3"/>
      <c r="D798" s="3"/>
    </row>
    <row r="799" spans="1:4" ht="14.5">
      <c r="A799" s="2"/>
      <c r="B799" s="3"/>
      <c r="D799" s="3"/>
    </row>
    <row r="800" spans="1:4" ht="14.5">
      <c r="A800" s="2"/>
      <c r="B800" s="3"/>
      <c r="D800" s="3"/>
    </row>
    <row r="801" spans="1:4" ht="14.5">
      <c r="A801" s="2"/>
      <c r="B801" s="3"/>
      <c r="D801" s="3"/>
    </row>
    <row r="802" spans="1:4" ht="14.5">
      <c r="A802" s="2"/>
      <c r="B802" s="3"/>
      <c r="D802" s="3"/>
    </row>
    <row r="803" spans="1:4" ht="14.5">
      <c r="A803" s="2"/>
      <c r="B803" s="3"/>
      <c r="D803" s="3"/>
    </row>
    <row r="804" spans="1:4" ht="14.5">
      <c r="A804" s="2"/>
      <c r="B804" s="3"/>
      <c r="D804" s="3"/>
    </row>
    <row r="805" spans="1:4" ht="14.5">
      <c r="A805" s="2"/>
      <c r="B805" s="3"/>
      <c r="D805" s="3"/>
    </row>
    <row r="806" spans="1:4" ht="14.5">
      <c r="A806" s="2"/>
      <c r="B806" s="3"/>
      <c r="D806" s="3"/>
    </row>
    <row r="807" spans="1:4" ht="14.5">
      <c r="A807" s="2"/>
      <c r="B807" s="3"/>
      <c r="D807" s="3"/>
    </row>
    <row r="808" spans="1:4" ht="14.5">
      <c r="A808" s="2"/>
      <c r="B808" s="3"/>
      <c r="D808" s="3"/>
    </row>
    <row r="809" spans="1:4" ht="14.5">
      <c r="A809" s="2"/>
      <c r="B809" s="3"/>
      <c r="D809" s="3"/>
    </row>
    <row r="810" spans="1:4" ht="14.5">
      <c r="A810" s="2"/>
      <c r="B810" s="3"/>
      <c r="D810" s="3"/>
    </row>
    <row r="811" spans="1:4" ht="14.5">
      <c r="A811" s="2"/>
      <c r="B811" s="3"/>
      <c r="D811" s="3"/>
    </row>
    <row r="812" spans="1:4" ht="14.5">
      <c r="A812" s="2"/>
      <c r="B812" s="3"/>
      <c r="D812" s="3"/>
    </row>
    <row r="813" spans="1:4" ht="14.5">
      <c r="A813" s="2"/>
      <c r="B813" s="3"/>
      <c r="D813" s="3"/>
    </row>
    <row r="814" spans="1:4" ht="14.5">
      <c r="A814" s="2"/>
      <c r="B814" s="3"/>
      <c r="D814" s="3"/>
    </row>
    <row r="815" spans="1:4" ht="14.5">
      <c r="A815" s="2"/>
      <c r="B815" s="3"/>
      <c r="D815" s="3"/>
    </row>
    <row r="816" spans="1:4" ht="14.5">
      <c r="A816" s="2"/>
      <c r="B816" s="3"/>
      <c r="D816" s="3"/>
    </row>
    <row r="817" spans="1:4" ht="14.5">
      <c r="A817" s="2"/>
      <c r="B817" s="3"/>
      <c r="D817" s="3"/>
    </row>
    <row r="818" spans="1:4" ht="14.5">
      <c r="A818" s="2"/>
      <c r="B818" s="3"/>
      <c r="D818" s="3"/>
    </row>
    <row r="819" spans="1:4" ht="14.5">
      <c r="A819" s="2"/>
      <c r="B819" s="3"/>
      <c r="D819" s="3"/>
    </row>
    <row r="820" spans="1:4" ht="14.5">
      <c r="A820" s="2"/>
      <c r="B820" s="3"/>
      <c r="D820" s="3"/>
    </row>
    <row r="821" spans="1:4" ht="14.5">
      <c r="A821" s="2"/>
      <c r="B821" s="3"/>
      <c r="D821" s="3"/>
    </row>
    <row r="822" spans="1:4" ht="14.5">
      <c r="A822" s="2"/>
      <c r="B822" s="3"/>
      <c r="D822" s="3"/>
    </row>
    <row r="823" spans="1:4" ht="14.5">
      <c r="A823" s="2"/>
      <c r="B823" s="3"/>
      <c r="D823" s="3"/>
    </row>
    <row r="824" spans="1:4" ht="14.5">
      <c r="A824" s="2"/>
      <c r="B824" s="3"/>
      <c r="D824" s="3"/>
    </row>
    <row r="825" spans="1:4" ht="14.5">
      <c r="A825" s="2"/>
      <c r="B825" s="3"/>
      <c r="D825" s="3"/>
    </row>
    <row r="826" spans="1:4" ht="14.5">
      <c r="A826" s="2"/>
      <c r="B826" s="3"/>
      <c r="D826" s="3"/>
    </row>
    <row r="827" spans="1:4" ht="14.5">
      <c r="A827" s="2"/>
      <c r="B827" s="3"/>
      <c r="D827" s="3"/>
    </row>
    <row r="828" spans="1:4" ht="14.5">
      <c r="A828" s="2"/>
      <c r="B828" s="3"/>
      <c r="D828" s="3"/>
    </row>
    <row r="829" spans="1:4" ht="14.5">
      <c r="A829" s="2"/>
      <c r="B829" s="3"/>
      <c r="D829" s="3"/>
    </row>
    <row r="830" spans="1:4" ht="14.5">
      <c r="A830" s="2"/>
      <c r="B830" s="3"/>
      <c r="D830" s="3"/>
    </row>
    <row r="831" spans="1:4" ht="14.5">
      <c r="A831" s="2"/>
      <c r="B831" s="3"/>
      <c r="D831" s="3"/>
    </row>
    <row r="832" spans="1:4" ht="14.5">
      <c r="A832" s="2"/>
      <c r="B832" s="3"/>
      <c r="D832" s="3"/>
    </row>
    <row r="833" spans="1:4" ht="14.5">
      <c r="A833" s="2"/>
      <c r="B833" s="3"/>
      <c r="D833" s="3"/>
    </row>
    <row r="834" spans="1:4" ht="14.5">
      <c r="A834" s="2"/>
      <c r="B834" s="3"/>
      <c r="D834" s="3"/>
    </row>
    <row r="835" spans="1:4" ht="14.5">
      <c r="A835" s="2"/>
      <c r="B835" s="3"/>
      <c r="D835" s="3"/>
    </row>
    <row r="836" spans="1:4" ht="14.5">
      <c r="A836" s="2"/>
      <c r="B836" s="3"/>
      <c r="D836" s="3"/>
    </row>
    <row r="837" spans="1:4" ht="14.5">
      <c r="A837" s="2"/>
      <c r="B837" s="3"/>
      <c r="D837" s="3"/>
    </row>
    <row r="838" spans="1:4" ht="14.5">
      <c r="A838" s="2"/>
      <c r="B838" s="3"/>
      <c r="D838" s="3"/>
    </row>
    <row r="839" spans="1:4" ht="14.5">
      <c r="A839" s="2"/>
      <c r="B839" s="3"/>
      <c r="D839" s="3"/>
    </row>
    <row r="840" spans="1:4" ht="14.5">
      <c r="A840" s="2"/>
      <c r="B840" s="3"/>
      <c r="D840" s="3"/>
    </row>
    <row r="841" spans="1:4" ht="14.5">
      <c r="A841" s="2"/>
      <c r="B841" s="3"/>
      <c r="D841" s="3"/>
    </row>
    <row r="842" spans="1:4" ht="14.5">
      <c r="A842" s="2"/>
      <c r="B842" s="3"/>
      <c r="D842" s="3"/>
    </row>
    <row r="843" spans="1:4" ht="14.5">
      <c r="A843" s="2"/>
      <c r="B843" s="3"/>
      <c r="D843" s="3"/>
    </row>
    <row r="844" spans="1:4" ht="14.5">
      <c r="A844" s="2"/>
      <c r="B844" s="3"/>
      <c r="D844" s="3"/>
    </row>
    <row r="845" spans="1:4" ht="14.5">
      <c r="A845" s="2"/>
      <c r="B845" s="3"/>
      <c r="D845" s="3"/>
    </row>
    <row r="846" spans="1:4" ht="14.5">
      <c r="A846" s="2"/>
      <c r="B846" s="3"/>
      <c r="D846" s="3"/>
    </row>
    <row r="847" spans="1:4" ht="14.5">
      <c r="A847" s="2"/>
      <c r="B847" s="3"/>
      <c r="D847" s="3"/>
    </row>
    <row r="848" spans="1:4" ht="14.5">
      <c r="A848" s="2"/>
      <c r="B848" s="3"/>
      <c r="D848" s="3"/>
    </row>
    <row r="849" spans="1:4" ht="14.5">
      <c r="A849" s="2"/>
      <c r="B849" s="3"/>
      <c r="D849" s="3"/>
    </row>
    <row r="850" spans="1:4" ht="14.5">
      <c r="A850" s="2"/>
      <c r="B850" s="3"/>
      <c r="D850" s="3"/>
    </row>
    <row r="851" spans="1:4" ht="14.5">
      <c r="A851" s="2"/>
      <c r="B851" s="3"/>
      <c r="D851" s="3"/>
    </row>
    <row r="852" spans="1:4" ht="14.5">
      <c r="A852" s="2"/>
      <c r="B852" s="3"/>
      <c r="D852" s="3"/>
    </row>
    <row r="853" spans="1:4" ht="14.5">
      <c r="A853" s="2"/>
      <c r="B853" s="3"/>
      <c r="D853" s="3"/>
    </row>
    <row r="854" spans="1:4" ht="14.5">
      <c r="A854" s="2"/>
      <c r="B854" s="3"/>
      <c r="D854" s="3"/>
    </row>
    <row r="855" spans="1:4" ht="14.5">
      <c r="A855" s="2"/>
      <c r="B855" s="3"/>
      <c r="D855" s="3"/>
    </row>
    <row r="856" spans="1:4" ht="14.5">
      <c r="A856" s="2"/>
      <c r="B856" s="3"/>
      <c r="D856" s="3"/>
    </row>
    <row r="857" spans="1:4" ht="14.5">
      <c r="A857" s="2"/>
      <c r="B857" s="3"/>
      <c r="D857" s="3"/>
    </row>
    <row r="858" spans="1:4" ht="14.5">
      <c r="A858" s="2"/>
      <c r="B858" s="3"/>
      <c r="D858" s="3"/>
    </row>
    <row r="859" spans="1:4" ht="14.5">
      <c r="A859" s="2"/>
      <c r="B859" s="3"/>
      <c r="D859" s="3"/>
    </row>
    <row r="860" spans="1:4" ht="14.5">
      <c r="A860" s="2"/>
      <c r="B860" s="3"/>
      <c r="D860" s="3"/>
    </row>
    <row r="861" spans="1:4" ht="14.5">
      <c r="A861" s="2"/>
      <c r="B861" s="3"/>
      <c r="D861" s="3"/>
    </row>
    <row r="862" spans="1:4" ht="14.5">
      <c r="A862" s="2"/>
      <c r="B862" s="3"/>
      <c r="D862" s="3"/>
    </row>
    <row r="863" spans="1:4" ht="14.5">
      <c r="A863" s="2"/>
      <c r="B863" s="3"/>
      <c r="D863" s="3"/>
    </row>
    <row r="864" spans="1:4" ht="14.5">
      <c r="A864" s="2"/>
      <c r="B864" s="3"/>
      <c r="D864" s="3"/>
    </row>
    <row r="865" spans="1:4" ht="14.5">
      <c r="A865" s="2"/>
      <c r="B865" s="3"/>
      <c r="D865" s="3"/>
    </row>
    <row r="866" spans="1:4" ht="14.5">
      <c r="A866" s="2"/>
      <c r="B866" s="3"/>
      <c r="D866" s="3"/>
    </row>
    <row r="867" spans="1:4" ht="14.5">
      <c r="A867" s="2"/>
      <c r="B867" s="3"/>
      <c r="D867" s="3"/>
    </row>
    <row r="868" spans="1:4" ht="14.5">
      <c r="A868" s="2"/>
      <c r="B868" s="3"/>
      <c r="D868" s="3"/>
    </row>
    <row r="869" spans="1:4" ht="14.5">
      <c r="A869" s="2"/>
      <c r="B869" s="3"/>
      <c r="D869" s="3"/>
    </row>
    <row r="870" spans="1:4" ht="14.5">
      <c r="A870" s="2"/>
      <c r="B870" s="3"/>
      <c r="D870" s="3"/>
    </row>
    <row r="871" spans="1:4" ht="14.5">
      <c r="A871" s="2"/>
      <c r="B871" s="3"/>
      <c r="D871" s="3"/>
    </row>
    <row r="872" spans="1:4" ht="14.5">
      <c r="A872" s="2"/>
      <c r="B872" s="3"/>
      <c r="D872" s="3"/>
    </row>
    <row r="873" spans="1:4" ht="14.5">
      <c r="A873" s="2"/>
      <c r="B873" s="3"/>
      <c r="D873" s="3"/>
    </row>
    <row r="874" spans="1:4" ht="14.5">
      <c r="A874" s="2"/>
      <c r="B874" s="3"/>
      <c r="D874" s="3"/>
    </row>
    <row r="875" spans="1:4" ht="14.5">
      <c r="A875" s="2"/>
      <c r="B875" s="3"/>
      <c r="D875" s="3"/>
    </row>
    <row r="876" spans="1:4" ht="14.5">
      <c r="A876" s="2"/>
      <c r="B876" s="3"/>
      <c r="D876" s="3"/>
    </row>
    <row r="877" spans="1:4" ht="14.5">
      <c r="A877" s="2"/>
      <c r="B877" s="3"/>
      <c r="D877" s="3"/>
    </row>
    <row r="878" spans="1:4" ht="14.5">
      <c r="A878" s="2"/>
      <c r="B878" s="3"/>
      <c r="D878" s="3"/>
    </row>
    <row r="879" spans="1:4" ht="14.5">
      <c r="A879" s="2"/>
      <c r="B879" s="3"/>
      <c r="D879" s="3"/>
    </row>
    <row r="880" spans="1:4" ht="14.5">
      <c r="A880" s="2"/>
      <c r="B880" s="3"/>
      <c r="D880" s="3"/>
    </row>
    <row r="881" spans="1:4" ht="14.5">
      <c r="A881" s="2"/>
      <c r="B881" s="3"/>
      <c r="D881" s="3"/>
    </row>
    <row r="882" spans="1:4" ht="14.5">
      <c r="A882" s="2"/>
      <c r="B882" s="3"/>
      <c r="D882" s="3"/>
    </row>
    <row r="883" spans="1:4" ht="14.5">
      <c r="A883" s="2"/>
      <c r="B883" s="3"/>
      <c r="D883" s="3"/>
    </row>
    <row r="884" spans="1:4" ht="14.5">
      <c r="A884" s="2"/>
      <c r="B884" s="3"/>
      <c r="D884" s="3"/>
    </row>
    <row r="885" spans="1:4" ht="14.5">
      <c r="A885" s="2"/>
      <c r="B885" s="3"/>
      <c r="D885" s="3"/>
    </row>
    <row r="886" spans="1:4" ht="14.5">
      <c r="A886" s="2"/>
      <c r="B886" s="3"/>
      <c r="D886" s="3"/>
    </row>
    <row r="887" spans="1:4" ht="14.5">
      <c r="A887" s="2"/>
      <c r="B887" s="3"/>
      <c r="D887" s="3"/>
    </row>
    <row r="888" spans="1:4" ht="14.5">
      <c r="A888" s="2"/>
      <c r="B888" s="3"/>
      <c r="D888" s="3"/>
    </row>
    <row r="889" spans="1:4" ht="14.5">
      <c r="A889" s="2"/>
      <c r="B889" s="3"/>
      <c r="D889" s="3"/>
    </row>
    <row r="890" spans="1:4" ht="14.5">
      <c r="A890" s="2"/>
      <c r="B890" s="3"/>
      <c r="D890" s="3"/>
    </row>
    <row r="891" spans="1:4" ht="14.5">
      <c r="A891" s="2"/>
      <c r="B891" s="3"/>
      <c r="D891" s="3"/>
    </row>
    <row r="892" spans="1:4" ht="14.5">
      <c r="A892" s="2"/>
      <c r="B892" s="3"/>
      <c r="D892" s="3"/>
    </row>
    <row r="893" spans="1:4" ht="14.5">
      <c r="A893" s="2"/>
      <c r="B893" s="3"/>
      <c r="D893" s="3"/>
    </row>
    <row r="894" spans="1:4" ht="14.5">
      <c r="A894" s="2"/>
      <c r="B894" s="3"/>
      <c r="D894" s="3"/>
    </row>
    <row r="895" spans="1:4" ht="14.5">
      <c r="A895" s="2"/>
      <c r="B895" s="3"/>
      <c r="D895" s="3"/>
    </row>
    <row r="896" spans="1:4" ht="14.5">
      <c r="A896" s="2"/>
      <c r="B896" s="3"/>
      <c r="D896" s="3"/>
    </row>
    <row r="897" spans="1:4" ht="14.5">
      <c r="A897" s="2"/>
      <c r="B897" s="3"/>
      <c r="D897" s="3"/>
    </row>
    <row r="898" spans="1:4" ht="14.5">
      <c r="A898" s="2"/>
      <c r="B898" s="3"/>
      <c r="D898" s="3"/>
    </row>
    <row r="899" spans="1:4" ht="14.5">
      <c r="A899" s="2"/>
      <c r="B899" s="3"/>
      <c r="D899" s="3"/>
    </row>
    <row r="900" spans="1:4" ht="14.5">
      <c r="A900" s="2"/>
      <c r="B900" s="3"/>
      <c r="D900" s="3"/>
    </row>
    <row r="901" spans="1:4" ht="14.5">
      <c r="A901" s="2"/>
      <c r="B901" s="3"/>
      <c r="D901" s="3"/>
    </row>
    <row r="902" spans="1:4" ht="14.5">
      <c r="A902" s="2"/>
      <c r="B902" s="3"/>
      <c r="D902" s="3"/>
    </row>
    <row r="903" spans="1:4" ht="14.5">
      <c r="A903" s="2"/>
      <c r="B903" s="3"/>
      <c r="D903" s="3"/>
    </row>
    <row r="904" spans="1:4" ht="14.5">
      <c r="A904" s="2"/>
      <c r="B904" s="3"/>
      <c r="D904" s="3"/>
    </row>
    <row r="905" spans="1:4" ht="14.5">
      <c r="A905" s="2"/>
      <c r="B905" s="3"/>
      <c r="D905" s="3"/>
    </row>
    <row r="906" spans="1:4" ht="14.5">
      <c r="A906" s="2"/>
      <c r="B906" s="3"/>
      <c r="D906" s="3"/>
    </row>
    <row r="907" spans="1:4" ht="14.5">
      <c r="A907" s="2"/>
      <c r="B907" s="3"/>
      <c r="D907" s="3"/>
    </row>
    <row r="908" spans="1:4" ht="14.5">
      <c r="A908" s="2"/>
      <c r="B908" s="3"/>
      <c r="D908" s="3"/>
    </row>
    <row r="909" spans="1:4" ht="14.5">
      <c r="A909" s="2"/>
      <c r="B909" s="3"/>
      <c r="D909" s="3"/>
    </row>
    <row r="910" spans="1:4" ht="14.5">
      <c r="A910" s="2"/>
      <c r="B910" s="3"/>
      <c r="D910" s="3"/>
    </row>
    <row r="911" spans="1:4" ht="14.5">
      <c r="A911" s="2"/>
      <c r="B911" s="3"/>
      <c r="D911" s="3"/>
    </row>
    <row r="912" spans="1:4" ht="14.5">
      <c r="A912" s="2"/>
      <c r="B912" s="3"/>
      <c r="D912" s="3"/>
    </row>
    <row r="913" spans="1:4" ht="14.5">
      <c r="A913" s="2"/>
      <c r="B913" s="3"/>
      <c r="D913" s="3"/>
    </row>
    <row r="914" spans="1:4" ht="14.5">
      <c r="A914" s="2"/>
      <c r="B914" s="3"/>
      <c r="D914" s="3"/>
    </row>
    <row r="915" spans="1:4" ht="14.5">
      <c r="A915" s="2"/>
      <c r="B915" s="3"/>
      <c r="D915" s="3"/>
    </row>
    <row r="916" spans="1:4" ht="14.5">
      <c r="A916" s="2"/>
      <c r="B916" s="3"/>
      <c r="D916" s="3"/>
    </row>
    <row r="917" spans="1:4" ht="14.5">
      <c r="A917" s="2"/>
      <c r="B917" s="3"/>
      <c r="D917" s="3"/>
    </row>
    <row r="918" spans="1:4" ht="14.5">
      <c r="A918" s="2"/>
      <c r="B918" s="3"/>
      <c r="D918" s="3"/>
    </row>
    <row r="919" spans="1:4" ht="14.5">
      <c r="A919" s="2"/>
      <c r="B919" s="3"/>
      <c r="D919" s="3"/>
    </row>
    <row r="920" spans="1:4" ht="14.5">
      <c r="A920" s="2"/>
      <c r="B920" s="3"/>
      <c r="D920" s="3"/>
    </row>
    <row r="921" spans="1:4" ht="14.5">
      <c r="A921" s="2"/>
      <c r="B921" s="3"/>
      <c r="D921" s="3"/>
    </row>
    <row r="922" spans="1:4" ht="14.5">
      <c r="A922" s="2"/>
      <c r="B922" s="3"/>
      <c r="D922" s="3"/>
    </row>
    <row r="923" spans="1:4" ht="14.5">
      <c r="A923" s="2"/>
      <c r="B923" s="3"/>
      <c r="D923" s="3"/>
    </row>
    <row r="924" spans="1:4" ht="14.5">
      <c r="A924" s="2"/>
      <c r="B924" s="3"/>
      <c r="D924" s="3"/>
    </row>
    <row r="925" spans="1:4" ht="14.5">
      <c r="A925" s="2"/>
      <c r="B925" s="3"/>
      <c r="D925" s="3"/>
    </row>
    <row r="926" spans="1:4" ht="14.5">
      <c r="A926" s="2"/>
      <c r="B926" s="3"/>
      <c r="D926" s="3"/>
    </row>
    <row r="927" spans="1:4" ht="14.5">
      <c r="A927" s="2"/>
      <c r="B927" s="3"/>
      <c r="D927" s="3"/>
    </row>
    <row r="928" spans="1:4" ht="14.5">
      <c r="A928" s="2"/>
      <c r="B928" s="3"/>
      <c r="D928" s="3"/>
    </row>
    <row r="929" spans="1:4" ht="14.5">
      <c r="A929" s="2"/>
      <c r="B929" s="3"/>
      <c r="D929" s="3"/>
    </row>
    <row r="930" spans="1:4" ht="14.5">
      <c r="A930" s="2"/>
      <c r="B930" s="3"/>
      <c r="D930" s="3"/>
    </row>
    <row r="931" spans="1:4" ht="14.5">
      <c r="A931" s="2"/>
      <c r="B931" s="3"/>
      <c r="D931" s="3"/>
    </row>
    <row r="932" spans="1:4" ht="14.5">
      <c r="A932" s="2"/>
      <c r="B932" s="3"/>
      <c r="D932" s="3"/>
    </row>
    <row r="933" spans="1:4" ht="14.5">
      <c r="A933" s="2"/>
      <c r="B933" s="3"/>
      <c r="D933" s="3"/>
    </row>
    <row r="934" spans="1:4" ht="14.5">
      <c r="A934" s="2"/>
      <c r="B934" s="3"/>
      <c r="D934" s="3"/>
    </row>
    <row r="935" spans="1:4" ht="14.5">
      <c r="A935" s="2"/>
      <c r="B935" s="3"/>
      <c r="D935" s="3"/>
    </row>
    <row r="936" spans="1:4" ht="14.5">
      <c r="A936" s="2"/>
      <c r="B936" s="3"/>
      <c r="D936" s="3"/>
    </row>
    <row r="937" spans="1:4" ht="14.5">
      <c r="A937" s="2"/>
      <c r="B937" s="3"/>
      <c r="D937" s="3"/>
    </row>
    <row r="938" spans="1:4" ht="14.5">
      <c r="A938" s="2"/>
      <c r="B938" s="3"/>
      <c r="D938" s="3"/>
    </row>
    <row r="939" spans="1:4" ht="14.5">
      <c r="A939" s="2"/>
      <c r="B939" s="3"/>
      <c r="D939" s="3"/>
    </row>
    <row r="940" spans="1:4" ht="14.5">
      <c r="A940" s="2"/>
      <c r="B940" s="3"/>
      <c r="D940" s="3"/>
    </row>
    <row r="941" spans="1:4" ht="14.5">
      <c r="A941" s="2"/>
      <c r="B941" s="3"/>
      <c r="D941" s="3"/>
    </row>
    <row r="942" spans="1:4" ht="14.5">
      <c r="A942" s="2"/>
      <c r="B942" s="3"/>
      <c r="D942" s="3"/>
    </row>
    <row r="943" spans="1:4" ht="14.5">
      <c r="A943" s="2"/>
      <c r="B943" s="3"/>
      <c r="D943" s="3"/>
    </row>
    <row r="944" spans="1:4" ht="14.5">
      <c r="A944" s="2"/>
      <c r="B944" s="3"/>
      <c r="D944" s="3"/>
    </row>
    <row r="945" spans="1:4" ht="14.5">
      <c r="A945" s="2"/>
      <c r="B945" s="3"/>
      <c r="D945" s="3"/>
    </row>
    <row r="946" spans="1:4" ht="14.5">
      <c r="A946" s="2"/>
      <c r="B946" s="3"/>
      <c r="D946" s="3"/>
    </row>
    <row r="947" spans="1:4" ht="14.5">
      <c r="A947" s="2"/>
      <c r="B947" s="3"/>
      <c r="D947" s="3"/>
    </row>
    <row r="948" spans="1:4" ht="14.5">
      <c r="A948" s="2"/>
      <c r="B948" s="3"/>
      <c r="D948" s="3"/>
    </row>
    <row r="949" spans="1:4" ht="14.5">
      <c r="A949" s="2"/>
      <c r="B949" s="3"/>
      <c r="D949" s="3"/>
    </row>
    <row r="950" spans="1:4" ht="14.5">
      <c r="A950" s="2"/>
      <c r="B950" s="3"/>
      <c r="D950" s="3"/>
    </row>
    <row r="951" spans="1:4" ht="14.5">
      <c r="A951" s="2"/>
      <c r="B951" s="3"/>
      <c r="D951" s="3"/>
    </row>
    <row r="952" spans="1:4" ht="14.5">
      <c r="A952" s="2"/>
      <c r="B952" s="3"/>
      <c r="D952" s="3"/>
    </row>
    <row r="953" spans="1:4" ht="14.5">
      <c r="A953" s="2"/>
      <c r="B953" s="3"/>
      <c r="D953" s="3"/>
    </row>
    <row r="954" spans="1:4" ht="14.5">
      <c r="A954" s="2"/>
      <c r="B954" s="3"/>
      <c r="D954" s="3"/>
    </row>
    <row r="955" spans="1:4" ht="14.5">
      <c r="A955" s="2"/>
      <c r="B955" s="3"/>
      <c r="D955" s="3"/>
    </row>
    <row r="956" spans="1:4" ht="14.5">
      <c r="A956" s="2"/>
      <c r="B956" s="3"/>
      <c r="D956" s="3"/>
    </row>
    <row r="957" spans="1:4" ht="14.5">
      <c r="A957" s="2"/>
      <c r="B957" s="3"/>
      <c r="D957" s="3"/>
    </row>
    <row r="958" spans="1:4" ht="14.5">
      <c r="A958" s="2"/>
      <c r="B958" s="3"/>
      <c r="D958" s="3"/>
    </row>
    <row r="959" spans="1:4" ht="14.5">
      <c r="A959" s="2"/>
      <c r="B959" s="3"/>
      <c r="D959" s="3"/>
    </row>
    <row r="960" spans="1:4" ht="14.5">
      <c r="A960" s="2"/>
      <c r="B960" s="3"/>
      <c r="D960" s="3"/>
    </row>
    <row r="961" spans="1:4" ht="14.5">
      <c r="A961" s="2"/>
      <c r="B961" s="3"/>
      <c r="D961" s="3"/>
    </row>
    <row r="962" spans="1:4" ht="14.5">
      <c r="A962" s="2"/>
      <c r="B962" s="3"/>
      <c r="D962" s="3"/>
    </row>
    <row r="963" spans="1:4" ht="14.5">
      <c r="A963" s="2"/>
      <c r="B963" s="3"/>
      <c r="D963" s="3"/>
    </row>
    <row r="964" spans="1:4" ht="14.5">
      <c r="A964" s="2"/>
      <c r="B964" s="3"/>
      <c r="D964" s="3"/>
    </row>
    <row r="965" spans="1:4" ht="14.5">
      <c r="A965" s="2"/>
      <c r="B965" s="3"/>
      <c r="D965" s="3"/>
    </row>
    <row r="966" spans="1:4" ht="14.5">
      <c r="A966" s="2"/>
      <c r="B966" s="3"/>
      <c r="D966" s="3"/>
    </row>
    <row r="967" spans="1:4" ht="14.5">
      <c r="A967" s="2"/>
      <c r="B967" s="3"/>
      <c r="D967" s="3"/>
    </row>
    <row r="968" spans="1:4" ht="14.5">
      <c r="A968" s="2"/>
      <c r="B968" s="3"/>
      <c r="D968" s="3"/>
    </row>
    <row r="969" spans="1:4" ht="14.5">
      <c r="A969" s="2"/>
      <c r="B969" s="3"/>
      <c r="D969" s="3"/>
    </row>
    <row r="970" spans="1:4" ht="14.5">
      <c r="A970" s="2"/>
      <c r="B970" s="3"/>
      <c r="D970" s="3"/>
    </row>
    <row r="971" spans="1:4" ht="14.5">
      <c r="A971" s="2"/>
      <c r="B971" s="3"/>
      <c r="D971" s="3"/>
    </row>
    <row r="972" spans="1:4" ht="14.5">
      <c r="A972" s="2"/>
      <c r="B972" s="3"/>
      <c r="D972" s="3"/>
    </row>
    <row r="973" spans="1:4" ht="14.5">
      <c r="A973" s="2"/>
      <c r="B973" s="3"/>
      <c r="D973" s="3"/>
    </row>
    <row r="974" spans="1:4" ht="14.5">
      <c r="A974" s="2"/>
      <c r="B974" s="3"/>
      <c r="D974" s="3"/>
    </row>
    <row r="975" spans="1:4" ht="14.5">
      <c r="A975" s="2"/>
      <c r="B975" s="3"/>
      <c r="D975" s="3"/>
    </row>
    <row r="976" spans="1:4" ht="14.5">
      <c r="A976" s="2"/>
      <c r="B976" s="3"/>
      <c r="D976" s="3"/>
    </row>
    <row r="977" spans="1:4" ht="14.5">
      <c r="A977" s="2"/>
      <c r="B977" s="3"/>
      <c r="D977" s="3"/>
    </row>
    <row r="978" spans="1:4" ht="14.5">
      <c r="A978" s="2"/>
      <c r="B978" s="3"/>
      <c r="D978" s="3"/>
    </row>
    <row r="979" spans="1:4" ht="14.5">
      <c r="A979" s="2"/>
      <c r="B979" s="3"/>
      <c r="D979" s="3"/>
    </row>
    <row r="980" spans="1:4" ht="14.5">
      <c r="A980" s="2"/>
      <c r="B980" s="3"/>
      <c r="D980" s="3"/>
    </row>
    <row r="981" spans="1:4" ht="14.5">
      <c r="A981" s="2"/>
      <c r="B981" s="3"/>
      <c r="D981" s="3"/>
    </row>
    <row r="982" spans="1:4" ht="14.5">
      <c r="A982" s="2"/>
      <c r="B982" s="3"/>
      <c r="D982" s="3"/>
    </row>
    <row r="983" spans="1:4" ht="14.5">
      <c r="A983" s="2"/>
      <c r="B983" s="3"/>
      <c r="D983" s="3"/>
    </row>
    <row r="984" spans="1:4" ht="14.5">
      <c r="A984" s="2"/>
      <c r="B984" s="3"/>
      <c r="D984" s="3"/>
    </row>
    <row r="985" spans="1:4" ht="14.5">
      <c r="A985" s="2"/>
      <c r="B985" s="3"/>
      <c r="D985" s="3"/>
    </row>
    <row r="986" spans="1:4" ht="14.5">
      <c r="A986" s="2"/>
      <c r="B986" s="3"/>
      <c r="D986" s="3"/>
    </row>
    <row r="987" spans="1:4" ht="14.5">
      <c r="A987" s="2"/>
      <c r="B987" s="3"/>
      <c r="D987" s="3"/>
    </row>
    <row r="988" spans="1:4" ht="14.5">
      <c r="A988" s="2"/>
      <c r="B988" s="3"/>
      <c r="D988" s="3"/>
    </row>
    <row r="989" spans="1:4" ht="14.5">
      <c r="A989" s="2"/>
      <c r="B989" s="3"/>
      <c r="D989" s="3"/>
    </row>
    <row r="990" spans="1:4" ht="14.5">
      <c r="A990" s="2"/>
      <c r="B990" s="3"/>
      <c r="D990" s="3"/>
    </row>
    <row r="991" spans="1:4" ht="14.5">
      <c r="A991" s="2"/>
      <c r="B991" s="3"/>
      <c r="D991" s="3"/>
    </row>
    <row r="992" spans="1:4" ht="14.5">
      <c r="A992" s="2"/>
      <c r="B992" s="3"/>
      <c r="D992" s="3"/>
    </row>
    <row r="993" spans="1:4" ht="14.5">
      <c r="A993" s="2"/>
      <c r="B993" s="3"/>
      <c r="D993" s="3"/>
    </row>
    <row r="994" spans="1:4" ht="14.5">
      <c r="A994" s="2"/>
      <c r="B994" s="3"/>
      <c r="D994" s="3"/>
    </row>
    <row r="995" spans="1:4" ht="14.5">
      <c r="A995" s="2"/>
      <c r="B995" s="3"/>
      <c r="D995" s="3"/>
    </row>
    <row r="996" spans="1:4" ht="14.5">
      <c r="A996" s="2"/>
      <c r="B996" s="3"/>
      <c r="D996" s="3"/>
    </row>
    <row r="997" spans="1:4" ht="14.5">
      <c r="A997" s="2"/>
      <c r="B997" s="3"/>
      <c r="D997" s="3"/>
    </row>
    <row r="998" spans="1:4" ht="14.5">
      <c r="A998" s="2"/>
      <c r="B998" s="3"/>
      <c r="D998" s="3"/>
    </row>
    <row r="999" spans="1:4" ht="14.5">
      <c r="A999" s="2"/>
      <c r="B999" s="3"/>
      <c r="D999" s="3"/>
    </row>
  </sheetData>
  <dataValidations count="3">
    <dataValidation type="list" allowBlank="1" showErrorMessage="1" sqref="B3:B999" xr:uid="{00000000-0002-0000-0300-000000000000}">
      <formula1>"GOTIK,SLAYER,KUTUBARU,ROK DUYUNG,JANGGAN PANJANG,JANGGAN PENDEK"</formula1>
    </dataValidation>
    <dataValidation type="list" allowBlank="1" showErrorMessage="1" sqref="D2:D999" xr:uid="{00000000-0002-0000-0300-000001000000}">
      <formula1>"S,M,L,XL,4,6,8,10,12,14"</formula1>
    </dataValidation>
    <dataValidation type="custom" allowBlank="1" showDropDown="1" sqref="A2 A35 A51 A90:A999" xr:uid="{00000000-0002-0000-0300-000003000000}">
      <formula1>OR(NOT(ISERROR(DATEVALUE(A2))), AND(ISNUMBER(A2), LEFT(CELL("format", A2))="D"))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615325D-6B76-413F-805E-27358A569D4A}">
          <x14:formula1>
            <xm:f>DATA!$A$1:$A$24</xm:f>
          </x14:formula1>
          <xm:sqref>C2:C1048576</xm:sqref>
        </x14:dataValidation>
        <x14:dataValidation type="list" allowBlank="1" showErrorMessage="1" xr:uid="{F660E8B8-8509-491A-B893-85F57D1F656D}">
          <x14:formula1>
            <xm:f>DATA!$B:$B</xm:f>
          </x14:formula1>
          <xm:sqref>B2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outlinePr summaryBelow="0" summaryRight="0"/>
  </sheetPr>
  <dimension ref="A1:E999"/>
  <sheetViews>
    <sheetView workbookViewId="0">
      <selection activeCell="J11" sqref="J11"/>
    </sheetView>
  </sheetViews>
  <sheetFormatPr defaultColWidth="14.453125" defaultRowHeight="15" customHeight="1"/>
  <cols>
    <col min="2" max="2" width="21.26953125" customWidth="1"/>
  </cols>
  <sheetData>
    <row r="1" spans="1:5">
      <c r="A1" s="6" t="s">
        <v>0</v>
      </c>
      <c r="B1" s="6" t="s">
        <v>2</v>
      </c>
      <c r="C1" s="6" t="s">
        <v>41</v>
      </c>
      <c r="D1" s="6" t="s">
        <v>42</v>
      </c>
      <c r="E1" s="6" t="s">
        <v>44</v>
      </c>
    </row>
    <row r="2" spans="1:5">
      <c r="A2" s="48"/>
      <c r="B2" s="7"/>
      <c r="C2" s="8"/>
      <c r="D2" s="7"/>
      <c r="E2" s="9"/>
    </row>
    <row r="3" spans="1:5">
      <c r="A3" s="9"/>
      <c r="B3" s="7"/>
      <c r="C3" s="8"/>
      <c r="D3" s="7"/>
      <c r="E3" s="9"/>
    </row>
    <row r="4" spans="1:5">
      <c r="A4" s="9"/>
      <c r="B4" s="7"/>
      <c r="C4" s="8"/>
      <c r="D4" s="7"/>
      <c r="E4" s="9"/>
    </row>
    <row r="5" spans="1:5">
      <c r="A5" s="9"/>
      <c r="B5" s="7"/>
      <c r="C5" s="8"/>
      <c r="D5" s="7"/>
      <c r="E5" s="9"/>
    </row>
    <row r="6" spans="1:5">
      <c r="A6" s="9"/>
      <c r="B6" s="7"/>
      <c r="C6" s="8"/>
      <c r="D6" s="7"/>
      <c r="E6" s="9"/>
    </row>
    <row r="7" spans="1:5">
      <c r="A7" s="9"/>
      <c r="B7" s="7"/>
      <c r="C7" s="8"/>
      <c r="D7" s="7"/>
      <c r="E7" s="9"/>
    </row>
    <row r="8" spans="1:5">
      <c r="A8" s="9"/>
      <c r="B8" s="7"/>
      <c r="C8" s="8"/>
      <c r="D8" s="7"/>
      <c r="E8" s="9"/>
    </row>
    <row r="9" spans="1:5">
      <c r="A9" s="9"/>
      <c r="B9" s="7"/>
      <c r="C9" s="8"/>
      <c r="D9" s="7"/>
      <c r="E9" s="9"/>
    </row>
    <row r="10" spans="1:5">
      <c r="A10" s="9"/>
      <c r="B10" s="7"/>
      <c r="C10" s="8"/>
      <c r="D10" s="7"/>
      <c r="E10" s="9"/>
    </row>
    <row r="11" spans="1:5">
      <c r="A11" s="9"/>
      <c r="B11" s="7"/>
      <c r="C11" s="8"/>
      <c r="D11" s="7"/>
      <c r="E11" s="9"/>
    </row>
    <row r="12" spans="1:5">
      <c r="A12" s="9"/>
      <c r="B12" s="7"/>
      <c r="C12" s="8"/>
      <c r="D12" s="7"/>
      <c r="E12" s="9"/>
    </row>
    <row r="13" spans="1:5">
      <c r="A13" s="9"/>
      <c r="B13" s="7"/>
      <c r="C13" s="8"/>
      <c r="D13" s="7"/>
      <c r="E13" s="9"/>
    </row>
    <row r="14" spans="1:5">
      <c r="A14" s="9"/>
      <c r="B14" s="7"/>
      <c r="C14" s="8"/>
      <c r="D14" s="7"/>
      <c r="E14" s="9"/>
    </row>
    <row r="15" spans="1:5">
      <c r="A15" s="9"/>
      <c r="B15" s="7"/>
      <c r="C15" s="8"/>
      <c r="D15" s="7"/>
      <c r="E15" s="9"/>
    </row>
    <row r="16" spans="1:5">
      <c r="A16" s="9"/>
      <c r="B16" s="7"/>
      <c r="C16" s="8"/>
      <c r="D16" s="7"/>
      <c r="E16" s="9"/>
    </row>
    <row r="17" spans="1:5">
      <c r="A17" s="9"/>
      <c r="B17" s="7"/>
      <c r="C17" s="8"/>
      <c r="D17" s="7"/>
      <c r="E17" s="9"/>
    </row>
    <row r="18" spans="1:5">
      <c r="A18" s="9"/>
      <c r="B18" s="7"/>
      <c r="C18" s="8"/>
      <c r="D18" s="7"/>
      <c r="E18" s="9"/>
    </row>
    <row r="19" spans="1:5">
      <c r="A19" s="9"/>
      <c r="B19" s="7"/>
      <c r="C19" s="8"/>
      <c r="D19" s="7"/>
      <c r="E19" s="9"/>
    </row>
    <row r="20" spans="1:5">
      <c r="A20" s="9"/>
      <c r="B20" s="7"/>
      <c r="C20" s="8"/>
      <c r="D20" s="7"/>
      <c r="E20" s="9"/>
    </row>
    <row r="21" spans="1:5">
      <c r="A21" s="9"/>
      <c r="B21" s="7"/>
      <c r="C21" s="8"/>
      <c r="D21" s="7"/>
      <c r="E21" s="9"/>
    </row>
    <row r="22" spans="1:5">
      <c r="A22" s="9"/>
      <c r="B22" s="7"/>
      <c r="C22" s="8"/>
      <c r="D22" s="7"/>
      <c r="E22" s="9"/>
    </row>
    <row r="23" spans="1:5">
      <c r="A23" s="9"/>
      <c r="B23" s="7"/>
      <c r="C23" s="8"/>
      <c r="D23" s="7"/>
      <c r="E23" s="9"/>
    </row>
    <row r="24" spans="1:5">
      <c r="A24" s="9"/>
      <c r="B24" s="7"/>
      <c r="C24" s="8"/>
      <c r="D24" s="7"/>
      <c r="E24" s="9"/>
    </row>
    <row r="25" spans="1:5">
      <c r="A25" s="9"/>
      <c r="B25" s="7"/>
      <c r="C25" s="8"/>
      <c r="D25" s="7"/>
      <c r="E25" s="9"/>
    </row>
    <row r="26" spans="1:5">
      <c r="A26" s="9"/>
      <c r="B26" s="7"/>
      <c r="C26" s="8"/>
      <c r="D26" s="7"/>
      <c r="E26" s="9"/>
    </row>
    <row r="27" spans="1:5">
      <c r="A27" s="9"/>
      <c r="B27" s="7"/>
      <c r="C27" s="8"/>
      <c r="D27" s="7"/>
      <c r="E27" s="9"/>
    </row>
    <row r="28" spans="1:5">
      <c r="A28" s="9"/>
      <c r="B28" s="7"/>
      <c r="C28" s="8"/>
      <c r="D28" s="7"/>
      <c r="E28" s="9"/>
    </row>
    <row r="29" spans="1:5">
      <c r="A29" s="9"/>
      <c r="B29" s="7"/>
      <c r="C29" s="8"/>
      <c r="D29" s="7"/>
      <c r="E29" s="9"/>
    </row>
    <row r="30" spans="1:5">
      <c r="A30" s="9"/>
      <c r="B30" s="7"/>
      <c r="C30" s="8"/>
      <c r="D30" s="7"/>
      <c r="E30" s="9"/>
    </row>
    <row r="31" spans="1:5">
      <c r="A31" s="9"/>
      <c r="B31" s="7"/>
      <c r="C31" s="8"/>
      <c r="D31" s="7"/>
      <c r="E31" s="9"/>
    </row>
    <row r="32" spans="1:5">
      <c r="A32" s="9"/>
      <c r="B32" s="7"/>
      <c r="C32" s="8"/>
      <c r="D32" s="7"/>
      <c r="E32" s="9"/>
    </row>
    <row r="33" spans="1:5">
      <c r="A33" s="9"/>
      <c r="B33" s="7"/>
      <c r="C33" s="8"/>
      <c r="D33" s="7"/>
      <c r="E33" s="9"/>
    </row>
    <row r="34" spans="1:5">
      <c r="A34" s="9"/>
      <c r="B34" s="7"/>
      <c r="C34" s="8"/>
      <c r="D34" s="7"/>
      <c r="E34" s="9"/>
    </row>
    <row r="35" spans="1:5">
      <c r="A35" s="114"/>
      <c r="B35" s="3"/>
      <c r="C35" s="4"/>
      <c r="D35" s="3"/>
    </row>
    <row r="36" spans="1:5">
      <c r="A36" s="115"/>
      <c r="B36" s="3"/>
      <c r="C36" s="4"/>
      <c r="D36" s="3"/>
    </row>
    <row r="37" spans="1:5">
      <c r="A37" s="115"/>
      <c r="B37" s="3"/>
      <c r="C37" s="4"/>
      <c r="D37" s="3"/>
    </row>
    <row r="38" spans="1:5">
      <c r="A38" s="115"/>
      <c r="B38" s="3"/>
      <c r="C38" s="4"/>
      <c r="D38" s="3"/>
    </row>
    <row r="39" spans="1:5">
      <c r="A39" s="115"/>
      <c r="B39" s="3"/>
      <c r="C39" s="4"/>
      <c r="D39" s="3"/>
    </row>
    <row r="40" spans="1:5">
      <c r="A40" s="115"/>
      <c r="B40" s="3"/>
      <c r="C40" s="4"/>
      <c r="D40" s="3"/>
    </row>
    <row r="41" spans="1:5">
      <c r="A41" s="115"/>
      <c r="B41" s="3"/>
      <c r="C41" s="4"/>
      <c r="D41" s="3"/>
    </row>
    <row r="42" spans="1:5">
      <c r="A42" s="115"/>
      <c r="B42" s="3"/>
      <c r="C42" s="4"/>
      <c r="D42" s="3"/>
    </row>
    <row r="43" spans="1:5">
      <c r="A43" s="115"/>
      <c r="B43" s="3"/>
      <c r="C43" s="4"/>
      <c r="D43" s="3"/>
    </row>
    <row r="44" spans="1:5">
      <c r="A44" s="115"/>
      <c r="B44" s="3"/>
      <c r="C44" s="4"/>
      <c r="D44" s="3"/>
    </row>
    <row r="45" spans="1:5">
      <c r="A45" s="115"/>
      <c r="B45" s="3"/>
      <c r="C45" s="4"/>
      <c r="D45" s="3"/>
    </row>
    <row r="46" spans="1:5">
      <c r="A46" s="115"/>
      <c r="B46" s="3"/>
      <c r="C46" s="4"/>
      <c r="D46" s="3"/>
    </row>
    <row r="47" spans="1:5">
      <c r="A47" s="115"/>
      <c r="B47" s="3"/>
      <c r="C47" s="4"/>
      <c r="D47" s="3"/>
    </row>
    <row r="48" spans="1:5">
      <c r="A48" s="115"/>
      <c r="B48" s="3"/>
      <c r="C48" s="4"/>
      <c r="D48" s="3"/>
    </row>
    <row r="49" spans="1:4">
      <c r="A49" s="115"/>
      <c r="B49" s="3"/>
      <c r="C49" s="4"/>
      <c r="D49" s="3"/>
    </row>
    <row r="50" spans="1:4">
      <c r="A50" s="115"/>
      <c r="B50" s="3"/>
      <c r="C50" s="4"/>
      <c r="D50" s="3"/>
    </row>
    <row r="51" spans="1:4">
      <c r="A51" s="1"/>
      <c r="B51" s="3"/>
      <c r="C51" s="4"/>
      <c r="D51" s="3"/>
    </row>
    <row r="52" spans="1:4">
      <c r="A52" s="1"/>
      <c r="B52" s="3"/>
      <c r="C52" s="4"/>
      <c r="D52" s="3"/>
    </row>
    <row r="53" spans="1:4">
      <c r="A53" s="1"/>
      <c r="B53" s="3"/>
      <c r="C53" s="4"/>
      <c r="D53" s="3"/>
    </row>
    <row r="54" spans="1:4">
      <c r="A54" s="1"/>
      <c r="B54" s="3"/>
      <c r="C54" s="4"/>
      <c r="D54" s="3"/>
    </row>
    <row r="55" spans="1:4">
      <c r="A55" s="1"/>
      <c r="B55" s="3"/>
      <c r="C55" s="4"/>
      <c r="D55" s="3"/>
    </row>
    <row r="56" spans="1:4">
      <c r="A56" s="1"/>
      <c r="B56" s="3"/>
      <c r="C56" s="4"/>
      <c r="D56" s="3"/>
    </row>
    <row r="57" spans="1:4">
      <c r="A57" s="1"/>
      <c r="B57" s="3"/>
      <c r="C57" s="4"/>
      <c r="D57" s="3"/>
    </row>
    <row r="58" spans="1:4">
      <c r="A58" s="1"/>
      <c r="B58" s="3"/>
      <c r="C58" s="4"/>
      <c r="D58" s="3"/>
    </row>
    <row r="59" spans="1:4">
      <c r="A59" s="1"/>
      <c r="B59" s="3"/>
      <c r="C59" s="4"/>
      <c r="D59" s="3"/>
    </row>
    <row r="60" spans="1:4">
      <c r="A60" s="1"/>
      <c r="B60" s="3"/>
      <c r="C60" s="4"/>
      <c r="D60" s="3"/>
    </row>
    <row r="61" spans="1:4">
      <c r="A61" s="1"/>
      <c r="B61" s="3"/>
      <c r="C61" s="4"/>
      <c r="D61" s="3"/>
    </row>
    <row r="62" spans="1:4">
      <c r="A62" s="1"/>
      <c r="B62" s="3"/>
      <c r="C62" s="4"/>
      <c r="D62" s="3"/>
    </row>
    <row r="63" spans="1:4">
      <c r="A63" s="1"/>
      <c r="B63" s="3"/>
      <c r="C63" s="4"/>
      <c r="D63" s="3"/>
    </row>
    <row r="64" spans="1:4">
      <c r="A64" s="1"/>
      <c r="B64" s="3"/>
      <c r="C64" s="4"/>
      <c r="D64" s="3"/>
    </row>
    <row r="65" spans="1:4">
      <c r="A65" s="1"/>
      <c r="B65" s="3"/>
      <c r="C65" s="4"/>
      <c r="D65" s="3"/>
    </row>
    <row r="66" spans="1:4">
      <c r="A66" s="1"/>
      <c r="B66" s="3"/>
      <c r="C66" s="4"/>
      <c r="D66" s="3"/>
    </row>
    <row r="67" spans="1:4">
      <c r="A67" s="1"/>
      <c r="B67" s="3"/>
      <c r="C67" s="4"/>
      <c r="D67" s="3"/>
    </row>
    <row r="68" spans="1:4">
      <c r="A68" s="1"/>
      <c r="B68" s="3"/>
      <c r="C68" s="4"/>
      <c r="D68" s="3"/>
    </row>
    <row r="69" spans="1:4">
      <c r="A69" s="1"/>
      <c r="B69" s="3"/>
      <c r="C69" s="4"/>
      <c r="D69" s="3"/>
    </row>
    <row r="70" spans="1:4">
      <c r="A70" s="1"/>
      <c r="B70" s="3"/>
      <c r="C70" s="4"/>
      <c r="D70" s="3"/>
    </row>
    <row r="71" spans="1:4">
      <c r="A71" s="1"/>
      <c r="B71" s="3"/>
      <c r="C71" s="4"/>
      <c r="D71" s="3"/>
    </row>
    <row r="72" spans="1:4">
      <c r="A72" s="1"/>
      <c r="B72" s="3"/>
      <c r="C72" s="4"/>
      <c r="D72" s="3"/>
    </row>
    <row r="73" spans="1:4">
      <c r="A73" s="1"/>
      <c r="B73" s="3"/>
      <c r="C73" s="4"/>
      <c r="D73" s="3"/>
    </row>
    <row r="74" spans="1:4">
      <c r="A74" s="1"/>
      <c r="B74" s="3"/>
      <c r="C74" s="4"/>
      <c r="D74" s="3"/>
    </row>
    <row r="75" spans="1:4">
      <c r="A75" s="1"/>
      <c r="B75" s="3"/>
      <c r="C75" s="4"/>
      <c r="D75" s="3"/>
    </row>
    <row r="76" spans="1:4">
      <c r="A76" s="1"/>
      <c r="B76" s="3"/>
      <c r="C76" s="4"/>
      <c r="D76" s="3"/>
    </row>
    <row r="77" spans="1:4">
      <c r="A77" s="1"/>
      <c r="B77" s="3"/>
      <c r="C77" s="4"/>
      <c r="D77" s="3"/>
    </row>
    <row r="78" spans="1:4">
      <c r="A78" s="1"/>
      <c r="B78" s="3"/>
      <c r="C78" s="4"/>
      <c r="D78" s="3"/>
    </row>
    <row r="79" spans="1:4">
      <c r="A79" s="1"/>
      <c r="B79" s="3"/>
      <c r="C79" s="4"/>
      <c r="D79" s="3"/>
    </row>
    <row r="80" spans="1:4">
      <c r="A80" s="1"/>
      <c r="B80" s="3"/>
      <c r="C80" s="4"/>
      <c r="D80" s="3"/>
    </row>
    <row r="81" spans="1:4">
      <c r="A81" s="1"/>
      <c r="B81" s="3"/>
      <c r="C81" s="4"/>
      <c r="D81" s="3"/>
    </row>
    <row r="82" spans="1:4">
      <c r="A82" s="1"/>
      <c r="B82" s="3"/>
      <c r="C82" s="4"/>
      <c r="D82" s="3"/>
    </row>
    <row r="83" spans="1:4">
      <c r="A83" s="1"/>
      <c r="B83" s="3"/>
      <c r="C83" s="4"/>
      <c r="D83" s="3"/>
    </row>
    <row r="84" spans="1:4">
      <c r="A84" s="1"/>
      <c r="B84" s="3"/>
      <c r="C84" s="4"/>
      <c r="D84" s="3"/>
    </row>
    <row r="85" spans="1:4">
      <c r="A85" s="1"/>
      <c r="B85" s="3"/>
      <c r="C85" s="4"/>
      <c r="D85" s="3"/>
    </row>
    <row r="86" spans="1:4">
      <c r="A86" s="1"/>
      <c r="B86" s="3"/>
      <c r="C86" s="4"/>
      <c r="D86" s="3"/>
    </row>
    <row r="87" spans="1:4">
      <c r="A87" s="1"/>
      <c r="B87" s="3"/>
      <c r="C87" s="4"/>
      <c r="D87" s="3"/>
    </row>
    <row r="88" spans="1:4">
      <c r="A88" s="1"/>
      <c r="B88" s="3"/>
      <c r="C88" s="4"/>
      <c r="D88" s="3"/>
    </row>
    <row r="89" spans="1:4">
      <c r="A89" s="1"/>
      <c r="B89" s="3"/>
      <c r="C89" s="4"/>
      <c r="D89" s="3"/>
    </row>
    <row r="90" spans="1:4">
      <c r="A90" s="1"/>
      <c r="B90" s="3"/>
      <c r="C90" s="4"/>
      <c r="D90" s="3"/>
    </row>
    <row r="91" spans="1:4">
      <c r="A91" s="1"/>
      <c r="B91" s="3"/>
      <c r="C91" s="4"/>
      <c r="D91" s="3"/>
    </row>
    <row r="92" spans="1:4">
      <c r="A92" s="1"/>
      <c r="B92" s="3"/>
      <c r="C92" s="4"/>
      <c r="D92" s="3"/>
    </row>
    <row r="93" spans="1:4">
      <c r="A93" s="1"/>
      <c r="B93" s="3"/>
      <c r="C93" s="4"/>
      <c r="D93" s="3"/>
    </row>
    <row r="94" spans="1:4">
      <c r="A94" s="1"/>
      <c r="B94" s="3"/>
      <c r="C94" s="4"/>
      <c r="D94" s="3"/>
    </row>
    <row r="95" spans="1:4">
      <c r="A95" s="1"/>
      <c r="B95" s="3"/>
      <c r="C95" s="4"/>
      <c r="D95" s="3"/>
    </row>
    <row r="96" spans="1:4">
      <c r="A96" s="1"/>
      <c r="B96" s="3"/>
      <c r="C96" s="4"/>
      <c r="D96" s="3"/>
    </row>
    <row r="97" spans="1:4">
      <c r="A97" s="1"/>
      <c r="B97" s="3"/>
      <c r="C97" s="4"/>
      <c r="D97" s="3"/>
    </row>
    <row r="98" spans="1:4">
      <c r="A98" s="1"/>
      <c r="B98" s="3"/>
      <c r="C98" s="4"/>
      <c r="D98" s="3"/>
    </row>
    <row r="99" spans="1:4">
      <c r="A99" s="1"/>
      <c r="B99" s="3"/>
      <c r="C99" s="4"/>
      <c r="D99" s="3"/>
    </row>
    <row r="100" spans="1:4">
      <c r="A100" s="1"/>
      <c r="B100" s="3"/>
      <c r="C100" s="4"/>
      <c r="D100" s="3"/>
    </row>
    <row r="101" spans="1:4">
      <c r="A101" s="1"/>
      <c r="B101" s="3"/>
      <c r="C101" s="4"/>
      <c r="D101" s="3"/>
    </row>
    <row r="102" spans="1:4">
      <c r="A102" s="1"/>
      <c r="B102" s="3"/>
      <c r="C102" s="4"/>
      <c r="D102" s="3"/>
    </row>
    <row r="103" spans="1:4">
      <c r="A103" s="1"/>
      <c r="B103" s="3"/>
      <c r="C103" s="4"/>
      <c r="D103" s="3"/>
    </row>
    <row r="104" spans="1:4">
      <c r="A104" s="1"/>
      <c r="B104" s="3"/>
      <c r="C104" s="4"/>
      <c r="D104" s="3"/>
    </row>
    <row r="105" spans="1:4">
      <c r="A105" s="1"/>
      <c r="B105" s="3"/>
      <c r="C105" s="4"/>
      <c r="D105" s="3"/>
    </row>
    <row r="106" spans="1:4">
      <c r="A106" s="1"/>
      <c r="B106" s="3"/>
      <c r="C106" s="4"/>
      <c r="D106" s="3"/>
    </row>
    <row r="107" spans="1:4">
      <c r="A107" s="1"/>
      <c r="B107" s="3"/>
      <c r="C107" s="4"/>
      <c r="D107" s="3"/>
    </row>
    <row r="108" spans="1:4">
      <c r="A108" s="1"/>
      <c r="B108" s="3"/>
      <c r="C108" s="4"/>
      <c r="D108" s="3"/>
    </row>
    <row r="109" spans="1:4">
      <c r="A109" s="1"/>
      <c r="B109" s="3"/>
      <c r="C109" s="4"/>
      <c r="D109" s="3"/>
    </row>
    <row r="110" spans="1:4">
      <c r="A110" s="1"/>
      <c r="B110" s="3"/>
      <c r="C110" s="4"/>
      <c r="D110" s="3"/>
    </row>
    <row r="111" spans="1:4">
      <c r="A111" s="1"/>
      <c r="B111" s="3"/>
      <c r="C111" s="4"/>
      <c r="D111" s="3"/>
    </row>
    <row r="112" spans="1:4">
      <c r="A112" s="1"/>
      <c r="B112" s="3"/>
      <c r="C112" s="4"/>
      <c r="D112" s="3"/>
    </row>
    <row r="113" spans="1:4">
      <c r="A113" s="1"/>
      <c r="B113" s="3"/>
      <c r="C113" s="4"/>
      <c r="D113" s="3"/>
    </row>
    <row r="114" spans="1:4">
      <c r="A114" s="1"/>
      <c r="B114" s="3"/>
      <c r="C114" s="4"/>
      <c r="D114" s="3"/>
    </row>
    <row r="115" spans="1:4">
      <c r="A115" s="1"/>
      <c r="B115" s="3"/>
      <c r="C115" s="4"/>
      <c r="D115" s="3"/>
    </row>
    <row r="116" spans="1:4">
      <c r="A116" s="1"/>
      <c r="B116" s="3"/>
      <c r="C116" s="4"/>
      <c r="D116" s="3"/>
    </row>
    <row r="117" spans="1:4">
      <c r="A117" s="1"/>
      <c r="B117" s="3"/>
      <c r="C117" s="4"/>
      <c r="D117" s="3"/>
    </row>
    <row r="118" spans="1:4">
      <c r="A118" s="1"/>
      <c r="B118" s="3"/>
      <c r="C118" s="4"/>
      <c r="D118" s="3"/>
    </row>
    <row r="119" spans="1:4">
      <c r="A119" s="1"/>
      <c r="B119" s="3"/>
      <c r="C119" s="4"/>
      <c r="D119" s="3"/>
    </row>
    <row r="120" spans="1:4">
      <c r="A120" s="1"/>
      <c r="B120" s="3"/>
      <c r="C120" s="4"/>
      <c r="D120" s="3"/>
    </row>
    <row r="121" spans="1:4">
      <c r="A121" s="1"/>
      <c r="B121" s="3"/>
      <c r="C121" s="4"/>
      <c r="D121" s="3"/>
    </row>
    <row r="122" spans="1:4">
      <c r="A122" s="1"/>
      <c r="B122" s="3"/>
      <c r="C122" s="4"/>
      <c r="D122" s="3"/>
    </row>
    <row r="123" spans="1:4">
      <c r="A123" s="1"/>
      <c r="B123" s="3"/>
      <c r="C123" s="4"/>
      <c r="D123" s="3"/>
    </row>
    <row r="124" spans="1:4">
      <c r="A124" s="1"/>
      <c r="B124" s="3"/>
      <c r="C124" s="4"/>
      <c r="D124" s="3"/>
    </row>
    <row r="125" spans="1:4">
      <c r="A125" s="1"/>
      <c r="B125" s="3"/>
      <c r="C125" s="4"/>
      <c r="D125" s="3"/>
    </row>
    <row r="126" spans="1:4">
      <c r="A126" s="1"/>
      <c r="B126" s="3"/>
      <c r="C126" s="4"/>
      <c r="D126" s="3"/>
    </row>
    <row r="127" spans="1:4">
      <c r="A127" s="1"/>
      <c r="B127" s="3"/>
      <c r="C127" s="4"/>
      <c r="D127" s="3"/>
    </row>
    <row r="128" spans="1:4">
      <c r="A128" s="1"/>
      <c r="B128" s="3"/>
      <c r="C128" s="4"/>
      <c r="D128" s="3"/>
    </row>
    <row r="129" spans="1:4">
      <c r="A129" s="1"/>
      <c r="B129" s="3"/>
      <c r="C129" s="4"/>
      <c r="D129" s="3"/>
    </row>
    <row r="130" spans="1:4">
      <c r="A130" s="1"/>
      <c r="B130" s="3"/>
      <c r="C130" s="4"/>
      <c r="D130" s="3"/>
    </row>
    <row r="131" spans="1:4">
      <c r="A131" s="1"/>
      <c r="B131" s="3"/>
      <c r="C131" s="4"/>
      <c r="D131" s="3"/>
    </row>
    <row r="132" spans="1:4">
      <c r="A132" s="1"/>
      <c r="B132" s="3"/>
      <c r="C132" s="4"/>
      <c r="D132" s="3"/>
    </row>
    <row r="133" spans="1:4">
      <c r="A133" s="1"/>
      <c r="B133" s="3"/>
      <c r="C133" s="4"/>
      <c r="D133" s="3"/>
    </row>
    <row r="134" spans="1:4">
      <c r="A134" s="1"/>
      <c r="B134" s="3"/>
      <c r="C134" s="4"/>
      <c r="D134" s="3"/>
    </row>
    <row r="135" spans="1:4">
      <c r="A135" s="1"/>
      <c r="B135" s="3"/>
      <c r="C135" s="4"/>
      <c r="D135" s="3"/>
    </row>
    <row r="136" spans="1:4">
      <c r="A136" s="1"/>
      <c r="B136" s="3"/>
      <c r="C136" s="4"/>
      <c r="D136" s="3"/>
    </row>
    <row r="137" spans="1:4">
      <c r="A137" s="1"/>
      <c r="B137" s="3"/>
      <c r="C137" s="4"/>
      <c r="D137" s="3"/>
    </row>
    <row r="138" spans="1:4">
      <c r="A138" s="1"/>
      <c r="B138" s="3"/>
      <c r="C138" s="4"/>
      <c r="D138" s="3"/>
    </row>
    <row r="139" spans="1:4">
      <c r="A139" s="1"/>
      <c r="B139" s="3"/>
      <c r="C139" s="4"/>
      <c r="D139" s="3"/>
    </row>
    <row r="140" spans="1:4">
      <c r="A140" s="1"/>
      <c r="B140" s="3"/>
      <c r="C140" s="4"/>
      <c r="D140" s="3"/>
    </row>
    <row r="141" spans="1:4">
      <c r="A141" s="1"/>
      <c r="B141" s="3"/>
      <c r="C141" s="4"/>
      <c r="D141" s="3"/>
    </row>
    <row r="142" spans="1:4">
      <c r="A142" s="1"/>
      <c r="B142" s="3"/>
      <c r="C142" s="4"/>
      <c r="D142" s="3"/>
    </row>
    <row r="143" spans="1:4">
      <c r="A143" s="1"/>
      <c r="B143" s="3"/>
      <c r="C143" s="4"/>
      <c r="D143" s="3"/>
    </row>
    <row r="144" spans="1:4">
      <c r="A144" s="1"/>
      <c r="B144" s="3"/>
      <c r="C144" s="4"/>
      <c r="D144" s="3"/>
    </row>
    <row r="145" spans="1:4">
      <c r="A145" s="1"/>
      <c r="B145" s="3"/>
      <c r="C145" s="4"/>
      <c r="D145" s="3"/>
    </row>
    <row r="146" spans="1:4">
      <c r="A146" s="1"/>
      <c r="B146" s="3"/>
      <c r="C146" s="4"/>
      <c r="D146" s="3"/>
    </row>
    <row r="147" spans="1:4">
      <c r="A147" s="1"/>
      <c r="B147" s="3"/>
      <c r="C147" s="4"/>
      <c r="D147" s="3"/>
    </row>
    <row r="148" spans="1:4">
      <c r="A148" s="1"/>
      <c r="B148" s="3"/>
      <c r="C148" s="4"/>
      <c r="D148" s="3"/>
    </row>
    <row r="149" spans="1:4">
      <c r="A149" s="1"/>
      <c r="B149" s="3"/>
      <c r="C149" s="4"/>
      <c r="D149" s="3"/>
    </row>
    <row r="150" spans="1:4">
      <c r="A150" s="1"/>
      <c r="B150" s="3"/>
      <c r="C150" s="4"/>
      <c r="D150" s="3"/>
    </row>
    <row r="151" spans="1:4">
      <c r="A151" s="1"/>
      <c r="B151" s="3"/>
      <c r="C151" s="4"/>
      <c r="D151" s="3"/>
    </row>
    <row r="152" spans="1:4">
      <c r="A152" s="1"/>
      <c r="B152" s="3"/>
      <c r="C152" s="4"/>
      <c r="D152" s="3"/>
    </row>
    <row r="153" spans="1:4">
      <c r="A153" s="1"/>
      <c r="B153" s="3"/>
      <c r="C153" s="4"/>
      <c r="D153" s="3"/>
    </row>
    <row r="154" spans="1:4">
      <c r="A154" s="1"/>
      <c r="B154" s="3"/>
      <c r="C154" s="4"/>
      <c r="D154" s="3"/>
    </row>
    <row r="155" spans="1:4">
      <c r="A155" s="1"/>
      <c r="B155" s="3"/>
      <c r="C155" s="4"/>
      <c r="D155" s="3"/>
    </row>
    <row r="156" spans="1:4">
      <c r="A156" s="1"/>
      <c r="B156" s="3"/>
      <c r="C156" s="4"/>
      <c r="D156" s="3"/>
    </row>
    <row r="157" spans="1:4">
      <c r="A157" s="1"/>
      <c r="B157" s="3"/>
      <c r="C157" s="4"/>
      <c r="D157" s="3"/>
    </row>
    <row r="158" spans="1:4">
      <c r="A158" s="1"/>
      <c r="B158" s="3"/>
      <c r="C158" s="4"/>
      <c r="D158" s="3"/>
    </row>
    <row r="159" spans="1:4">
      <c r="A159" s="1"/>
      <c r="B159" s="3"/>
      <c r="C159" s="4"/>
      <c r="D159" s="3"/>
    </row>
    <row r="160" spans="1:4">
      <c r="A160" s="1"/>
      <c r="B160" s="3"/>
      <c r="C160" s="4"/>
      <c r="D160" s="3"/>
    </row>
    <row r="161" spans="1:4">
      <c r="A161" s="1"/>
      <c r="B161" s="3"/>
      <c r="C161" s="4"/>
      <c r="D161" s="3"/>
    </row>
    <row r="162" spans="1:4">
      <c r="A162" s="1"/>
      <c r="B162" s="3"/>
      <c r="C162" s="4"/>
      <c r="D162" s="3"/>
    </row>
    <row r="163" spans="1:4">
      <c r="A163" s="1"/>
      <c r="B163" s="3"/>
      <c r="C163" s="4"/>
      <c r="D163" s="3"/>
    </row>
    <row r="164" spans="1:4">
      <c r="A164" s="1"/>
      <c r="B164" s="3"/>
      <c r="C164" s="4"/>
      <c r="D164" s="3"/>
    </row>
    <row r="165" spans="1:4">
      <c r="A165" s="1"/>
      <c r="B165" s="3"/>
      <c r="C165" s="4"/>
      <c r="D165" s="3"/>
    </row>
    <row r="166" spans="1:4">
      <c r="A166" s="1"/>
      <c r="B166" s="3"/>
      <c r="C166" s="4"/>
      <c r="D166" s="3"/>
    </row>
    <row r="167" spans="1:4">
      <c r="A167" s="1"/>
      <c r="B167" s="3"/>
      <c r="C167" s="4"/>
      <c r="D167" s="3"/>
    </row>
    <row r="168" spans="1:4">
      <c r="A168" s="1"/>
      <c r="B168" s="3"/>
      <c r="C168" s="4"/>
      <c r="D168" s="3"/>
    </row>
    <row r="169" spans="1:4">
      <c r="A169" s="1"/>
      <c r="B169" s="3"/>
      <c r="C169" s="4"/>
      <c r="D169" s="3"/>
    </row>
    <row r="170" spans="1:4">
      <c r="A170" s="1"/>
      <c r="B170" s="3"/>
      <c r="C170" s="4"/>
      <c r="D170" s="3"/>
    </row>
    <row r="171" spans="1:4">
      <c r="A171" s="1"/>
      <c r="B171" s="3"/>
      <c r="C171" s="4"/>
      <c r="D171" s="3"/>
    </row>
    <row r="172" spans="1:4">
      <c r="A172" s="1"/>
      <c r="B172" s="3"/>
      <c r="C172" s="4"/>
      <c r="D172" s="3"/>
    </row>
    <row r="173" spans="1:4">
      <c r="A173" s="1"/>
      <c r="B173" s="3"/>
      <c r="C173" s="4"/>
      <c r="D173" s="3"/>
    </row>
    <row r="174" spans="1:4">
      <c r="A174" s="1"/>
      <c r="B174" s="3"/>
      <c r="C174" s="4"/>
      <c r="D174" s="3"/>
    </row>
    <row r="175" spans="1:4">
      <c r="A175" s="1"/>
      <c r="B175" s="3"/>
      <c r="C175" s="4"/>
      <c r="D175" s="3"/>
    </row>
    <row r="176" spans="1:4">
      <c r="A176" s="1"/>
      <c r="B176" s="3"/>
      <c r="C176" s="4"/>
      <c r="D176" s="3"/>
    </row>
    <row r="177" spans="1:4">
      <c r="A177" s="1"/>
      <c r="B177" s="3"/>
      <c r="C177" s="4"/>
      <c r="D177" s="3"/>
    </row>
    <row r="178" spans="1:4">
      <c r="A178" s="1"/>
      <c r="B178" s="3"/>
      <c r="C178" s="4"/>
      <c r="D178" s="3"/>
    </row>
    <row r="179" spans="1:4">
      <c r="A179" s="1"/>
      <c r="B179" s="3"/>
      <c r="C179" s="4"/>
      <c r="D179" s="3"/>
    </row>
    <row r="180" spans="1:4">
      <c r="A180" s="1"/>
      <c r="B180" s="3"/>
      <c r="C180" s="4"/>
      <c r="D180" s="3"/>
    </row>
    <row r="181" spans="1:4">
      <c r="A181" s="1"/>
      <c r="B181" s="3"/>
      <c r="C181" s="4"/>
      <c r="D181" s="3"/>
    </row>
    <row r="182" spans="1:4">
      <c r="A182" s="1"/>
      <c r="B182" s="3"/>
      <c r="C182" s="4"/>
      <c r="D182" s="3"/>
    </row>
    <row r="183" spans="1:4">
      <c r="A183" s="1"/>
      <c r="B183" s="3"/>
      <c r="C183" s="4"/>
      <c r="D183" s="3"/>
    </row>
    <row r="184" spans="1:4">
      <c r="A184" s="1"/>
      <c r="B184" s="3"/>
      <c r="C184" s="4"/>
      <c r="D184" s="3"/>
    </row>
    <row r="185" spans="1:4">
      <c r="A185" s="1"/>
      <c r="B185" s="3"/>
      <c r="C185" s="4"/>
      <c r="D185" s="3"/>
    </row>
    <row r="186" spans="1:4">
      <c r="A186" s="1"/>
      <c r="B186" s="3"/>
      <c r="C186" s="4"/>
      <c r="D186" s="3"/>
    </row>
    <row r="187" spans="1:4">
      <c r="A187" s="1"/>
      <c r="B187" s="3"/>
      <c r="C187" s="4"/>
      <c r="D187" s="3"/>
    </row>
    <row r="188" spans="1:4">
      <c r="A188" s="1"/>
      <c r="B188" s="3"/>
      <c r="C188" s="4"/>
      <c r="D188" s="3"/>
    </row>
    <row r="189" spans="1:4">
      <c r="A189" s="1"/>
      <c r="B189" s="3"/>
      <c r="C189" s="4"/>
      <c r="D189" s="3"/>
    </row>
    <row r="190" spans="1:4">
      <c r="A190" s="1"/>
      <c r="B190" s="3"/>
      <c r="C190" s="4"/>
      <c r="D190" s="3"/>
    </row>
    <row r="191" spans="1:4">
      <c r="A191" s="1"/>
      <c r="B191" s="3"/>
      <c r="C191" s="4"/>
      <c r="D191" s="3"/>
    </row>
    <row r="192" spans="1:4">
      <c r="A192" s="1"/>
      <c r="B192" s="3"/>
      <c r="C192" s="4"/>
      <c r="D192" s="3"/>
    </row>
    <row r="193" spans="1:4">
      <c r="A193" s="1"/>
      <c r="B193" s="3"/>
      <c r="C193" s="4"/>
      <c r="D193" s="3"/>
    </row>
    <row r="194" spans="1:4">
      <c r="A194" s="1"/>
      <c r="B194" s="3"/>
      <c r="C194" s="4"/>
      <c r="D194" s="3"/>
    </row>
    <row r="195" spans="1:4">
      <c r="A195" s="1"/>
      <c r="B195" s="3"/>
      <c r="C195" s="4"/>
      <c r="D195" s="3"/>
    </row>
    <row r="196" spans="1:4">
      <c r="A196" s="1"/>
      <c r="B196" s="3"/>
      <c r="C196" s="4"/>
      <c r="D196" s="3"/>
    </row>
    <row r="197" spans="1:4">
      <c r="A197" s="1"/>
      <c r="B197" s="3"/>
      <c r="C197" s="4"/>
      <c r="D197" s="3"/>
    </row>
    <row r="198" spans="1:4">
      <c r="A198" s="1"/>
      <c r="B198" s="3"/>
      <c r="C198" s="4"/>
      <c r="D198" s="3"/>
    </row>
    <row r="199" spans="1:4">
      <c r="A199" s="1"/>
      <c r="B199" s="3"/>
      <c r="C199" s="4"/>
      <c r="D199" s="3"/>
    </row>
    <row r="200" spans="1:4">
      <c r="A200" s="1"/>
      <c r="B200" s="3"/>
      <c r="C200" s="4"/>
      <c r="D200" s="3"/>
    </row>
    <row r="201" spans="1:4">
      <c r="A201" s="1"/>
      <c r="B201" s="3"/>
      <c r="C201" s="4"/>
      <c r="D201" s="3"/>
    </row>
    <row r="202" spans="1:4">
      <c r="A202" s="1"/>
      <c r="B202" s="3"/>
      <c r="C202" s="4"/>
      <c r="D202" s="3"/>
    </row>
    <row r="203" spans="1:4">
      <c r="A203" s="1"/>
      <c r="B203" s="3"/>
      <c r="C203" s="4"/>
      <c r="D203" s="3"/>
    </row>
    <row r="204" spans="1:4">
      <c r="A204" s="1"/>
      <c r="B204" s="3"/>
      <c r="C204" s="4"/>
      <c r="D204" s="3"/>
    </row>
    <row r="205" spans="1:4">
      <c r="A205" s="1"/>
      <c r="B205" s="3"/>
      <c r="C205" s="4"/>
      <c r="D205" s="3"/>
    </row>
    <row r="206" spans="1:4">
      <c r="A206" s="1"/>
      <c r="B206" s="3"/>
      <c r="C206" s="4"/>
      <c r="D206" s="3"/>
    </row>
    <row r="207" spans="1:4">
      <c r="A207" s="1"/>
      <c r="B207" s="3"/>
      <c r="C207" s="4"/>
      <c r="D207" s="3"/>
    </row>
    <row r="208" spans="1:4">
      <c r="A208" s="1"/>
      <c r="B208" s="3"/>
      <c r="C208" s="4"/>
      <c r="D208" s="3"/>
    </row>
    <row r="209" spans="1:4">
      <c r="A209" s="1"/>
      <c r="B209" s="3"/>
      <c r="C209" s="4"/>
      <c r="D209" s="3"/>
    </row>
    <row r="210" spans="1:4">
      <c r="A210" s="1"/>
      <c r="B210" s="3"/>
      <c r="C210" s="4"/>
      <c r="D210" s="3"/>
    </row>
    <row r="211" spans="1:4">
      <c r="A211" s="1"/>
      <c r="B211" s="3"/>
      <c r="C211" s="4"/>
      <c r="D211" s="3"/>
    </row>
    <row r="212" spans="1:4">
      <c r="A212" s="1"/>
      <c r="B212" s="3"/>
      <c r="C212" s="4"/>
      <c r="D212" s="3"/>
    </row>
    <row r="213" spans="1:4">
      <c r="A213" s="1"/>
      <c r="B213" s="3"/>
      <c r="C213" s="4"/>
      <c r="D213" s="3"/>
    </row>
    <row r="214" spans="1:4">
      <c r="A214" s="1"/>
      <c r="B214" s="3"/>
      <c r="C214" s="4"/>
      <c r="D214" s="3"/>
    </row>
    <row r="215" spans="1:4">
      <c r="A215" s="1"/>
      <c r="B215" s="3"/>
      <c r="C215" s="4"/>
      <c r="D215" s="3"/>
    </row>
    <row r="216" spans="1:4">
      <c r="A216" s="1"/>
      <c r="B216" s="3"/>
      <c r="C216" s="4"/>
      <c r="D216" s="3"/>
    </row>
    <row r="217" spans="1:4">
      <c r="A217" s="1"/>
      <c r="B217" s="3"/>
      <c r="C217" s="4"/>
      <c r="D217" s="3"/>
    </row>
    <row r="218" spans="1:4">
      <c r="A218" s="1"/>
      <c r="B218" s="3"/>
      <c r="C218" s="4"/>
      <c r="D218" s="3"/>
    </row>
    <row r="219" spans="1:4">
      <c r="A219" s="1"/>
      <c r="B219" s="3"/>
      <c r="C219" s="4"/>
      <c r="D219" s="3"/>
    </row>
    <row r="220" spans="1:4">
      <c r="A220" s="1"/>
      <c r="B220" s="3"/>
      <c r="C220" s="4"/>
      <c r="D220" s="3"/>
    </row>
    <row r="221" spans="1:4">
      <c r="A221" s="1"/>
      <c r="B221" s="3"/>
      <c r="C221" s="4"/>
      <c r="D221" s="3"/>
    </row>
    <row r="222" spans="1:4">
      <c r="A222" s="1"/>
      <c r="B222" s="3"/>
      <c r="C222" s="4"/>
      <c r="D222" s="3"/>
    </row>
    <row r="223" spans="1:4">
      <c r="A223" s="1"/>
      <c r="B223" s="3"/>
      <c r="C223" s="4"/>
      <c r="D223" s="3"/>
    </row>
    <row r="224" spans="1:4">
      <c r="A224" s="1"/>
      <c r="B224" s="3"/>
      <c r="C224" s="4"/>
      <c r="D224" s="3"/>
    </row>
    <row r="225" spans="1:4">
      <c r="A225" s="1"/>
      <c r="B225" s="3"/>
      <c r="C225" s="4"/>
      <c r="D225" s="3"/>
    </row>
    <row r="226" spans="1:4">
      <c r="A226" s="1"/>
      <c r="B226" s="3"/>
      <c r="C226" s="4"/>
      <c r="D226" s="3"/>
    </row>
    <row r="227" spans="1:4">
      <c r="A227" s="1"/>
      <c r="B227" s="3"/>
      <c r="C227" s="4"/>
      <c r="D227" s="3"/>
    </row>
    <row r="228" spans="1:4">
      <c r="A228" s="1"/>
      <c r="B228" s="3"/>
      <c r="C228" s="4"/>
      <c r="D228" s="3"/>
    </row>
    <row r="229" spans="1:4">
      <c r="A229" s="1"/>
      <c r="B229" s="3"/>
      <c r="C229" s="4"/>
      <c r="D229" s="3"/>
    </row>
    <row r="230" spans="1:4">
      <c r="A230" s="1"/>
      <c r="B230" s="3"/>
      <c r="C230" s="4"/>
      <c r="D230" s="3"/>
    </row>
    <row r="231" spans="1:4">
      <c r="A231" s="1"/>
      <c r="B231" s="3"/>
      <c r="C231" s="4"/>
      <c r="D231" s="3"/>
    </row>
    <row r="232" spans="1:4">
      <c r="A232" s="1"/>
      <c r="B232" s="3"/>
      <c r="C232" s="4"/>
      <c r="D232" s="3"/>
    </row>
    <row r="233" spans="1:4">
      <c r="A233" s="1"/>
      <c r="B233" s="3"/>
      <c r="C233" s="4"/>
      <c r="D233" s="3"/>
    </row>
    <row r="234" spans="1:4">
      <c r="A234" s="1"/>
      <c r="B234" s="3"/>
      <c r="C234" s="4"/>
      <c r="D234" s="3"/>
    </row>
    <row r="235" spans="1:4">
      <c r="A235" s="1"/>
      <c r="B235" s="3"/>
      <c r="C235" s="4"/>
      <c r="D235" s="3"/>
    </row>
    <row r="236" spans="1:4">
      <c r="A236" s="1"/>
      <c r="B236" s="3"/>
      <c r="C236" s="4"/>
      <c r="D236" s="3"/>
    </row>
    <row r="237" spans="1:4">
      <c r="A237" s="1"/>
      <c r="B237" s="3"/>
      <c r="C237" s="4"/>
      <c r="D237" s="3"/>
    </row>
    <row r="238" spans="1:4">
      <c r="A238" s="1"/>
      <c r="B238" s="3"/>
      <c r="C238" s="4"/>
      <c r="D238" s="3"/>
    </row>
    <row r="239" spans="1:4">
      <c r="A239" s="1"/>
      <c r="B239" s="3"/>
      <c r="C239" s="4"/>
      <c r="D239" s="3"/>
    </row>
    <row r="240" spans="1:4">
      <c r="A240" s="1"/>
      <c r="B240" s="3"/>
      <c r="C240" s="4"/>
      <c r="D240" s="3"/>
    </row>
    <row r="241" spans="1:4">
      <c r="A241" s="1"/>
      <c r="B241" s="3"/>
      <c r="C241" s="4"/>
      <c r="D241" s="3"/>
    </row>
    <row r="242" spans="1:4">
      <c r="A242" s="1"/>
      <c r="B242" s="3"/>
      <c r="C242" s="4"/>
      <c r="D242" s="3"/>
    </row>
    <row r="243" spans="1:4">
      <c r="A243" s="1"/>
      <c r="B243" s="3"/>
      <c r="C243" s="4"/>
      <c r="D243" s="3"/>
    </row>
    <row r="244" spans="1:4">
      <c r="A244" s="1"/>
      <c r="B244" s="3"/>
      <c r="C244" s="4"/>
      <c r="D244" s="3"/>
    </row>
    <row r="245" spans="1:4">
      <c r="A245" s="1"/>
      <c r="B245" s="3"/>
      <c r="C245" s="4"/>
      <c r="D245" s="3"/>
    </row>
    <row r="246" spans="1:4">
      <c r="A246" s="1"/>
      <c r="B246" s="3"/>
      <c r="C246" s="4"/>
      <c r="D246" s="3"/>
    </row>
    <row r="247" spans="1:4">
      <c r="A247" s="1"/>
      <c r="B247" s="3"/>
      <c r="C247" s="4"/>
      <c r="D247" s="3"/>
    </row>
    <row r="248" spans="1:4">
      <c r="A248" s="1"/>
      <c r="B248" s="3"/>
      <c r="C248" s="4"/>
      <c r="D248" s="3"/>
    </row>
    <row r="249" spans="1:4">
      <c r="A249" s="1"/>
      <c r="B249" s="3"/>
      <c r="C249" s="4"/>
      <c r="D249" s="3"/>
    </row>
    <row r="250" spans="1:4">
      <c r="A250" s="1"/>
      <c r="B250" s="3"/>
      <c r="C250" s="4"/>
      <c r="D250" s="3"/>
    </row>
    <row r="251" spans="1:4">
      <c r="A251" s="1"/>
      <c r="B251" s="3"/>
      <c r="C251" s="4"/>
      <c r="D251" s="3"/>
    </row>
    <row r="252" spans="1:4">
      <c r="A252" s="1"/>
      <c r="B252" s="3"/>
      <c r="C252" s="4"/>
      <c r="D252" s="3"/>
    </row>
    <row r="253" spans="1:4">
      <c r="A253" s="1"/>
      <c r="B253" s="3"/>
      <c r="C253" s="4"/>
      <c r="D253" s="3"/>
    </row>
    <row r="254" spans="1:4">
      <c r="A254" s="1"/>
      <c r="B254" s="3"/>
      <c r="C254" s="4"/>
      <c r="D254" s="3"/>
    </row>
    <row r="255" spans="1:4">
      <c r="A255" s="1"/>
      <c r="B255" s="3"/>
      <c r="C255" s="4"/>
      <c r="D255" s="3"/>
    </row>
    <row r="256" spans="1:4">
      <c r="A256" s="1"/>
      <c r="B256" s="3"/>
      <c r="C256" s="4"/>
      <c r="D256" s="3"/>
    </row>
    <row r="257" spans="1:4">
      <c r="A257" s="1"/>
      <c r="B257" s="3"/>
      <c r="C257" s="4"/>
      <c r="D257" s="3"/>
    </row>
    <row r="258" spans="1:4">
      <c r="A258" s="1"/>
      <c r="B258" s="3"/>
      <c r="C258" s="4"/>
      <c r="D258" s="3"/>
    </row>
    <row r="259" spans="1:4">
      <c r="A259" s="1"/>
      <c r="B259" s="3"/>
      <c r="C259" s="4"/>
      <c r="D259" s="3"/>
    </row>
    <row r="260" spans="1:4">
      <c r="A260" s="1"/>
      <c r="B260" s="3"/>
      <c r="C260" s="4"/>
      <c r="D260" s="3"/>
    </row>
    <row r="261" spans="1:4">
      <c r="A261" s="1"/>
      <c r="B261" s="3"/>
      <c r="C261" s="4"/>
      <c r="D261" s="3"/>
    </row>
    <row r="262" spans="1:4">
      <c r="A262" s="1"/>
      <c r="B262" s="3"/>
      <c r="C262" s="4"/>
      <c r="D262" s="3"/>
    </row>
    <row r="263" spans="1:4">
      <c r="A263" s="1"/>
      <c r="B263" s="3"/>
      <c r="C263" s="4"/>
      <c r="D263" s="3"/>
    </row>
    <row r="264" spans="1:4">
      <c r="A264" s="1"/>
      <c r="B264" s="3"/>
      <c r="C264" s="4"/>
      <c r="D264" s="3"/>
    </row>
    <row r="265" spans="1:4">
      <c r="A265" s="1"/>
      <c r="B265" s="3"/>
      <c r="C265" s="4"/>
      <c r="D265" s="3"/>
    </row>
    <row r="266" spans="1:4">
      <c r="A266" s="1"/>
      <c r="B266" s="3"/>
      <c r="C266" s="4"/>
      <c r="D266" s="3"/>
    </row>
    <row r="267" spans="1:4">
      <c r="A267" s="1"/>
      <c r="B267" s="3"/>
      <c r="C267" s="4"/>
      <c r="D267" s="3"/>
    </row>
    <row r="268" spans="1:4">
      <c r="A268" s="1"/>
      <c r="B268" s="3"/>
      <c r="C268" s="4"/>
      <c r="D268" s="3"/>
    </row>
    <row r="269" spans="1:4">
      <c r="A269" s="1"/>
      <c r="B269" s="3"/>
      <c r="C269" s="4"/>
      <c r="D269" s="3"/>
    </row>
    <row r="270" spans="1:4">
      <c r="A270" s="1"/>
      <c r="B270" s="3"/>
      <c r="C270" s="4"/>
      <c r="D270" s="3"/>
    </row>
    <row r="271" spans="1:4">
      <c r="A271" s="1"/>
      <c r="B271" s="3"/>
      <c r="C271" s="4"/>
      <c r="D271" s="3"/>
    </row>
    <row r="272" spans="1:4">
      <c r="A272" s="1"/>
      <c r="B272" s="3"/>
      <c r="C272" s="4"/>
      <c r="D272" s="3"/>
    </row>
    <row r="273" spans="1:4">
      <c r="A273" s="1"/>
      <c r="B273" s="3"/>
      <c r="C273" s="4"/>
      <c r="D273" s="3"/>
    </row>
    <row r="274" spans="1:4">
      <c r="A274" s="1"/>
      <c r="B274" s="3"/>
      <c r="C274" s="4"/>
      <c r="D274" s="3"/>
    </row>
    <row r="275" spans="1:4">
      <c r="A275" s="1"/>
      <c r="B275" s="3"/>
      <c r="C275" s="4"/>
      <c r="D275" s="3"/>
    </row>
    <row r="276" spans="1:4">
      <c r="A276" s="1"/>
      <c r="B276" s="3"/>
      <c r="C276" s="4"/>
      <c r="D276" s="3"/>
    </row>
    <row r="277" spans="1:4">
      <c r="A277" s="1"/>
      <c r="B277" s="3"/>
      <c r="C277" s="4"/>
      <c r="D277" s="3"/>
    </row>
    <row r="278" spans="1:4">
      <c r="A278" s="1"/>
      <c r="B278" s="3"/>
      <c r="C278" s="4"/>
      <c r="D278" s="3"/>
    </row>
    <row r="279" spans="1:4">
      <c r="A279" s="1"/>
      <c r="B279" s="3"/>
      <c r="C279" s="4"/>
      <c r="D279" s="3"/>
    </row>
    <row r="280" spans="1:4">
      <c r="A280" s="1"/>
      <c r="B280" s="3"/>
      <c r="C280" s="4"/>
      <c r="D280" s="3"/>
    </row>
    <row r="281" spans="1:4">
      <c r="A281" s="1"/>
      <c r="B281" s="3"/>
      <c r="C281" s="4"/>
      <c r="D281" s="3"/>
    </row>
    <row r="282" spans="1:4">
      <c r="A282" s="1"/>
      <c r="B282" s="3"/>
      <c r="C282" s="4"/>
      <c r="D282" s="3"/>
    </row>
    <row r="283" spans="1:4">
      <c r="A283" s="1"/>
      <c r="B283" s="3"/>
      <c r="C283" s="4"/>
      <c r="D283" s="3"/>
    </row>
    <row r="284" spans="1:4">
      <c r="A284" s="1"/>
      <c r="B284" s="3"/>
      <c r="C284" s="4"/>
      <c r="D284" s="3"/>
    </row>
    <row r="285" spans="1:4">
      <c r="A285" s="1"/>
      <c r="B285" s="3"/>
      <c r="C285" s="4"/>
      <c r="D285" s="3"/>
    </row>
    <row r="286" spans="1:4">
      <c r="A286" s="1"/>
      <c r="B286" s="3"/>
      <c r="C286" s="4"/>
      <c r="D286" s="3"/>
    </row>
    <row r="287" spans="1:4">
      <c r="A287" s="1"/>
      <c r="B287" s="3"/>
      <c r="C287" s="4"/>
      <c r="D287" s="3"/>
    </row>
    <row r="288" spans="1:4">
      <c r="A288" s="1"/>
      <c r="B288" s="3"/>
      <c r="C288" s="4"/>
      <c r="D288" s="3"/>
    </row>
    <row r="289" spans="1:4">
      <c r="A289" s="1"/>
      <c r="B289" s="3"/>
      <c r="C289" s="4"/>
      <c r="D289" s="3"/>
    </row>
    <row r="290" spans="1:4">
      <c r="A290" s="1"/>
      <c r="B290" s="3"/>
      <c r="C290" s="4"/>
      <c r="D290" s="3"/>
    </row>
    <row r="291" spans="1:4">
      <c r="A291" s="1"/>
      <c r="B291" s="3"/>
      <c r="C291" s="4"/>
      <c r="D291" s="3"/>
    </row>
    <row r="292" spans="1:4">
      <c r="A292" s="1"/>
      <c r="B292" s="3"/>
      <c r="C292" s="4"/>
      <c r="D292" s="3"/>
    </row>
    <row r="293" spans="1:4">
      <c r="A293" s="1"/>
      <c r="B293" s="3"/>
      <c r="C293" s="4"/>
      <c r="D293" s="3"/>
    </row>
    <row r="294" spans="1:4">
      <c r="A294" s="1"/>
      <c r="B294" s="3"/>
      <c r="C294" s="4"/>
      <c r="D294" s="3"/>
    </row>
    <row r="295" spans="1:4">
      <c r="A295" s="1"/>
      <c r="B295" s="3"/>
      <c r="C295" s="4"/>
      <c r="D295" s="3"/>
    </row>
    <row r="296" spans="1:4">
      <c r="A296" s="1"/>
      <c r="B296" s="3"/>
      <c r="C296" s="4"/>
      <c r="D296" s="3"/>
    </row>
    <row r="297" spans="1:4">
      <c r="A297" s="1"/>
      <c r="B297" s="3"/>
      <c r="C297" s="4"/>
      <c r="D297" s="3"/>
    </row>
    <row r="298" spans="1:4">
      <c r="A298" s="1"/>
      <c r="B298" s="3"/>
      <c r="C298" s="4"/>
      <c r="D298" s="3"/>
    </row>
    <row r="299" spans="1:4">
      <c r="A299" s="1"/>
      <c r="B299" s="3"/>
      <c r="C299" s="4"/>
      <c r="D299" s="3"/>
    </row>
    <row r="300" spans="1:4">
      <c r="A300" s="1"/>
      <c r="B300" s="3"/>
      <c r="C300" s="4"/>
      <c r="D300" s="3"/>
    </row>
    <row r="301" spans="1:4">
      <c r="A301" s="1"/>
      <c r="B301" s="3"/>
      <c r="C301" s="4"/>
      <c r="D301" s="3"/>
    </row>
    <row r="302" spans="1:4">
      <c r="A302" s="1"/>
      <c r="B302" s="3"/>
      <c r="C302" s="4"/>
      <c r="D302" s="3"/>
    </row>
    <row r="303" spans="1:4">
      <c r="A303" s="1"/>
      <c r="B303" s="3"/>
      <c r="C303" s="4"/>
      <c r="D303" s="3"/>
    </row>
    <row r="304" spans="1:4">
      <c r="A304" s="1"/>
      <c r="B304" s="3"/>
      <c r="C304" s="4"/>
      <c r="D304" s="3"/>
    </row>
    <row r="305" spans="1:4">
      <c r="A305" s="1"/>
      <c r="B305" s="3"/>
      <c r="C305" s="4"/>
      <c r="D305" s="3"/>
    </row>
    <row r="306" spans="1:4">
      <c r="A306" s="1"/>
      <c r="B306" s="3"/>
      <c r="C306" s="4"/>
      <c r="D306" s="3"/>
    </row>
    <row r="307" spans="1:4">
      <c r="A307" s="1"/>
      <c r="B307" s="3"/>
      <c r="C307" s="4"/>
      <c r="D307" s="3"/>
    </row>
    <row r="308" spans="1:4">
      <c r="A308" s="1"/>
      <c r="B308" s="3"/>
      <c r="C308" s="4"/>
      <c r="D308" s="3"/>
    </row>
    <row r="309" spans="1:4">
      <c r="A309" s="1"/>
      <c r="B309" s="3"/>
      <c r="C309" s="4"/>
      <c r="D309" s="3"/>
    </row>
    <row r="310" spans="1:4">
      <c r="A310" s="1"/>
      <c r="B310" s="3"/>
      <c r="C310" s="4"/>
      <c r="D310" s="3"/>
    </row>
    <row r="311" spans="1:4">
      <c r="A311" s="1"/>
      <c r="B311" s="3"/>
      <c r="C311" s="4"/>
      <c r="D311" s="3"/>
    </row>
    <row r="312" spans="1:4">
      <c r="A312" s="1"/>
      <c r="B312" s="3"/>
      <c r="C312" s="4"/>
      <c r="D312" s="3"/>
    </row>
    <row r="313" spans="1:4">
      <c r="A313" s="1"/>
      <c r="B313" s="3"/>
      <c r="C313" s="4"/>
      <c r="D313" s="3"/>
    </row>
    <row r="314" spans="1:4">
      <c r="A314" s="1"/>
      <c r="B314" s="3"/>
      <c r="C314" s="4"/>
      <c r="D314" s="3"/>
    </row>
    <row r="315" spans="1:4">
      <c r="A315" s="1"/>
      <c r="B315" s="3"/>
      <c r="C315" s="4"/>
      <c r="D315" s="3"/>
    </row>
    <row r="316" spans="1:4">
      <c r="A316" s="1"/>
      <c r="B316" s="3"/>
      <c r="C316" s="4"/>
      <c r="D316" s="3"/>
    </row>
    <row r="317" spans="1:4">
      <c r="A317" s="1"/>
      <c r="B317" s="3"/>
      <c r="C317" s="4"/>
      <c r="D317" s="3"/>
    </row>
    <row r="318" spans="1:4">
      <c r="A318" s="1"/>
      <c r="B318" s="3"/>
      <c r="C318" s="4"/>
      <c r="D318" s="3"/>
    </row>
    <row r="319" spans="1:4">
      <c r="A319" s="1"/>
      <c r="B319" s="3"/>
      <c r="C319" s="4"/>
      <c r="D319" s="3"/>
    </row>
    <row r="320" spans="1:4">
      <c r="A320" s="1"/>
      <c r="B320" s="3"/>
      <c r="C320" s="4"/>
      <c r="D320" s="3"/>
    </row>
    <row r="321" spans="1:4">
      <c r="A321" s="1"/>
      <c r="B321" s="3"/>
      <c r="C321" s="4"/>
      <c r="D321" s="3"/>
    </row>
    <row r="322" spans="1:4">
      <c r="A322" s="1"/>
      <c r="B322" s="3"/>
      <c r="C322" s="4"/>
      <c r="D322" s="3"/>
    </row>
    <row r="323" spans="1:4">
      <c r="A323" s="1"/>
      <c r="B323" s="3"/>
      <c r="C323" s="4"/>
      <c r="D323" s="3"/>
    </row>
    <row r="324" spans="1:4">
      <c r="A324" s="1"/>
      <c r="B324" s="3"/>
      <c r="C324" s="4"/>
      <c r="D324" s="3"/>
    </row>
    <row r="325" spans="1:4">
      <c r="A325" s="1"/>
      <c r="B325" s="3"/>
      <c r="C325" s="4"/>
      <c r="D325" s="3"/>
    </row>
    <row r="326" spans="1:4">
      <c r="A326" s="1"/>
      <c r="B326" s="3"/>
      <c r="C326" s="4"/>
      <c r="D326" s="3"/>
    </row>
    <row r="327" spans="1:4">
      <c r="A327" s="1"/>
      <c r="B327" s="3"/>
      <c r="C327" s="4"/>
      <c r="D327" s="3"/>
    </row>
    <row r="328" spans="1:4">
      <c r="A328" s="1"/>
      <c r="B328" s="3"/>
      <c r="C328" s="4"/>
      <c r="D328" s="3"/>
    </row>
    <row r="329" spans="1:4">
      <c r="A329" s="1"/>
      <c r="B329" s="3"/>
      <c r="C329" s="4"/>
      <c r="D329" s="3"/>
    </row>
    <row r="330" spans="1:4">
      <c r="A330" s="1"/>
      <c r="B330" s="3"/>
      <c r="C330" s="4"/>
      <c r="D330" s="3"/>
    </row>
    <row r="331" spans="1:4">
      <c r="A331" s="1"/>
      <c r="B331" s="3"/>
      <c r="C331" s="4"/>
      <c r="D331" s="3"/>
    </row>
    <row r="332" spans="1:4">
      <c r="A332" s="1"/>
      <c r="B332" s="3"/>
      <c r="C332" s="4"/>
      <c r="D332" s="3"/>
    </row>
    <row r="333" spans="1:4">
      <c r="A333" s="1"/>
      <c r="B333" s="3"/>
      <c r="C333" s="4"/>
      <c r="D333" s="3"/>
    </row>
    <row r="334" spans="1:4">
      <c r="A334" s="1"/>
      <c r="B334" s="3"/>
      <c r="C334" s="4"/>
      <c r="D334" s="3"/>
    </row>
    <row r="335" spans="1:4">
      <c r="A335" s="1"/>
      <c r="B335" s="3"/>
      <c r="C335" s="4"/>
      <c r="D335" s="3"/>
    </row>
    <row r="336" spans="1:4">
      <c r="A336" s="1"/>
      <c r="B336" s="3"/>
      <c r="C336" s="4"/>
      <c r="D336" s="3"/>
    </row>
    <row r="337" spans="1:4">
      <c r="A337" s="1"/>
      <c r="B337" s="3"/>
      <c r="C337" s="4"/>
      <c r="D337" s="3"/>
    </row>
    <row r="338" spans="1:4">
      <c r="A338" s="1"/>
      <c r="B338" s="3"/>
      <c r="C338" s="4"/>
      <c r="D338" s="3"/>
    </row>
    <row r="339" spans="1:4">
      <c r="A339" s="1"/>
      <c r="B339" s="3"/>
      <c r="C339" s="4"/>
      <c r="D339" s="3"/>
    </row>
    <row r="340" spans="1:4">
      <c r="A340" s="1"/>
      <c r="B340" s="3"/>
      <c r="C340" s="4"/>
      <c r="D340" s="3"/>
    </row>
    <row r="341" spans="1:4">
      <c r="A341" s="1"/>
      <c r="B341" s="3"/>
      <c r="C341" s="4"/>
      <c r="D341" s="3"/>
    </row>
    <row r="342" spans="1:4">
      <c r="A342" s="1"/>
      <c r="B342" s="3"/>
      <c r="C342" s="4"/>
      <c r="D342" s="3"/>
    </row>
    <row r="343" spans="1:4">
      <c r="A343" s="1"/>
      <c r="B343" s="3"/>
      <c r="C343" s="4"/>
      <c r="D343" s="3"/>
    </row>
    <row r="344" spans="1:4">
      <c r="A344" s="1"/>
      <c r="B344" s="3"/>
      <c r="C344" s="4"/>
      <c r="D344" s="3"/>
    </row>
    <row r="345" spans="1:4">
      <c r="A345" s="1"/>
      <c r="B345" s="3"/>
      <c r="C345" s="4"/>
      <c r="D345" s="3"/>
    </row>
    <row r="346" spans="1:4">
      <c r="A346" s="1"/>
      <c r="B346" s="3"/>
      <c r="C346" s="4"/>
      <c r="D346" s="3"/>
    </row>
    <row r="347" spans="1:4">
      <c r="A347" s="1"/>
      <c r="B347" s="3"/>
      <c r="C347" s="4"/>
      <c r="D347" s="3"/>
    </row>
    <row r="348" spans="1:4">
      <c r="A348" s="1"/>
      <c r="B348" s="3"/>
      <c r="C348" s="4"/>
      <c r="D348" s="3"/>
    </row>
    <row r="349" spans="1:4">
      <c r="A349" s="1"/>
      <c r="B349" s="3"/>
      <c r="C349" s="4"/>
      <c r="D349" s="3"/>
    </row>
    <row r="350" spans="1:4">
      <c r="A350" s="1"/>
      <c r="B350" s="3"/>
      <c r="C350" s="4"/>
      <c r="D350" s="3"/>
    </row>
    <row r="351" spans="1:4">
      <c r="A351" s="1"/>
      <c r="B351" s="3"/>
      <c r="C351" s="4"/>
      <c r="D351" s="3"/>
    </row>
    <row r="352" spans="1:4">
      <c r="A352" s="1"/>
      <c r="B352" s="3"/>
      <c r="C352" s="4"/>
      <c r="D352" s="3"/>
    </row>
    <row r="353" spans="1:4">
      <c r="A353" s="1"/>
      <c r="B353" s="3"/>
      <c r="C353" s="4"/>
      <c r="D353" s="3"/>
    </row>
    <row r="354" spans="1:4">
      <c r="A354" s="1"/>
      <c r="B354" s="3"/>
      <c r="C354" s="4"/>
      <c r="D354" s="3"/>
    </row>
    <row r="355" spans="1:4">
      <c r="A355" s="1"/>
      <c r="B355" s="3"/>
      <c r="C355" s="4"/>
      <c r="D355" s="3"/>
    </row>
    <row r="356" spans="1:4">
      <c r="A356" s="1"/>
      <c r="B356" s="3"/>
      <c r="C356" s="4"/>
      <c r="D356" s="3"/>
    </row>
    <row r="357" spans="1:4">
      <c r="A357" s="1"/>
      <c r="B357" s="3"/>
      <c r="C357" s="4"/>
      <c r="D357" s="3"/>
    </row>
    <row r="358" spans="1:4">
      <c r="A358" s="1"/>
      <c r="B358" s="3"/>
      <c r="C358" s="4"/>
      <c r="D358" s="3"/>
    </row>
    <row r="359" spans="1:4">
      <c r="A359" s="1"/>
      <c r="B359" s="3"/>
      <c r="C359" s="4"/>
      <c r="D359" s="3"/>
    </row>
    <row r="360" spans="1:4">
      <c r="A360" s="1"/>
      <c r="B360" s="3"/>
      <c r="C360" s="4"/>
      <c r="D360" s="3"/>
    </row>
    <row r="361" spans="1:4">
      <c r="A361" s="1"/>
      <c r="B361" s="3"/>
      <c r="C361" s="4"/>
      <c r="D361" s="3"/>
    </row>
    <row r="362" spans="1:4">
      <c r="A362" s="1"/>
      <c r="B362" s="3"/>
      <c r="C362" s="4"/>
      <c r="D362" s="3"/>
    </row>
    <row r="363" spans="1:4">
      <c r="A363" s="1"/>
      <c r="B363" s="3"/>
      <c r="C363" s="4"/>
      <c r="D363" s="3"/>
    </row>
    <row r="364" spans="1:4">
      <c r="A364" s="1"/>
      <c r="B364" s="3"/>
      <c r="C364" s="4"/>
      <c r="D364" s="3"/>
    </row>
    <row r="365" spans="1:4">
      <c r="A365" s="1"/>
      <c r="B365" s="3"/>
      <c r="C365" s="4"/>
      <c r="D365" s="3"/>
    </row>
    <row r="366" spans="1:4">
      <c r="A366" s="1"/>
      <c r="B366" s="3"/>
      <c r="C366" s="4"/>
      <c r="D366" s="3"/>
    </row>
    <row r="367" spans="1:4">
      <c r="A367" s="1"/>
      <c r="B367" s="3"/>
      <c r="C367" s="4"/>
      <c r="D367" s="3"/>
    </row>
    <row r="368" spans="1:4">
      <c r="A368" s="1"/>
      <c r="B368" s="3"/>
      <c r="C368" s="4"/>
      <c r="D368" s="3"/>
    </row>
    <row r="369" spans="1:4">
      <c r="A369" s="1"/>
      <c r="B369" s="3"/>
      <c r="C369" s="4"/>
      <c r="D369" s="3"/>
    </row>
    <row r="370" spans="1:4">
      <c r="A370" s="1"/>
      <c r="B370" s="3"/>
      <c r="C370" s="4"/>
      <c r="D370" s="3"/>
    </row>
    <row r="371" spans="1:4">
      <c r="A371" s="1"/>
      <c r="B371" s="3"/>
      <c r="C371" s="4"/>
      <c r="D371" s="3"/>
    </row>
    <row r="372" spans="1:4">
      <c r="A372" s="1"/>
      <c r="B372" s="3"/>
      <c r="C372" s="4"/>
      <c r="D372" s="3"/>
    </row>
    <row r="373" spans="1:4">
      <c r="A373" s="1"/>
      <c r="B373" s="3"/>
      <c r="C373" s="4"/>
      <c r="D373" s="3"/>
    </row>
    <row r="374" spans="1:4">
      <c r="A374" s="1"/>
      <c r="B374" s="3"/>
      <c r="C374" s="4"/>
      <c r="D374" s="3"/>
    </row>
    <row r="375" spans="1:4">
      <c r="A375" s="1"/>
      <c r="B375" s="3"/>
      <c r="C375" s="4"/>
      <c r="D375" s="3"/>
    </row>
    <row r="376" spans="1:4">
      <c r="A376" s="1"/>
      <c r="B376" s="3"/>
      <c r="C376" s="4"/>
      <c r="D376" s="3"/>
    </row>
    <row r="377" spans="1:4">
      <c r="A377" s="1"/>
      <c r="B377" s="3"/>
      <c r="C377" s="4"/>
      <c r="D377" s="3"/>
    </row>
    <row r="378" spans="1:4">
      <c r="A378" s="1"/>
      <c r="B378" s="3"/>
      <c r="C378" s="4"/>
      <c r="D378" s="3"/>
    </row>
    <row r="379" spans="1:4">
      <c r="A379" s="1"/>
      <c r="B379" s="3"/>
      <c r="C379" s="4"/>
      <c r="D379" s="3"/>
    </row>
    <row r="380" spans="1:4">
      <c r="A380" s="1"/>
      <c r="B380" s="3"/>
      <c r="C380" s="4"/>
      <c r="D380" s="3"/>
    </row>
    <row r="381" spans="1:4">
      <c r="A381" s="1"/>
      <c r="B381" s="3"/>
      <c r="C381" s="4"/>
      <c r="D381" s="3"/>
    </row>
    <row r="382" spans="1:4">
      <c r="A382" s="1"/>
      <c r="B382" s="3"/>
      <c r="C382" s="4"/>
      <c r="D382" s="3"/>
    </row>
    <row r="383" spans="1:4">
      <c r="A383" s="1"/>
      <c r="B383" s="3"/>
      <c r="C383" s="4"/>
      <c r="D383" s="3"/>
    </row>
    <row r="384" spans="1:4">
      <c r="A384" s="1"/>
      <c r="B384" s="3"/>
      <c r="C384" s="4"/>
      <c r="D384" s="3"/>
    </row>
    <row r="385" spans="1:4">
      <c r="A385" s="1"/>
      <c r="B385" s="3"/>
      <c r="C385" s="4"/>
      <c r="D385" s="3"/>
    </row>
    <row r="386" spans="1:4">
      <c r="A386" s="1"/>
      <c r="B386" s="3"/>
      <c r="C386" s="4"/>
      <c r="D386" s="3"/>
    </row>
    <row r="387" spans="1:4">
      <c r="A387" s="1"/>
      <c r="B387" s="3"/>
      <c r="C387" s="4"/>
      <c r="D387" s="3"/>
    </row>
    <row r="388" spans="1:4">
      <c r="A388" s="1"/>
      <c r="B388" s="3"/>
      <c r="C388" s="4"/>
      <c r="D388" s="3"/>
    </row>
    <row r="389" spans="1:4">
      <c r="A389" s="1"/>
      <c r="B389" s="3"/>
      <c r="C389" s="4"/>
      <c r="D389" s="3"/>
    </row>
    <row r="390" spans="1:4">
      <c r="A390" s="1"/>
      <c r="B390" s="3"/>
      <c r="C390" s="4"/>
      <c r="D390" s="3"/>
    </row>
    <row r="391" spans="1:4">
      <c r="A391" s="1"/>
      <c r="B391" s="3"/>
      <c r="C391" s="4"/>
      <c r="D391" s="3"/>
    </row>
    <row r="392" spans="1:4">
      <c r="A392" s="1"/>
      <c r="B392" s="3"/>
      <c r="C392" s="4"/>
      <c r="D392" s="3"/>
    </row>
    <row r="393" spans="1:4">
      <c r="A393" s="1"/>
      <c r="B393" s="3"/>
      <c r="C393" s="4"/>
      <c r="D393" s="3"/>
    </row>
    <row r="394" spans="1:4">
      <c r="A394" s="1"/>
      <c r="B394" s="3"/>
      <c r="C394" s="4"/>
      <c r="D394" s="3"/>
    </row>
    <row r="395" spans="1:4">
      <c r="A395" s="1"/>
      <c r="B395" s="3"/>
      <c r="C395" s="4"/>
      <c r="D395" s="3"/>
    </row>
    <row r="396" spans="1:4">
      <c r="A396" s="1"/>
      <c r="B396" s="3"/>
      <c r="C396" s="4"/>
      <c r="D396" s="3"/>
    </row>
    <row r="397" spans="1:4">
      <c r="A397" s="1"/>
      <c r="B397" s="3"/>
      <c r="C397" s="4"/>
      <c r="D397" s="3"/>
    </row>
    <row r="398" spans="1:4">
      <c r="A398" s="1"/>
      <c r="B398" s="3"/>
      <c r="C398" s="4"/>
      <c r="D398" s="3"/>
    </row>
    <row r="399" spans="1:4">
      <c r="A399" s="1"/>
      <c r="B399" s="3"/>
      <c r="C399" s="4"/>
      <c r="D399" s="3"/>
    </row>
    <row r="400" spans="1:4">
      <c r="A400" s="1"/>
      <c r="B400" s="3"/>
      <c r="C400" s="4"/>
      <c r="D400" s="3"/>
    </row>
    <row r="401" spans="1:4">
      <c r="A401" s="1"/>
      <c r="B401" s="3"/>
      <c r="C401" s="4"/>
      <c r="D401" s="3"/>
    </row>
    <row r="402" spans="1:4">
      <c r="A402" s="1"/>
      <c r="B402" s="3"/>
      <c r="C402" s="4"/>
      <c r="D402" s="3"/>
    </row>
    <row r="403" spans="1:4">
      <c r="A403" s="1"/>
      <c r="B403" s="3"/>
      <c r="C403" s="4"/>
      <c r="D403" s="3"/>
    </row>
    <row r="404" spans="1:4">
      <c r="A404" s="1"/>
      <c r="B404" s="3"/>
      <c r="C404" s="4"/>
      <c r="D404" s="3"/>
    </row>
    <row r="405" spans="1:4">
      <c r="A405" s="1"/>
      <c r="B405" s="3"/>
      <c r="C405" s="4"/>
      <c r="D405" s="3"/>
    </row>
    <row r="406" spans="1:4">
      <c r="A406" s="1"/>
      <c r="B406" s="3"/>
      <c r="C406" s="4"/>
      <c r="D406" s="3"/>
    </row>
    <row r="407" spans="1:4">
      <c r="A407" s="1"/>
      <c r="B407" s="3"/>
      <c r="C407" s="4"/>
      <c r="D407" s="3"/>
    </row>
    <row r="408" spans="1:4">
      <c r="A408" s="1"/>
      <c r="B408" s="3"/>
      <c r="C408" s="4"/>
      <c r="D408" s="3"/>
    </row>
    <row r="409" spans="1:4">
      <c r="A409" s="1"/>
      <c r="B409" s="3"/>
      <c r="C409" s="4"/>
      <c r="D409" s="3"/>
    </row>
    <row r="410" spans="1:4">
      <c r="A410" s="1"/>
      <c r="B410" s="3"/>
      <c r="C410" s="4"/>
      <c r="D410" s="3"/>
    </row>
    <row r="411" spans="1:4">
      <c r="A411" s="1"/>
      <c r="B411" s="3"/>
      <c r="C411" s="4"/>
      <c r="D411" s="3"/>
    </row>
    <row r="412" spans="1:4">
      <c r="A412" s="1"/>
      <c r="B412" s="3"/>
      <c r="C412" s="4"/>
      <c r="D412" s="3"/>
    </row>
    <row r="413" spans="1:4">
      <c r="A413" s="1"/>
      <c r="B413" s="3"/>
      <c r="C413" s="4"/>
      <c r="D413" s="3"/>
    </row>
    <row r="414" spans="1:4">
      <c r="A414" s="1"/>
      <c r="B414" s="3"/>
      <c r="C414" s="4"/>
      <c r="D414" s="3"/>
    </row>
    <row r="415" spans="1:4">
      <c r="A415" s="1"/>
      <c r="B415" s="3"/>
      <c r="C415" s="4"/>
      <c r="D415" s="3"/>
    </row>
    <row r="416" spans="1:4">
      <c r="A416" s="1"/>
      <c r="B416" s="3"/>
      <c r="C416" s="4"/>
      <c r="D416" s="3"/>
    </row>
    <row r="417" spans="1:4">
      <c r="A417" s="1"/>
      <c r="B417" s="3"/>
      <c r="C417" s="4"/>
      <c r="D417" s="3"/>
    </row>
    <row r="418" spans="1:4">
      <c r="A418" s="1"/>
      <c r="B418" s="3"/>
      <c r="C418" s="4"/>
      <c r="D418" s="3"/>
    </row>
    <row r="419" spans="1:4">
      <c r="A419" s="1"/>
      <c r="B419" s="3"/>
      <c r="C419" s="4"/>
      <c r="D419" s="3"/>
    </row>
    <row r="420" spans="1:4">
      <c r="A420" s="1"/>
      <c r="B420" s="3"/>
      <c r="C420" s="4"/>
      <c r="D420" s="3"/>
    </row>
    <row r="421" spans="1:4">
      <c r="A421" s="1"/>
      <c r="B421" s="3"/>
      <c r="C421" s="4"/>
      <c r="D421" s="3"/>
    </row>
    <row r="422" spans="1:4">
      <c r="A422" s="1"/>
      <c r="B422" s="3"/>
      <c r="C422" s="4"/>
      <c r="D422" s="3"/>
    </row>
    <row r="423" spans="1:4">
      <c r="A423" s="1"/>
      <c r="B423" s="3"/>
      <c r="C423" s="4"/>
      <c r="D423" s="3"/>
    </row>
    <row r="424" spans="1:4">
      <c r="A424" s="1"/>
      <c r="B424" s="3"/>
      <c r="C424" s="4"/>
      <c r="D424" s="3"/>
    </row>
    <row r="425" spans="1:4">
      <c r="A425" s="1"/>
      <c r="B425" s="3"/>
      <c r="C425" s="4"/>
      <c r="D425" s="3"/>
    </row>
    <row r="426" spans="1:4">
      <c r="A426" s="1"/>
      <c r="B426" s="3"/>
      <c r="C426" s="4"/>
      <c r="D426" s="3"/>
    </row>
    <row r="427" spans="1:4">
      <c r="A427" s="1"/>
      <c r="B427" s="3"/>
      <c r="C427" s="4"/>
      <c r="D427" s="3"/>
    </row>
    <row r="428" spans="1:4">
      <c r="A428" s="1"/>
      <c r="B428" s="3"/>
      <c r="C428" s="4"/>
      <c r="D428" s="3"/>
    </row>
    <row r="429" spans="1:4">
      <c r="A429" s="1"/>
      <c r="B429" s="3"/>
      <c r="C429" s="4"/>
      <c r="D429" s="3"/>
    </row>
    <row r="430" spans="1:4">
      <c r="A430" s="1"/>
      <c r="B430" s="3"/>
      <c r="C430" s="4"/>
      <c r="D430" s="3"/>
    </row>
    <row r="431" spans="1:4">
      <c r="A431" s="1"/>
      <c r="B431" s="3"/>
      <c r="C431" s="4"/>
      <c r="D431" s="3"/>
    </row>
    <row r="432" spans="1:4">
      <c r="A432" s="1"/>
      <c r="B432" s="3"/>
      <c r="C432" s="4"/>
      <c r="D432" s="3"/>
    </row>
    <row r="433" spans="1:4">
      <c r="A433" s="1"/>
      <c r="B433" s="3"/>
      <c r="C433" s="4"/>
      <c r="D433" s="3"/>
    </row>
    <row r="434" spans="1:4">
      <c r="A434" s="1"/>
      <c r="B434" s="3"/>
      <c r="C434" s="4"/>
      <c r="D434" s="3"/>
    </row>
    <row r="435" spans="1:4">
      <c r="A435" s="1"/>
      <c r="B435" s="3"/>
      <c r="C435" s="4"/>
      <c r="D435" s="3"/>
    </row>
    <row r="436" spans="1:4">
      <c r="A436" s="1"/>
      <c r="B436" s="3"/>
      <c r="C436" s="4"/>
      <c r="D436" s="3"/>
    </row>
    <row r="437" spans="1:4">
      <c r="A437" s="1"/>
      <c r="B437" s="3"/>
      <c r="C437" s="4"/>
      <c r="D437" s="3"/>
    </row>
    <row r="438" spans="1:4">
      <c r="A438" s="1"/>
      <c r="B438" s="3"/>
      <c r="C438" s="4"/>
      <c r="D438" s="3"/>
    </row>
    <row r="439" spans="1:4">
      <c r="A439" s="1"/>
      <c r="B439" s="3"/>
      <c r="C439" s="4"/>
      <c r="D439" s="3"/>
    </row>
    <row r="440" spans="1:4">
      <c r="A440" s="1"/>
      <c r="B440" s="3"/>
      <c r="C440" s="4"/>
      <c r="D440" s="3"/>
    </row>
    <row r="441" spans="1:4">
      <c r="A441" s="1"/>
      <c r="B441" s="3"/>
      <c r="C441" s="4"/>
      <c r="D441" s="3"/>
    </row>
    <row r="442" spans="1:4">
      <c r="A442" s="1"/>
      <c r="B442" s="3"/>
      <c r="C442" s="4"/>
      <c r="D442" s="3"/>
    </row>
    <row r="443" spans="1:4">
      <c r="A443" s="1"/>
      <c r="B443" s="3"/>
      <c r="C443" s="4"/>
      <c r="D443" s="3"/>
    </row>
    <row r="444" spans="1:4">
      <c r="A444" s="1"/>
      <c r="B444" s="3"/>
      <c r="C444" s="4"/>
      <c r="D444" s="3"/>
    </row>
    <row r="445" spans="1:4">
      <c r="A445" s="1"/>
      <c r="B445" s="3"/>
      <c r="C445" s="4"/>
      <c r="D445" s="3"/>
    </row>
    <row r="446" spans="1:4">
      <c r="A446" s="1"/>
      <c r="B446" s="3"/>
      <c r="C446" s="4"/>
      <c r="D446" s="3"/>
    </row>
    <row r="447" spans="1:4">
      <c r="A447" s="1"/>
      <c r="B447" s="3"/>
      <c r="C447" s="4"/>
      <c r="D447" s="3"/>
    </row>
    <row r="448" spans="1:4">
      <c r="A448" s="1"/>
      <c r="B448" s="3"/>
      <c r="C448" s="4"/>
      <c r="D448" s="3"/>
    </row>
    <row r="449" spans="1:4">
      <c r="A449" s="1"/>
      <c r="B449" s="3"/>
      <c r="C449" s="4"/>
      <c r="D449" s="3"/>
    </row>
    <row r="450" spans="1:4">
      <c r="A450" s="1"/>
      <c r="B450" s="3"/>
      <c r="C450" s="4"/>
      <c r="D450" s="3"/>
    </row>
    <row r="451" spans="1:4">
      <c r="A451" s="1"/>
      <c r="B451" s="3"/>
      <c r="C451" s="4"/>
      <c r="D451" s="3"/>
    </row>
    <row r="452" spans="1:4">
      <c r="A452" s="1"/>
      <c r="B452" s="3"/>
      <c r="C452" s="4"/>
      <c r="D452" s="3"/>
    </row>
    <row r="453" spans="1:4">
      <c r="A453" s="1"/>
      <c r="B453" s="3"/>
      <c r="C453" s="4"/>
      <c r="D453" s="3"/>
    </row>
    <row r="454" spans="1:4">
      <c r="A454" s="1"/>
      <c r="B454" s="3"/>
      <c r="C454" s="4"/>
      <c r="D454" s="3"/>
    </row>
    <row r="455" spans="1:4">
      <c r="A455" s="1"/>
      <c r="B455" s="3"/>
      <c r="C455" s="4"/>
      <c r="D455" s="3"/>
    </row>
    <row r="456" spans="1:4">
      <c r="A456" s="1"/>
      <c r="B456" s="3"/>
      <c r="C456" s="4"/>
      <c r="D456" s="3"/>
    </row>
    <row r="457" spans="1:4">
      <c r="A457" s="1"/>
      <c r="B457" s="3"/>
      <c r="C457" s="4"/>
      <c r="D457" s="3"/>
    </row>
    <row r="458" spans="1:4">
      <c r="A458" s="1"/>
      <c r="B458" s="3"/>
      <c r="C458" s="4"/>
      <c r="D458" s="3"/>
    </row>
    <row r="459" spans="1:4">
      <c r="A459" s="1"/>
      <c r="B459" s="3"/>
      <c r="C459" s="4"/>
      <c r="D459" s="3"/>
    </row>
    <row r="460" spans="1:4">
      <c r="A460" s="1"/>
      <c r="B460" s="3"/>
      <c r="C460" s="4"/>
      <c r="D460" s="3"/>
    </row>
    <row r="461" spans="1:4">
      <c r="A461" s="1"/>
      <c r="B461" s="3"/>
      <c r="C461" s="4"/>
      <c r="D461" s="3"/>
    </row>
    <row r="462" spans="1:4">
      <c r="A462" s="1"/>
      <c r="B462" s="3"/>
      <c r="C462" s="4"/>
      <c r="D462" s="3"/>
    </row>
    <row r="463" spans="1:4">
      <c r="A463" s="1"/>
      <c r="B463" s="3"/>
      <c r="C463" s="4"/>
      <c r="D463" s="3"/>
    </row>
    <row r="464" spans="1:4">
      <c r="A464" s="1"/>
      <c r="B464" s="3"/>
      <c r="C464" s="4"/>
      <c r="D464" s="3"/>
    </row>
    <row r="465" spans="1:4">
      <c r="A465" s="1"/>
      <c r="B465" s="3"/>
      <c r="C465" s="4"/>
      <c r="D465" s="3"/>
    </row>
    <row r="466" spans="1:4">
      <c r="A466" s="1"/>
      <c r="B466" s="3"/>
      <c r="C466" s="4"/>
      <c r="D466" s="3"/>
    </row>
    <row r="467" spans="1:4">
      <c r="A467" s="1"/>
      <c r="B467" s="3"/>
      <c r="C467" s="4"/>
      <c r="D467" s="3"/>
    </row>
    <row r="468" spans="1:4">
      <c r="A468" s="1"/>
      <c r="B468" s="3"/>
      <c r="C468" s="4"/>
      <c r="D468" s="3"/>
    </row>
    <row r="469" spans="1:4">
      <c r="A469" s="1"/>
      <c r="B469" s="3"/>
      <c r="C469" s="4"/>
      <c r="D469" s="3"/>
    </row>
    <row r="470" spans="1:4">
      <c r="A470" s="1"/>
      <c r="B470" s="3"/>
      <c r="C470" s="4"/>
      <c r="D470" s="3"/>
    </row>
    <row r="471" spans="1:4">
      <c r="A471" s="1"/>
      <c r="B471" s="3"/>
      <c r="C471" s="4"/>
      <c r="D471" s="3"/>
    </row>
    <row r="472" spans="1:4">
      <c r="A472" s="1"/>
      <c r="B472" s="3"/>
      <c r="C472" s="4"/>
      <c r="D472" s="3"/>
    </row>
    <row r="473" spans="1:4">
      <c r="A473" s="1"/>
      <c r="B473" s="3"/>
      <c r="C473" s="4"/>
      <c r="D473" s="3"/>
    </row>
    <row r="474" spans="1:4">
      <c r="A474" s="1"/>
      <c r="B474" s="3"/>
      <c r="C474" s="4"/>
      <c r="D474" s="3"/>
    </row>
    <row r="475" spans="1:4">
      <c r="A475" s="1"/>
      <c r="B475" s="3"/>
      <c r="C475" s="4"/>
      <c r="D475" s="3"/>
    </row>
    <row r="476" spans="1:4">
      <c r="A476" s="1"/>
      <c r="B476" s="3"/>
      <c r="C476" s="4"/>
      <c r="D476" s="3"/>
    </row>
    <row r="477" spans="1:4">
      <c r="A477" s="1"/>
      <c r="B477" s="3"/>
      <c r="C477" s="4"/>
      <c r="D477" s="3"/>
    </row>
    <row r="478" spans="1:4">
      <c r="A478" s="1"/>
      <c r="B478" s="3"/>
      <c r="C478" s="4"/>
      <c r="D478" s="3"/>
    </row>
    <row r="479" spans="1:4">
      <c r="A479" s="1"/>
      <c r="B479" s="3"/>
      <c r="C479" s="4"/>
      <c r="D479" s="3"/>
    </row>
    <row r="480" spans="1:4">
      <c r="A480" s="1"/>
      <c r="B480" s="3"/>
      <c r="C480" s="4"/>
      <c r="D480" s="3"/>
    </row>
    <row r="481" spans="1:4">
      <c r="A481" s="1"/>
      <c r="B481" s="3"/>
      <c r="C481" s="4"/>
      <c r="D481" s="3"/>
    </row>
    <row r="482" spans="1:4">
      <c r="A482" s="1"/>
      <c r="B482" s="3"/>
      <c r="C482" s="4"/>
      <c r="D482" s="3"/>
    </row>
    <row r="483" spans="1:4">
      <c r="A483" s="1"/>
      <c r="B483" s="3"/>
      <c r="C483" s="4"/>
      <c r="D483" s="3"/>
    </row>
    <row r="484" spans="1:4">
      <c r="A484" s="1"/>
      <c r="B484" s="3"/>
      <c r="C484" s="4"/>
      <c r="D484" s="3"/>
    </row>
    <row r="485" spans="1:4">
      <c r="A485" s="1"/>
      <c r="B485" s="3"/>
      <c r="C485" s="4"/>
      <c r="D485" s="3"/>
    </row>
    <row r="486" spans="1:4">
      <c r="A486" s="1"/>
      <c r="B486" s="3"/>
      <c r="C486" s="4"/>
      <c r="D486" s="3"/>
    </row>
    <row r="487" spans="1:4">
      <c r="A487" s="1"/>
      <c r="B487" s="3"/>
      <c r="C487" s="4"/>
      <c r="D487" s="3"/>
    </row>
    <row r="488" spans="1:4">
      <c r="A488" s="1"/>
      <c r="B488" s="3"/>
      <c r="C488" s="4"/>
      <c r="D488" s="3"/>
    </row>
    <row r="489" spans="1:4">
      <c r="A489" s="1"/>
      <c r="B489" s="3"/>
      <c r="C489" s="4"/>
      <c r="D489" s="3"/>
    </row>
    <row r="490" spans="1:4">
      <c r="A490" s="1"/>
      <c r="B490" s="3"/>
      <c r="C490" s="4"/>
      <c r="D490" s="3"/>
    </row>
    <row r="491" spans="1:4">
      <c r="A491" s="1"/>
      <c r="B491" s="3"/>
      <c r="C491" s="4"/>
      <c r="D491" s="3"/>
    </row>
    <row r="492" spans="1:4">
      <c r="A492" s="1"/>
      <c r="B492" s="3"/>
      <c r="C492" s="4"/>
      <c r="D492" s="3"/>
    </row>
    <row r="493" spans="1:4">
      <c r="A493" s="1"/>
      <c r="B493" s="3"/>
      <c r="C493" s="4"/>
      <c r="D493" s="3"/>
    </row>
    <row r="494" spans="1:4">
      <c r="A494" s="1"/>
      <c r="B494" s="3"/>
      <c r="C494" s="4"/>
      <c r="D494" s="3"/>
    </row>
    <row r="495" spans="1:4">
      <c r="A495" s="1"/>
      <c r="B495" s="3"/>
      <c r="C495" s="4"/>
      <c r="D495" s="3"/>
    </row>
    <row r="496" spans="1:4">
      <c r="A496" s="1"/>
      <c r="B496" s="3"/>
      <c r="C496" s="4"/>
      <c r="D496" s="3"/>
    </row>
    <row r="497" spans="1:4">
      <c r="A497" s="1"/>
      <c r="B497" s="3"/>
      <c r="C497" s="4"/>
      <c r="D497" s="3"/>
    </row>
    <row r="498" spans="1:4">
      <c r="A498" s="1"/>
      <c r="B498" s="3"/>
      <c r="C498" s="4"/>
      <c r="D498" s="3"/>
    </row>
    <row r="499" spans="1:4">
      <c r="A499" s="1"/>
      <c r="B499" s="3"/>
      <c r="C499" s="4"/>
      <c r="D499" s="3"/>
    </row>
    <row r="500" spans="1:4">
      <c r="A500" s="1"/>
      <c r="B500" s="3"/>
      <c r="C500" s="4"/>
      <c r="D500" s="3"/>
    </row>
    <row r="501" spans="1:4">
      <c r="A501" s="1"/>
      <c r="B501" s="3"/>
      <c r="C501" s="4"/>
      <c r="D501" s="3"/>
    </row>
    <row r="502" spans="1:4">
      <c r="A502" s="1"/>
      <c r="B502" s="3"/>
      <c r="C502" s="4"/>
      <c r="D502" s="3"/>
    </row>
    <row r="503" spans="1:4">
      <c r="A503" s="1"/>
      <c r="B503" s="3"/>
      <c r="C503" s="4"/>
      <c r="D503" s="3"/>
    </row>
    <row r="504" spans="1:4">
      <c r="A504" s="1"/>
      <c r="B504" s="3"/>
      <c r="C504" s="4"/>
      <c r="D504" s="3"/>
    </row>
    <row r="505" spans="1:4">
      <c r="A505" s="1"/>
      <c r="B505" s="3"/>
      <c r="C505" s="4"/>
      <c r="D505" s="3"/>
    </row>
    <row r="506" spans="1:4">
      <c r="A506" s="1"/>
      <c r="B506" s="3"/>
      <c r="C506" s="4"/>
      <c r="D506" s="3"/>
    </row>
    <row r="507" spans="1:4">
      <c r="A507" s="1"/>
      <c r="B507" s="3"/>
      <c r="C507" s="4"/>
      <c r="D507" s="3"/>
    </row>
    <row r="508" spans="1:4">
      <c r="A508" s="1"/>
      <c r="B508" s="3"/>
      <c r="C508" s="4"/>
      <c r="D508" s="3"/>
    </row>
    <row r="509" spans="1:4">
      <c r="A509" s="1"/>
      <c r="B509" s="3"/>
      <c r="C509" s="4"/>
      <c r="D509" s="3"/>
    </row>
    <row r="510" spans="1:4">
      <c r="A510" s="1"/>
      <c r="B510" s="3"/>
      <c r="C510" s="4"/>
      <c r="D510" s="3"/>
    </row>
    <row r="511" spans="1:4">
      <c r="A511" s="1"/>
      <c r="B511" s="3"/>
      <c r="C511" s="4"/>
      <c r="D511" s="3"/>
    </row>
    <row r="512" spans="1:4">
      <c r="A512" s="1"/>
      <c r="B512" s="3"/>
      <c r="C512" s="4"/>
      <c r="D512" s="3"/>
    </row>
    <row r="513" spans="1:4">
      <c r="A513" s="1"/>
      <c r="B513" s="3"/>
      <c r="C513" s="4"/>
      <c r="D513" s="3"/>
    </row>
    <row r="514" spans="1:4">
      <c r="A514" s="1"/>
      <c r="B514" s="3"/>
      <c r="C514" s="4"/>
      <c r="D514" s="3"/>
    </row>
    <row r="515" spans="1:4">
      <c r="A515" s="1"/>
      <c r="B515" s="3"/>
      <c r="C515" s="4"/>
      <c r="D515" s="3"/>
    </row>
    <row r="516" spans="1:4">
      <c r="A516" s="1"/>
      <c r="B516" s="3"/>
      <c r="C516" s="4"/>
      <c r="D516" s="3"/>
    </row>
    <row r="517" spans="1:4">
      <c r="A517" s="1"/>
      <c r="B517" s="3"/>
      <c r="C517" s="4"/>
      <c r="D517" s="3"/>
    </row>
    <row r="518" spans="1:4">
      <c r="A518" s="1"/>
      <c r="B518" s="3"/>
      <c r="C518" s="4"/>
      <c r="D518" s="3"/>
    </row>
    <row r="519" spans="1:4">
      <c r="A519" s="1"/>
      <c r="B519" s="3"/>
      <c r="C519" s="4"/>
      <c r="D519" s="3"/>
    </row>
    <row r="520" spans="1:4">
      <c r="A520" s="1"/>
      <c r="B520" s="3"/>
      <c r="C520" s="4"/>
      <c r="D520" s="3"/>
    </row>
    <row r="521" spans="1:4">
      <c r="A521" s="1"/>
      <c r="B521" s="3"/>
      <c r="C521" s="4"/>
      <c r="D521" s="3"/>
    </row>
    <row r="522" spans="1:4">
      <c r="A522" s="1"/>
      <c r="B522" s="3"/>
      <c r="C522" s="4"/>
      <c r="D522" s="3"/>
    </row>
    <row r="523" spans="1:4">
      <c r="A523" s="1"/>
      <c r="B523" s="3"/>
      <c r="C523" s="4"/>
      <c r="D523" s="3"/>
    </row>
    <row r="524" spans="1:4">
      <c r="A524" s="1"/>
      <c r="B524" s="3"/>
      <c r="C524" s="4"/>
      <c r="D524" s="3"/>
    </row>
    <row r="525" spans="1:4">
      <c r="A525" s="1"/>
      <c r="B525" s="3"/>
      <c r="C525" s="4"/>
      <c r="D525" s="3"/>
    </row>
    <row r="526" spans="1:4">
      <c r="A526" s="1"/>
      <c r="B526" s="3"/>
      <c r="C526" s="4"/>
      <c r="D526" s="3"/>
    </row>
    <row r="527" spans="1:4">
      <c r="A527" s="1"/>
      <c r="B527" s="3"/>
      <c r="C527" s="4"/>
      <c r="D527" s="3"/>
    </row>
    <row r="528" spans="1:4">
      <c r="A528" s="1"/>
      <c r="B528" s="3"/>
      <c r="C528" s="4"/>
      <c r="D528" s="3"/>
    </row>
    <row r="529" spans="1:4">
      <c r="A529" s="1"/>
      <c r="B529" s="3"/>
      <c r="C529" s="4"/>
      <c r="D529" s="3"/>
    </row>
    <row r="530" spans="1:4">
      <c r="A530" s="1"/>
      <c r="B530" s="3"/>
      <c r="C530" s="4"/>
      <c r="D530" s="3"/>
    </row>
    <row r="531" spans="1:4">
      <c r="A531" s="1"/>
      <c r="B531" s="3"/>
      <c r="C531" s="4"/>
      <c r="D531" s="3"/>
    </row>
    <row r="532" spans="1:4">
      <c r="A532" s="1"/>
      <c r="B532" s="3"/>
      <c r="C532" s="4"/>
      <c r="D532" s="3"/>
    </row>
    <row r="533" spans="1:4">
      <c r="A533" s="1"/>
      <c r="B533" s="3"/>
      <c r="C533" s="4"/>
      <c r="D533" s="3"/>
    </row>
    <row r="534" spans="1:4">
      <c r="A534" s="1"/>
      <c r="B534" s="3"/>
      <c r="C534" s="4"/>
      <c r="D534" s="3"/>
    </row>
    <row r="535" spans="1:4">
      <c r="A535" s="1"/>
      <c r="B535" s="3"/>
      <c r="C535" s="4"/>
      <c r="D535" s="3"/>
    </row>
    <row r="536" spans="1:4">
      <c r="A536" s="1"/>
      <c r="B536" s="3"/>
      <c r="C536" s="4"/>
      <c r="D536" s="3"/>
    </row>
    <row r="537" spans="1:4">
      <c r="A537" s="1"/>
      <c r="B537" s="3"/>
      <c r="C537" s="4"/>
      <c r="D537" s="3"/>
    </row>
    <row r="538" spans="1:4">
      <c r="A538" s="1"/>
      <c r="B538" s="3"/>
      <c r="C538" s="4"/>
      <c r="D538" s="3"/>
    </row>
    <row r="539" spans="1:4">
      <c r="A539" s="1"/>
      <c r="B539" s="3"/>
      <c r="C539" s="4"/>
      <c r="D539" s="3"/>
    </row>
    <row r="540" spans="1:4">
      <c r="A540" s="1"/>
      <c r="B540" s="3"/>
      <c r="C540" s="4"/>
      <c r="D540" s="3"/>
    </row>
    <row r="541" spans="1:4">
      <c r="A541" s="1"/>
      <c r="B541" s="3"/>
      <c r="C541" s="4"/>
      <c r="D541" s="3"/>
    </row>
    <row r="542" spans="1:4">
      <c r="A542" s="1"/>
      <c r="B542" s="3"/>
      <c r="C542" s="4"/>
      <c r="D542" s="3"/>
    </row>
    <row r="543" spans="1:4">
      <c r="A543" s="1"/>
      <c r="B543" s="3"/>
      <c r="C543" s="4"/>
      <c r="D543" s="3"/>
    </row>
    <row r="544" spans="1:4">
      <c r="A544" s="1"/>
      <c r="B544" s="3"/>
      <c r="C544" s="4"/>
      <c r="D544" s="3"/>
    </row>
    <row r="545" spans="1:4">
      <c r="A545" s="1"/>
      <c r="B545" s="3"/>
      <c r="C545" s="4"/>
      <c r="D545" s="3"/>
    </row>
    <row r="546" spans="1:4">
      <c r="A546" s="1"/>
      <c r="B546" s="3"/>
      <c r="C546" s="4"/>
      <c r="D546" s="3"/>
    </row>
    <row r="547" spans="1:4">
      <c r="A547" s="1"/>
      <c r="B547" s="3"/>
      <c r="C547" s="4"/>
      <c r="D547" s="3"/>
    </row>
    <row r="548" spans="1:4">
      <c r="A548" s="1"/>
      <c r="B548" s="3"/>
      <c r="C548" s="4"/>
      <c r="D548" s="3"/>
    </row>
    <row r="549" spans="1:4">
      <c r="A549" s="1"/>
      <c r="B549" s="3"/>
      <c r="C549" s="4"/>
      <c r="D549" s="3"/>
    </row>
    <row r="550" spans="1:4">
      <c r="A550" s="1"/>
      <c r="B550" s="3"/>
      <c r="C550" s="4"/>
      <c r="D550" s="3"/>
    </row>
    <row r="551" spans="1:4">
      <c r="A551" s="1"/>
      <c r="B551" s="3"/>
      <c r="C551" s="4"/>
      <c r="D551" s="3"/>
    </row>
    <row r="552" spans="1:4">
      <c r="A552" s="1"/>
      <c r="B552" s="3"/>
      <c r="C552" s="4"/>
      <c r="D552" s="3"/>
    </row>
    <row r="553" spans="1:4">
      <c r="A553" s="1"/>
      <c r="B553" s="3"/>
      <c r="C553" s="4"/>
      <c r="D553" s="3"/>
    </row>
    <row r="554" spans="1:4">
      <c r="A554" s="1"/>
      <c r="B554" s="3"/>
      <c r="C554" s="4"/>
      <c r="D554" s="3"/>
    </row>
    <row r="555" spans="1:4">
      <c r="A555" s="1"/>
      <c r="B555" s="3"/>
      <c r="C555" s="4"/>
      <c r="D555" s="3"/>
    </row>
    <row r="556" spans="1:4">
      <c r="A556" s="1"/>
      <c r="B556" s="3"/>
      <c r="C556" s="4"/>
      <c r="D556" s="3"/>
    </row>
    <row r="557" spans="1:4">
      <c r="A557" s="1"/>
      <c r="B557" s="3"/>
      <c r="C557" s="4"/>
      <c r="D557" s="3"/>
    </row>
    <row r="558" spans="1:4">
      <c r="A558" s="1"/>
      <c r="B558" s="3"/>
      <c r="C558" s="4"/>
      <c r="D558" s="3"/>
    </row>
    <row r="559" spans="1:4">
      <c r="A559" s="1"/>
      <c r="B559" s="3"/>
      <c r="C559" s="4"/>
      <c r="D559" s="3"/>
    </row>
    <row r="560" spans="1:4">
      <c r="A560" s="1"/>
      <c r="B560" s="3"/>
      <c r="C560" s="4"/>
      <c r="D560" s="3"/>
    </row>
    <row r="561" spans="1:4">
      <c r="A561" s="1"/>
      <c r="B561" s="3"/>
      <c r="C561" s="4"/>
      <c r="D561" s="3"/>
    </row>
    <row r="562" spans="1:4">
      <c r="A562" s="1"/>
      <c r="B562" s="3"/>
      <c r="C562" s="4"/>
      <c r="D562" s="3"/>
    </row>
    <row r="563" spans="1:4">
      <c r="A563" s="1"/>
      <c r="B563" s="3"/>
      <c r="C563" s="4"/>
      <c r="D563" s="3"/>
    </row>
    <row r="564" spans="1:4">
      <c r="A564" s="1"/>
      <c r="B564" s="3"/>
      <c r="C564" s="4"/>
      <c r="D564" s="3"/>
    </row>
    <row r="565" spans="1:4">
      <c r="A565" s="1"/>
      <c r="B565" s="3"/>
      <c r="C565" s="4"/>
      <c r="D565" s="3"/>
    </row>
    <row r="566" spans="1:4">
      <c r="A566" s="1"/>
      <c r="B566" s="3"/>
      <c r="C566" s="4"/>
      <c r="D566" s="3"/>
    </row>
    <row r="567" spans="1:4">
      <c r="A567" s="1"/>
      <c r="B567" s="3"/>
      <c r="C567" s="4"/>
      <c r="D567" s="3"/>
    </row>
    <row r="568" spans="1:4">
      <c r="A568" s="1"/>
      <c r="B568" s="3"/>
      <c r="C568" s="4"/>
      <c r="D568" s="3"/>
    </row>
    <row r="569" spans="1:4">
      <c r="A569" s="1"/>
      <c r="B569" s="3"/>
      <c r="C569" s="4"/>
      <c r="D569" s="3"/>
    </row>
    <row r="570" spans="1:4">
      <c r="A570" s="1"/>
      <c r="B570" s="3"/>
      <c r="C570" s="4"/>
      <c r="D570" s="3"/>
    </row>
    <row r="571" spans="1:4">
      <c r="A571" s="1"/>
      <c r="B571" s="3"/>
      <c r="C571" s="4"/>
      <c r="D571" s="3"/>
    </row>
    <row r="572" spans="1:4">
      <c r="A572" s="1"/>
      <c r="B572" s="3"/>
      <c r="C572" s="4"/>
      <c r="D572" s="3"/>
    </row>
    <row r="573" spans="1:4">
      <c r="A573" s="1"/>
      <c r="B573" s="3"/>
      <c r="C573" s="4"/>
      <c r="D573" s="3"/>
    </row>
    <row r="574" spans="1:4">
      <c r="A574" s="1"/>
      <c r="B574" s="3"/>
      <c r="C574" s="4"/>
      <c r="D574" s="3"/>
    </row>
    <row r="575" spans="1:4">
      <c r="A575" s="1"/>
      <c r="B575" s="3"/>
      <c r="C575" s="4"/>
      <c r="D575" s="3"/>
    </row>
    <row r="576" spans="1:4">
      <c r="A576" s="1"/>
      <c r="B576" s="3"/>
      <c r="C576" s="4"/>
      <c r="D576" s="3"/>
    </row>
    <row r="577" spans="1:4">
      <c r="A577" s="1"/>
      <c r="B577" s="3"/>
      <c r="C577" s="4"/>
      <c r="D577" s="3"/>
    </row>
    <row r="578" spans="1:4">
      <c r="A578" s="1"/>
      <c r="B578" s="3"/>
      <c r="C578" s="4"/>
      <c r="D578" s="3"/>
    </row>
    <row r="579" spans="1:4">
      <c r="A579" s="1"/>
      <c r="B579" s="3"/>
      <c r="C579" s="4"/>
      <c r="D579" s="3"/>
    </row>
    <row r="580" spans="1:4">
      <c r="A580" s="1"/>
      <c r="B580" s="3"/>
      <c r="C580" s="4"/>
      <c r="D580" s="3"/>
    </row>
    <row r="581" spans="1:4">
      <c r="A581" s="1"/>
      <c r="B581" s="3"/>
      <c r="C581" s="4"/>
      <c r="D581" s="3"/>
    </row>
    <row r="582" spans="1:4">
      <c r="A582" s="1"/>
      <c r="B582" s="3"/>
      <c r="C582" s="4"/>
      <c r="D582" s="3"/>
    </row>
    <row r="583" spans="1:4">
      <c r="A583" s="1"/>
      <c r="B583" s="3"/>
      <c r="C583" s="4"/>
      <c r="D583" s="3"/>
    </row>
    <row r="584" spans="1:4">
      <c r="A584" s="1"/>
      <c r="B584" s="3"/>
      <c r="C584" s="4"/>
      <c r="D584" s="3"/>
    </row>
    <row r="585" spans="1:4">
      <c r="A585" s="1"/>
      <c r="B585" s="3"/>
      <c r="C585" s="4"/>
      <c r="D585" s="3"/>
    </row>
    <row r="586" spans="1:4">
      <c r="A586" s="1"/>
      <c r="B586" s="3"/>
      <c r="C586" s="4"/>
      <c r="D586" s="3"/>
    </row>
    <row r="587" spans="1:4">
      <c r="A587" s="1"/>
      <c r="B587" s="3"/>
      <c r="C587" s="4"/>
      <c r="D587" s="3"/>
    </row>
    <row r="588" spans="1:4">
      <c r="A588" s="1"/>
      <c r="B588" s="3"/>
      <c r="C588" s="4"/>
      <c r="D588" s="3"/>
    </row>
    <row r="589" spans="1:4">
      <c r="A589" s="1"/>
      <c r="B589" s="3"/>
      <c r="C589" s="4"/>
      <c r="D589" s="3"/>
    </row>
    <row r="590" spans="1:4">
      <c r="A590" s="1"/>
      <c r="B590" s="3"/>
      <c r="C590" s="4"/>
      <c r="D590" s="3"/>
    </row>
    <row r="591" spans="1:4">
      <c r="A591" s="1"/>
      <c r="B591" s="3"/>
      <c r="C591" s="4"/>
      <c r="D591" s="3"/>
    </row>
    <row r="592" spans="1:4">
      <c r="A592" s="1"/>
      <c r="B592" s="3"/>
      <c r="C592" s="4"/>
      <c r="D592" s="3"/>
    </row>
    <row r="593" spans="1:4">
      <c r="A593" s="1"/>
      <c r="B593" s="3"/>
      <c r="C593" s="4"/>
      <c r="D593" s="3"/>
    </row>
    <row r="594" spans="1:4">
      <c r="A594" s="1"/>
      <c r="B594" s="3"/>
      <c r="C594" s="4"/>
      <c r="D594" s="3"/>
    </row>
    <row r="595" spans="1:4">
      <c r="A595" s="1"/>
      <c r="B595" s="3"/>
      <c r="C595" s="4"/>
      <c r="D595" s="3"/>
    </row>
    <row r="596" spans="1:4">
      <c r="A596" s="1"/>
      <c r="B596" s="3"/>
      <c r="C596" s="4"/>
      <c r="D596" s="3"/>
    </row>
    <row r="597" spans="1:4">
      <c r="A597" s="1"/>
      <c r="B597" s="3"/>
      <c r="C597" s="4"/>
      <c r="D597" s="3"/>
    </row>
    <row r="598" spans="1:4">
      <c r="A598" s="1"/>
      <c r="B598" s="3"/>
      <c r="C598" s="4"/>
      <c r="D598" s="3"/>
    </row>
    <row r="599" spans="1:4">
      <c r="A599" s="1"/>
      <c r="B599" s="3"/>
      <c r="C599" s="4"/>
      <c r="D599" s="3"/>
    </row>
    <row r="600" spans="1:4">
      <c r="A600" s="1"/>
      <c r="B600" s="3"/>
      <c r="C600" s="4"/>
      <c r="D600" s="3"/>
    </row>
    <row r="601" spans="1:4">
      <c r="A601" s="1"/>
      <c r="B601" s="3"/>
      <c r="C601" s="4"/>
      <c r="D601" s="3"/>
    </row>
    <row r="602" spans="1:4">
      <c r="A602" s="1"/>
      <c r="B602" s="3"/>
      <c r="C602" s="4"/>
      <c r="D602" s="3"/>
    </row>
    <row r="603" spans="1:4">
      <c r="A603" s="1"/>
      <c r="B603" s="3"/>
      <c r="C603" s="4"/>
      <c r="D603" s="3"/>
    </row>
    <row r="604" spans="1:4">
      <c r="A604" s="1"/>
      <c r="B604" s="3"/>
      <c r="C604" s="4"/>
      <c r="D604" s="3"/>
    </row>
    <row r="605" spans="1:4">
      <c r="A605" s="1"/>
      <c r="B605" s="3"/>
      <c r="C605" s="4"/>
      <c r="D605" s="3"/>
    </row>
    <row r="606" spans="1:4">
      <c r="A606" s="1"/>
      <c r="B606" s="3"/>
      <c r="C606" s="4"/>
      <c r="D606" s="3"/>
    </row>
    <row r="607" spans="1:4">
      <c r="A607" s="1"/>
      <c r="B607" s="3"/>
      <c r="C607" s="4"/>
      <c r="D607" s="3"/>
    </row>
    <row r="608" spans="1:4">
      <c r="A608" s="1"/>
      <c r="B608" s="3"/>
      <c r="C608" s="4"/>
      <c r="D608" s="3"/>
    </row>
    <row r="609" spans="1:4">
      <c r="A609" s="1"/>
      <c r="B609" s="3"/>
      <c r="C609" s="4"/>
      <c r="D609" s="3"/>
    </row>
    <row r="610" spans="1:4">
      <c r="A610" s="1"/>
      <c r="B610" s="3"/>
      <c r="C610" s="4"/>
      <c r="D610" s="3"/>
    </row>
    <row r="611" spans="1:4">
      <c r="A611" s="1"/>
      <c r="B611" s="3"/>
      <c r="C611" s="4"/>
      <c r="D611" s="3"/>
    </row>
    <row r="612" spans="1:4">
      <c r="A612" s="1"/>
      <c r="B612" s="3"/>
      <c r="C612" s="4"/>
      <c r="D612" s="3"/>
    </row>
    <row r="613" spans="1:4">
      <c r="A613" s="1"/>
      <c r="B613" s="3"/>
      <c r="C613" s="4"/>
      <c r="D613" s="3"/>
    </row>
    <row r="614" spans="1:4">
      <c r="A614" s="1"/>
      <c r="B614" s="3"/>
      <c r="C614" s="4"/>
      <c r="D614" s="3"/>
    </row>
    <row r="615" spans="1:4">
      <c r="A615" s="1"/>
      <c r="B615" s="3"/>
      <c r="C615" s="4"/>
      <c r="D615" s="3"/>
    </row>
    <row r="616" spans="1:4">
      <c r="A616" s="1"/>
      <c r="B616" s="3"/>
      <c r="C616" s="4"/>
      <c r="D616" s="3"/>
    </row>
    <row r="617" spans="1:4">
      <c r="A617" s="1"/>
      <c r="B617" s="3"/>
      <c r="C617" s="4"/>
      <c r="D617" s="3"/>
    </row>
    <row r="618" spans="1:4">
      <c r="A618" s="1"/>
      <c r="B618" s="3"/>
      <c r="C618" s="4"/>
      <c r="D618" s="3"/>
    </row>
    <row r="619" spans="1:4">
      <c r="A619" s="1"/>
      <c r="B619" s="3"/>
      <c r="C619" s="4"/>
      <c r="D619" s="3"/>
    </row>
    <row r="620" spans="1:4">
      <c r="A620" s="1"/>
      <c r="B620" s="3"/>
      <c r="C620" s="4"/>
      <c r="D620" s="3"/>
    </row>
    <row r="621" spans="1:4">
      <c r="A621" s="1"/>
      <c r="B621" s="3"/>
      <c r="C621" s="4"/>
      <c r="D621" s="3"/>
    </row>
    <row r="622" spans="1:4">
      <c r="A622" s="1"/>
      <c r="B622" s="3"/>
      <c r="C622" s="4"/>
      <c r="D622" s="3"/>
    </row>
    <row r="623" spans="1:4">
      <c r="A623" s="1"/>
      <c r="B623" s="3"/>
      <c r="C623" s="4"/>
      <c r="D623" s="3"/>
    </row>
    <row r="624" spans="1:4">
      <c r="A624" s="1"/>
      <c r="B624" s="3"/>
      <c r="C624" s="4"/>
      <c r="D624" s="3"/>
    </row>
    <row r="625" spans="1:4">
      <c r="A625" s="1"/>
      <c r="B625" s="3"/>
      <c r="C625" s="4"/>
      <c r="D625" s="3"/>
    </row>
    <row r="626" spans="1:4">
      <c r="A626" s="1"/>
      <c r="B626" s="3"/>
      <c r="C626" s="4"/>
      <c r="D626" s="3"/>
    </row>
    <row r="627" spans="1:4">
      <c r="A627" s="1"/>
      <c r="B627" s="3"/>
      <c r="C627" s="4"/>
      <c r="D627" s="3"/>
    </row>
    <row r="628" spans="1:4">
      <c r="A628" s="1"/>
      <c r="B628" s="3"/>
      <c r="C628" s="4"/>
      <c r="D628" s="3"/>
    </row>
    <row r="629" spans="1:4">
      <c r="A629" s="1"/>
      <c r="B629" s="3"/>
      <c r="C629" s="4"/>
      <c r="D629" s="3"/>
    </row>
    <row r="630" spans="1:4">
      <c r="A630" s="1"/>
      <c r="B630" s="3"/>
      <c r="C630" s="4"/>
      <c r="D630" s="3"/>
    </row>
    <row r="631" spans="1:4">
      <c r="A631" s="1"/>
      <c r="B631" s="3"/>
      <c r="C631" s="4"/>
      <c r="D631" s="3"/>
    </row>
    <row r="632" spans="1:4">
      <c r="A632" s="1"/>
      <c r="B632" s="3"/>
      <c r="C632" s="4"/>
      <c r="D632" s="3"/>
    </row>
    <row r="633" spans="1:4">
      <c r="A633" s="1"/>
      <c r="B633" s="3"/>
      <c r="C633" s="4"/>
      <c r="D633" s="3"/>
    </row>
    <row r="634" spans="1:4">
      <c r="A634" s="1"/>
      <c r="B634" s="3"/>
      <c r="C634" s="4"/>
      <c r="D634" s="3"/>
    </row>
    <row r="635" spans="1:4">
      <c r="A635" s="1"/>
      <c r="B635" s="3"/>
      <c r="C635" s="4"/>
      <c r="D635" s="3"/>
    </row>
    <row r="636" spans="1:4">
      <c r="A636" s="1"/>
      <c r="B636" s="3"/>
      <c r="C636" s="4"/>
      <c r="D636" s="3"/>
    </row>
    <row r="637" spans="1:4">
      <c r="A637" s="1"/>
      <c r="B637" s="3"/>
      <c r="C637" s="4"/>
      <c r="D637" s="3"/>
    </row>
    <row r="638" spans="1:4">
      <c r="A638" s="1"/>
      <c r="B638" s="3"/>
      <c r="C638" s="4"/>
      <c r="D638" s="3"/>
    </row>
    <row r="639" spans="1:4">
      <c r="A639" s="1"/>
      <c r="B639" s="3"/>
      <c r="C639" s="4"/>
      <c r="D639" s="3"/>
    </row>
    <row r="640" spans="1:4">
      <c r="A640" s="1"/>
      <c r="B640" s="3"/>
      <c r="C640" s="4"/>
      <c r="D640" s="3"/>
    </row>
    <row r="641" spans="1:4">
      <c r="A641" s="1"/>
      <c r="B641" s="3"/>
      <c r="C641" s="4"/>
      <c r="D641" s="3"/>
    </row>
    <row r="642" spans="1:4">
      <c r="A642" s="1"/>
      <c r="B642" s="3"/>
      <c r="C642" s="4"/>
      <c r="D642" s="3"/>
    </row>
    <row r="643" spans="1:4">
      <c r="A643" s="1"/>
      <c r="B643" s="3"/>
      <c r="C643" s="4"/>
      <c r="D643" s="3"/>
    </row>
    <row r="644" spans="1:4">
      <c r="A644" s="1"/>
      <c r="B644" s="3"/>
      <c r="C644" s="4"/>
      <c r="D644" s="3"/>
    </row>
    <row r="645" spans="1:4">
      <c r="A645" s="1"/>
      <c r="B645" s="3"/>
      <c r="C645" s="4"/>
      <c r="D645" s="3"/>
    </row>
    <row r="646" spans="1:4">
      <c r="A646" s="1"/>
      <c r="B646" s="3"/>
      <c r="C646" s="4"/>
      <c r="D646" s="3"/>
    </row>
    <row r="647" spans="1:4">
      <c r="A647" s="1"/>
      <c r="B647" s="3"/>
      <c r="C647" s="4"/>
      <c r="D647" s="3"/>
    </row>
    <row r="648" spans="1:4">
      <c r="A648" s="1"/>
      <c r="B648" s="3"/>
      <c r="C648" s="4"/>
      <c r="D648" s="3"/>
    </row>
    <row r="649" spans="1:4">
      <c r="A649" s="1"/>
      <c r="B649" s="3"/>
      <c r="C649" s="4"/>
      <c r="D649" s="3"/>
    </row>
    <row r="650" spans="1:4">
      <c r="A650" s="1"/>
      <c r="B650" s="3"/>
      <c r="C650" s="4"/>
      <c r="D650" s="3"/>
    </row>
    <row r="651" spans="1:4">
      <c r="A651" s="1"/>
      <c r="B651" s="3"/>
      <c r="C651" s="4"/>
      <c r="D651" s="3"/>
    </row>
    <row r="652" spans="1:4">
      <c r="A652" s="1"/>
      <c r="B652" s="3"/>
      <c r="C652" s="4"/>
      <c r="D652" s="3"/>
    </row>
    <row r="653" spans="1:4">
      <c r="A653" s="1"/>
      <c r="B653" s="3"/>
      <c r="C653" s="4"/>
      <c r="D653" s="3"/>
    </row>
    <row r="654" spans="1:4">
      <c r="A654" s="1"/>
      <c r="B654" s="3"/>
      <c r="C654" s="4"/>
      <c r="D654" s="3"/>
    </row>
    <row r="655" spans="1:4">
      <c r="A655" s="1"/>
      <c r="B655" s="3"/>
      <c r="C655" s="4"/>
      <c r="D655" s="3"/>
    </row>
    <row r="656" spans="1:4">
      <c r="A656" s="1"/>
      <c r="B656" s="3"/>
      <c r="C656" s="4"/>
      <c r="D656" s="3"/>
    </row>
    <row r="657" spans="1:4">
      <c r="A657" s="1"/>
      <c r="B657" s="3"/>
      <c r="C657" s="4"/>
      <c r="D657" s="3"/>
    </row>
    <row r="658" spans="1:4">
      <c r="A658" s="1"/>
      <c r="B658" s="3"/>
      <c r="C658" s="4"/>
      <c r="D658" s="3"/>
    </row>
    <row r="659" spans="1:4">
      <c r="A659" s="1"/>
      <c r="B659" s="3"/>
      <c r="C659" s="4"/>
      <c r="D659" s="3"/>
    </row>
    <row r="660" spans="1:4">
      <c r="A660" s="1"/>
      <c r="B660" s="3"/>
      <c r="C660" s="4"/>
      <c r="D660" s="3"/>
    </row>
    <row r="661" spans="1:4">
      <c r="A661" s="1"/>
      <c r="B661" s="3"/>
      <c r="C661" s="4"/>
      <c r="D661" s="3"/>
    </row>
    <row r="662" spans="1:4">
      <c r="A662" s="1"/>
      <c r="B662" s="3"/>
      <c r="C662" s="4"/>
      <c r="D662" s="3"/>
    </row>
    <row r="663" spans="1:4">
      <c r="A663" s="1"/>
      <c r="B663" s="3"/>
      <c r="C663" s="4"/>
      <c r="D663" s="3"/>
    </row>
    <row r="664" spans="1:4">
      <c r="A664" s="1"/>
      <c r="B664" s="3"/>
      <c r="C664" s="4"/>
      <c r="D664" s="3"/>
    </row>
    <row r="665" spans="1:4">
      <c r="A665" s="1"/>
      <c r="B665" s="3"/>
      <c r="C665" s="4"/>
      <c r="D665" s="3"/>
    </row>
    <row r="666" spans="1:4">
      <c r="A666" s="1"/>
      <c r="B666" s="3"/>
      <c r="C666" s="4"/>
      <c r="D666" s="3"/>
    </row>
    <row r="667" spans="1:4">
      <c r="A667" s="1"/>
      <c r="B667" s="3"/>
      <c r="C667" s="4"/>
      <c r="D667" s="3"/>
    </row>
    <row r="668" spans="1:4">
      <c r="A668" s="1"/>
      <c r="B668" s="3"/>
      <c r="C668" s="4"/>
      <c r="D668" s="3"/>
    </row>
    <row r="669" spans="1:4">
      <c r="A669" s="1"/>
      <c r="B669" s="3"/>
      <c r="C669" s="4"/>
      <c r="D669" s="3"/>
    </row>
    <row r="670" spans="1:4">
      <c r="A670" s="1"/>
      <c r="B670" s="3"/>
      <c r="C670" s="4"/>
      <c r="D670" s="3"/>
    </row>
    <row r="671" spans="1:4">
      <c r="A671" s="1"/>
      <c r="B671" s="3"/>
      <c r="C671" s="4"/>
      <c r="D671" s="3"/>
    </row>
    <row r="672" spans="1:4">
      <c r="A672" s="1"/>
      <c r="B672" s="3"/>
      <c r="C672" s="4"/>
      <c r="D672" s="3"/>
    </row>
    <row r="673" spans="1:4">
      <c r="A673" s="1"/>
      <c r="B673" s="3"/>
      <c r="C673" s="4"/>
      <c r="D673" s="3"/>
    </row>
    <row r="674" spans="1:4">
      <c r="A674" s="1"/>
      <c r="B674" s="3"/>
      <c r="C674" s="4"/>
      <c r="D674" s="3"/>
    </row>
    <row r="675" spans="1:4">
      <c r="A675" s="1"/>
      <c r="B675" s="3"/>
      <c r="C675" s="4"/>
      <c r="D675" s="3"/>
    </row>
    <row r="676" spans="1:4">
      <c r="A676" s="1"/>
      <c r="B676" s="3"/>
      <c r="C676" s="4"/>
      <c r="D676" s="3"/>
    </row>
    <row r="677" spans="1:4">
      <c r="A677" s="1"/>
      <c r="B677" s="3"/>
      <c r="C677" s="4"/>
      <c r="D677" s="3"/>
    </row>
    <row r="678" spans="1:4">
      <c r="A678" s="1"/>
      <c r="B678" s="3"/>
      <c r="C678" s="4"/>
      <c r="D678" s="3"/>
    </row>
    <row r="679" spans="1:4">
      <c r="A679" s="1"/>
      <c r="B679" s="3"/>
      <c r="C679" s="4"/>
      <c r="D679" s="3"/>
    </row>
    <row r="680" spans="1:4">
      <c r="A680" s="1"/>
      <c r="B680" s="3"/>
      <c r="C680" s="4"/>
      <c r="D680" s="3"/>
    </row>
    <row r="681" spans="1:4">
      <c r="A681" s="1"/>
      <c r="B681" s="3"/>
      <c r="C681" s="4"/>
      <c r="D681" s="3"/>
    </row>
    <row r="682" spans="1:4">
      <c r="A682" s="1"/>
      <c r="B682" s="3"/>
      <c r="C682" s="4"/>
      <c r="D682" s="3"/>
    </row>
    <row r="683" spans="1:4">
      <c r="A683" s="1"/>
      <c r="B683" s="3"/>
      <c r="C683" s="4"/>
      <c r="D683" s="3"/>
    </row>
    <row r="684" spans="1:4">
      <c r="A684" s="1"/>
      <c r="B684" s="3"/>
      <c r="C684" s="4"/>
      <c r="D684" s="3"/>
    </row>
    <row r="685" spans="1:4">
      <c r="A685" s="1"/>
      <c r="B685" s="3"/>
      <c r="C685" s="4"/>
      <c r="D685" s="3"/>
    </row>
    <row r="686" spans="1:4">
      <c r="A686" s="1"/>
      <c r="B686" s="3"/>
      <c r="C686" s="4"/>
      <c r="D686" s="3"/>
    </row>
    <row r="687" spans="1:4">
      <c r="A687" s="1"/>
      <c r="B687" s="3"/>
      <c r="C687" s="4"/>
      <c r="D687" s="3"/>
    </row>
    <row r="688" spans="1:4">
      <c r="A688" s="1"/>
      <c r="B688" s="3"/>
      <c r="C688" s="4"/>
      <c r="D688" s="3"/>
    </row>
    <row r="689" spans="1:4">
      <c r="A689" s="1"/>
      <c r="B689" s="3"/>
      <c r="C689" s="4"/>
      <c r="D689" s="3"/>
    </row>
    <row r="690" spans="1:4">
      <c r="A690" s="1"/>
      <c r="B690" s="3"/>
      <c r="C690" s="4"/>
      <c r="D690" s="3"/>
    </row>
    <row r="691" spans="1:4">
      <c r="A691" s="1"/>
      <c r="B691" s="3"/>
      <c r="C691" s="4"/>
      <c r="D691" s="3"/>
    </row>
    <row r="692" spans="1:4">
      <c r="A692" s="1"/>
      <c r="B692" s="3"/>
      <c r="C692" s="4"/>
      <c r="D692" s="3"/>
    </row>
    <row r="693" spans="1:4">
      <c r="A693" s="1"/>
      <c r="B693" s="3"/>
      <c r="C693" s="4"/>
      <c r="D693" s="3"/>
    </row>
    <row r="694" spans="1:4">
      <c r="A694" s="1"/>
      <c r="B694" s="3"/>
      <c r="C694" s="4"/>
      <c r="D694" s="3"/>
    </row>
    <row r="695" spans="1:4">
      <c r="A695" s="1"/>
      <c r="B695" s="3"/>
      <c r="C695" s="4"/>
      <c r="D695" s="3"/>
    </row>
    <row r="696" spans="1:4">
      <c r="A696" s="1"/>
      <c r="B696" s="3"/>
      <c r="C696" s="4"/>
      <c r="D696" s="3"/>
    </row>
    <row r="697" spans="1:4">
      <c r="A697" s="1"/>
      <c r="B697" s="3"/>
      <c r="C697" s="4"/>
      <c r="D697" s="3"/>
    </row>
    <row r="698" spans="1:4">
      <c r="A698" s="1"/>
      <c r="B698" s="3"/>
      <c r="C698" s="4"/>
      <c r="D698" s="3"/>
    </row>
    <row r="699" spans="1:4">
      <c r="A699" s="1"/>
      <c r="B699" s="3"/>
      <c r="C699" s="4"/>
      <c r="D699" s="3"/>
    </row>
    <row r="700" spans="1:4">
      <c r="A700" s="1"/>
      <c r="B700" s="3"/>
      <c r="C700" s="4"/>
      <c r="D700" s="3"/>
    </row>
    <row r="701" spans="1:4">
      <c r="A701" s="1"/>
      <c r="B701" s="3"/>
      <c r="C701" s="4"/>
      <c r="D701" s="3"/>
    </row>
    <row r="702" spans="1:4">
      <c r="A702" s="1"/>
      <c r="B702" s="3"/>
      <c r="C702" s="4"/>
      <c r="D702" s="3"/>
    </row>
    <row r="703" spans="1:4">
      <c r="A703" s="1"/>
      <c r="B703" s="3"/>
      <c r="C703" s="4"/>
      <c r="D703" s="3"/>
    </row>
    <row r="704" spans="1:4">
      <c r="A704" s="1"/>
      <c r="B704" s="3"/>
      <c r="C704" s="4"/>
      <c r="D704" s="3"/>
    </row>
    <row r="705" spans="1:4">
      <c r="A705" s="1"/>
      <c r="B705" s="3"/>
      <c r="C705" s="4"/>
      <c r="D705" s="3"/>
    </row>
    <row r="706" spans="1:4">
      <c r="A706" s="1"/>
      <c r="B706" s="3"/>
      <c r="C706" s="4"/>
      <c r="D706" s="3"/>
    </row>
    <row r="707" spans="1:4">
      <c r="A707" s="1"/>
      <c r="B707" s="3"/>
      <c r="C707" s="4"/>
      <c r="D707" s="3"/>
    </row>
    <row r="708" spans="1:4">
      <c r="A708" s="1"/>
      <c r="B708" s="3"/>
      <c r="C708" s="4"/>
      <c r="D708" s="3"/>
    </row>
    <row r="709" spans="1:4">
      <c r="A709" s="1"/>
      <c r="B709" s="3"/>
      <c r="C709" s="4"/>
      <c r="D709" s="3"/>
    </row>
    <row r="710" spans="1:4">
      <c r="A710" s="1"/>
      <c r="B710" s="3"/>
      <c r="C710" s="4"/>
      <c r="D710" s="3"/>
    </row>
    <row r="711" spans="1:4">
      <c r="A711" s="1"/>
      <c r="B711" s="3"/>
      <c r="C711" s="4"/>
      <c r="D711" s="3"/>
    </row>
    <row r="712" spans="1:4">
      <c r="A712" s="1"/>
      <c r="B712" s="3"/>
      <c r="C712" s="4"/>
      <c r="D712" s="3"/>
    </row>
    <row r="713" spans="1:4">
      <c r="A713" s="1"/>
      <c r="B713" s="3"/>
      <c r="C713" s="4"/>
      <c r="D713" s="3"/>
    </row>
    <row r="714" spans="1:4">
      <c r="A714" s="1"/>
      <c r="B714" s="3"/>
      <c r="C714" s="4"/>
      <c r="D714" s="3"/>
    </row>
    <row r="715" spans="1:4">
      <c r="A715" s="1"/>
      <c r="B715" s="3"/>
      <c r="C715" s="4"/>
      <c r="D715" s="3"/>
    </row>
    <row r="716" spans="1:4">
      <c r="A716" s="1"/>
      <c r="B716" s="3"/>
      <c r="C716" s="4"/>
      <c r="D716" s="3"/>
    </row>
    <row r="717" spans="1:4">
      <c r="A717" s="1"/>
      <c r="B717" s="3"/>
      <c r="C717" s="4"/>
      <c r="D717" s="3"/>
    </row>
    <row r="718" spans="1:4">
      <c r="A718" s="1"/>
      <c r="B718" s="3"/>
      <c r="C718" s="4"/>
      <c r="D718" s="3"/>
    </row>
    <row r="719" spans="1:4">
      <c r="A719" s="1"/>
      <c r="B719" s="3"/>
      <c r="C719" s="4"/>
      <c r="D719" s="3"/>
    </row>
    <row r="720" spans="1:4">
      <c r="A720" s="1"/>
      <c r="B720" s="3"/>
      <c r="C720" s="4"/>
      <c r="D720" s="3"/>
    </row>
    <row r="721" spans="1:4">
      <c r="A721" s="1"/>
      <c r="B721" s="3"/>
      <c r="C721" s="4"/>
      <c r="D721" s="3"/>
    </row>
    <row r="722" spans="1:4">
      <c r="A722" s="1"/>
      <c r="B722" s="3"/>
      <c r="C722" s="4"/>
      <c r="D722" s="3"/>
    </row>
    <row r="723" spans="1:4">
      <c r="A723" s="1"/>
      <c r="B723" s="3"/>
      <c r="C723" s="4"/>
      <c r="D723" s="3"/>
    </row>
    <row r="724" spans="1:4">
      <c r="A724" s="1"/>
      <c r="B724" s="3"/>
      <c r="C724" s="4"/>
      <c r="D724" s="3"/>
    </row>
    <row r="725" spans="1:4">
      <c r="A725" s="1"/>
      <c r="B725" s="3"/>
      <c r="C725" s="4"/>
      <c r="D725" s="3"/>
    </row>
    <row r="726" spans="1:4">
      <c r="A726" s="1"/>
      <c r="B726" s="3"/>
      <c r="C726" s="4"/>
      <c r="D726" s="3"/>
    </row>
    <row r="727" spans="1:4">
      <c r="A727" s="1"/>
      <c r="B727" s="3"/>
      <c r="C727" s="4"/>
      <c r="D727" s="3"/>
    </row>
    <row r="728" spans="1:4">
      <c r="A728" s="1"/>
      <c r="B728" s="3"/>
      <c r="C728" s="4"/>
      <c r="D728" s="3"/>
    </row>
    <row r="729" spans="1:4">
      <c r="A729" s="1"/>
      <c r="B729" s="3"/>
      <c r="C729" s="4"/>
      <c r="D729" s="3"/>
    </row>
    <row r="730" spans="1:4">
      <c r="A730" s="1"/>
      <c r="B730" s="3"/>
      <c r="C730" s="4"/>
      <c r="D730" s="3"/>
    </row>
    <row r="731" spans="1:4">
      <c r="A731" s="1"/>
      <c r="B731" s="3"/>
      <c r="C731" s="4"/>
      <c r="D731" s="3"/>
    </row>
    <row r="732" spans="1:4">
      <c r="A732" s="1"/>
      <c r="B732" s="3"/>
      <c r="C732" s="4"/>
      <c r="D732" s="3"/>
    </row>
    <row r="733" spans="1:4">
      <c r="A733" s="1"/>
      <c r="B733" s="3"/>
      <c r="C733" s="4"/>
      <c r="D733" s="3"/>
    </row>
    <row r="734" spans="1:4">
      <c r="A734" s="1"/>
      <c r="B734" s="3"/>
      <c r="C734" s="4"/>
      <c r="D734" s="3"/>
    </row>
    <row r="735" spans="1:4">
      <c r="A735" s="1"/>
      <c r="B735" s="3"/>
      <c r="C735" s="4"/>
      <c r="D735" s="3"/>
    </row>
    <row r="736" spans="1:4">
      <c r="A736" s="1"/>
      <c r="B736" s="3"/>
      <c r="C736" s="4"/>
      <c r="D736" s="3"/>
    </row>
    <row r="737" spans="1:4">
      <c r="A737" s="1"/>
      <c r="B737" s="3"/>
      <c r="C737" s="4"/>
      <c r="D737" s="3"/>
    </row>
    <row r="738" spans="1:4">
      <c r="A738" s="1"/>
      <c r="B738" s="3"/>
      <c r="C738" s="4"/>
      <c r="D738" s="3"/>
    </row>
    <row r="739" spans="1:4">
      <c r="A739" s="1"/>
      <c r="B739" s="3"/>
      <c r="C739" s="4"/>
      <c r="D739" s="3"/>
    </row>
    <row r="740" spans="1:4">
      <c r="A740" s="1"/>
      <c r="B740" s="3"/>
      <c r="C740" s="4"/>
      <c r="D740" s="3"/>
    </row>
    <row r="741" spans="1:4">
      <c r="A741" s="1"/>
      <c r="B741" s="3"/>
      <c r="C741" s="4"/>
      <c r="D741" s="3"/>
    </row>
    <row r="742" spans="1:4">
      <c r="A742" s="1"/>
      <c r="B742" s="3"/>
      <c r="C742" s="4"/>
      <c r="D742" s="3"/>
    </row>
    <row r="743" spans="1:4">
      <c r="A743" s="1"/>
      <c r="B743" s="3"/>
      <c r="C743" s="4"/>
      <c r="D743" s="3"/>
    </row>
    <row r="744" spans="1:4">
      <c r="A744" s="1"/>
      <c r="B744" s="3"/>
      <c r="C744" s="4"/>
      <c r="D744" s="3"/>
    </row>
    <row r="745" spans="1:4">
      <c r="A745" s="1"/>
      <c r="B745" s="3"/>
      <c r="C745" s="4"/>
      <c r="D745" s="3"/>
    </row>
    <row r="746" spans="1:4">
      <c r="A746" s="1"/>
      <c r="B746" s="3"/>
      <c r="C746" s="4"/>
      <c r="D746" s="3"/>
    </row>
    <row r="747" spans="1:4">
      <c r="A747" s="1"/>
      <c r="B747" s="3"/>
      <c r="C747" s="4"/>
      <c r="D747" s="3"/>
    </row>
    <row r="748" spans="1:4">
      <c r="A748" s="1"/>
      <c r="B748" s="3"/>
      <c r="C748" s="4"/>
      <c r="D748" s="3"/>
    </row>
    <row r="749" spans="1:4">
      <c r="A749" s="1"/>
      <c r="B749" s="3"/>
      <c r="C749" s="4"/>
      <c r="D749" s="3"/>
    </row>
    <row r="750" spans="1:4">
      <c r="A750" s="1"/>
      <c r="B750" s="3"/>
      <c r="C750" s="4"/>
      <c r="D750" s="3"/>
    </row>
    <row r="751" spans="1:4">
      <c r="A751" s="1"/>
      <c r="B751" s="3"/>
      <c r="C751" s="4"/>
      <c r="D751" s="3"/>
    </row>
    <row r="752" spans="1:4">
      <c r="A752" s="1"/>
      <c r="B752" s="3"/>
      <c r="C752" s="4"/>
      <c r="D752" s="3"/>
    </row>
    <row r="753" spans="1:4">
      <c r="A753" s="1"/>
      <c r="B753" s="3"/>
      <c r="C753" s="4"/>
      <c r="D753" s="3"/>
    </row>
    <row r="754" spans="1:4">
      <c r="A754" s="1"/>
      <c r="B754" s="3"/>
      <c r="C754" s="4"/>
      <c r="D754" s="3"/>
    </row>
    <row r="755" spans="1:4">
      <c r="A755" s="1"/>
      <c r="B755" s="3"/>
      <c r="C755" s="4"/>
      <c r="D755" s="3"/>
    </row>
    <row r="756" spans="1:4">
      <c r="A756" s="1"/>
      <c r="B756" s="3"/>
      <c r="C756" s="4"/>
      <c r="D756" s="3"/>
    </row>
    <row r="757" spans="1:4">
      <c r="A757" s="1"/>
      <c r="B757" s="3"/>
      <c r="C757" s="4"/>
      <c r="D757" s="3"/>
    </row>
    <row r="758" spans="1:4">
      <c r="A758" s="1"/>
      <c r="B758" s="3"/>
      <c r="C758" s="4"/>
      <c r="D758" s="3"/>
    </row>
    <row r="759" spans="1:4">
      <c r="A759" s="1"/>
      <c r="B759" s="3"/>
      <c r="C759" s="4"/>
      <c r="D759" s="3"/>
    </row>
    <row r="760" spans="1:4">
      <c r="A760" s="1"/>
      <c r="B760" s="3"/>
      <c r="C760" s="4"/>
      <c r="D760" s="3"/>
    </row>
    <row r="761" spans="1:4">
      <c r="A761" s="1"/>
      <c r="B761" s="3"/>
      <c r="C761" s="4"/>
      <c r="D761" s="3"/>
    </row>
    <row r="762" spans="1:4">
      <c r="A762" s="1"/>
      <c r="B762" s="3"/>
      <c r="C762" s="4"/>
      <c r="D762" s="3"/>
    </row>
    <row r="763" spans="1:4">
      <c r="A763" s="1"/>
      <c r="B763" s="3"/>
      <c r="C763" s="4"/>
      <c r="D763" s="3"/>
    </row>
    <row r="764" spans="1:4">
      <c r="A764" s="1"/>
      <c r="B764" s="3"/>
      <c r="C764" s="4"/>
      <c r="D764" s="3"/>
    </row>
    <row r="765" spans="1:4">
      <c r="A765" s="1"/>
      <c r="B765" s="3"/>
      <c r="C765" s="4"/>
      <c r="D765" s="3"/>
    </row>
    <row r="766" spans="1:4">
      <c r="A766" s="1"/>
      <c r="B766" s="3"/>
      <c r="C766" s="4"/>
      <c r="D766" s="3"/>
    </row>
    <row r="767" spans="1:4">
      <c r="A767" s="1"/>
      <c r="B767" s="3"/>
      <c r="C767" s="4"/>
      <c r="D767" s="3"/>
    </row>
    <row r="768" spans="1:4">
      <c r="A768" s="1"/>
      <c r="B768" s="3"/>
      <c r="C768" s="4"/>
      <c r="D768" s="3"/>
    </row>
    <row r="769" spans="1:4">
      <c r="A769" s="1"/>
      <c r="B769" s="3"/>
      <c r="C769" s="4"/>
      <c r="D769" s="3"/>
    </row>
    <row r="770" spans="1:4">
      <c r="A770" s="1"/>
      <c r="B770" s="3"/>
      <c r="C770" s="4"/>
      <c r="D770" s="3"/>
    </row>
    <row r="771" spans="1:4">
      <c r="A771" s="1"/>
      <c r="B771" s="3"/>
      <c r="C771" s="4"/>
      <c r="D771" s="3"/>
    </row>
    <row r="772" spans="1:4">
      <c r="A772" s="1"/>
      <c r="B772" s="3"/>
      <c r="C772" s="4"/>
      <c r="D772" s="3"/>
    </row>
    <row r="773" spans="1:4">
      <c r="A773" s="1"/>
      <c r="B773" s="3"/>
      <c r="C773" s="4"/>
      <c r="D773" s="3"/>
    </row>
    <row r="774" spans="1:4">
      <c r="A774" s="1"/>
      <c r="B774" s="3"/>
      <c r="C774" s="4"/>
      <c r="D774" s="3"/>
    </row>
    <row r="775" spans="1:4">
      <c r="A775" s="1"/>
      <c r="B775" s="3"/>
      <c r="C775" s="4"/>
      <c r="D775" s="3"/>
    </row>
    <row r="776" spans="1:4">
      <c r="A776" s="1"/>
      <c r="B776" s="3"/>
      <c r="C776" s="4"/>
      <c r="D776" s="3"/>
    </row>
    <row r="777" spans="1:4">
      <c r="A777" s="1"/>
      <c r="B777" s="3"/>
      <c r="C777" s="4"/>
      <c r="D777" s="3"/>
    </row>
    <row r="778" spans="1:4">
      <c r="A778" s="1"/>
      <c r="B778" s="3"/>
      <c r="C778" s="4"/>
      <c r="D778" s="3"/>
    </row>
    <row r="779" spans="1:4">
      <c r="A779" s="1"/>
      <c r="B779" s="3"/>
      <c r="C779" s="4"/>
      <c r="D779" s="3"/>
    </row>
    <row r="780" spans="1:4">
      <c r="A780" s="1"/>
      <c r="B780" s="3"/>
      <c r="C780" s="4"/>
      <c r="D780" s="3"/>
    </row>
    <row r="781" spans="1:4">
      <c r="A781" s="1"/>
      <c r="B781" s="3"/>
      <c r="C781" s="4"/>
      <c r="D781" s="3"/>
    </row>
    <row r="782" spans="1:4">
      <c r="A782" s="1"/>
      <c r="B782" s="3"/>
      <c r="C782" s="4"/>
      <c r="D782" s="3"/>
    </row>
    <row r="783" spans="1:4">
      <c r="A783" s="1"/>
      <c r="B783" s="3"/>
      <c r="C783" s="4"/>
      <c r="D783" s="3"/>
    </row>
    <row r="784" spans="1:4">
      <c r="A784" s="1"/>
      <c r="B784" s="3"/>
      <c r="C784" s="4"/>
      <c r="D784" s="3"/>
    </row>
    <row r="785" spans="1:4">
      <c r="A785" s="1"/>
      <c r="B785" s="3"/>
      <c r="C785" s="4"/>
      <c r="D785" s="3"/>
    </row>
    <row r="786" spans="1:4">
      <c r="A786" s="1"/>
      <c r="B786" s="3"/>
      <c r="C786" s="4"/>
      <c r="D786" s="3"/>
    </row>
    <row r="787" spans="1:4">
      <c r="A787" s="1"/>
      <c r="B787" s="3"/>
      <c r="C787" s="4"/>
      <c r="D787" s="3"/>
    </row>
    <row r="788" spans="1:4">
      <c r="A788" s="1"/>
      <c r="B788" s="3"/>
      <c r="C788" s="4"/>
      <c r="D788" s="3"/>
    </row>
    <row r="789" spans="1:4">
      <c r="A789" s="1"/>
      <c r="B789" s="3"/>
      <c r="C789" s="4"/>
      <c r="D789" s="3"/>
    </row>
    <row r="790" spans="1:4">
      <c r="A790" s="1"/>
      <c r="B790" s="3"/>
      <c r="C790" s="4"/>
      <c r="D790" s="3"/>
    </row>
    <row r="791" spans="1:4">
      <c r="A791" s="1"/>
      <c r="B791" s="3"/>
      <c r="C791" s="4"/>
      <c r="D791" s="3"/>
    </row>
    <row r="792" spans="1:4">
      <c r="A792" s="1"/>
      <c r="B792" s="3"/>
      <c r="C792" s="4"/>
      <c r="D792" s="3"/>
    </row>
    <row r="793" spans="1:4">
      <c r="A793" s="1"/>
      <c r="B793" s="3"/>
      <c r="C793" s="4"/>
      <c r="D793" s="3"/>
    </row>
    <row r="794" spans="1:4">
      <c r="A794" s="1"/>
      <c r="B794" s="3"/>
      <c r="C794" s="4"/>
      <c r="D794" s="3"/>
    </row>
    <row r="795" spans="1:4">
      <c r="A795" s="1"/>
      <c r="B795" s="3"/>
      <c r="C795" s="4"/>
      <c r="D795" s="3"/>
    </row>
    <row r="796" spans="1:4">
      <c r="A796" s="1"/>
      <c r="B796" s="3"/>
      <c r="C796" s="4"/>
      <c r="D796" s="3"/>
    </row>
    <row r="797" spans="1:4">
      <c r="A797" s="1"/>
      <c r="B797" s="3"/>
      <c r="C797" s="4"/>
      <c r="D797" s="3"/>
    </row>
    <row r="798" spans="1:4">
      <c r="A798" s="1"/>
      <c r="B798" s="3"/>
      <c r="C798" s="4"/>
      <c r="D798" s="3"/>
    </row>
    <row r="799" spans="1:4">
      <c r="A799" s="1"/>
      <c r="B799" s="3"/>
      <c r="C799" s="4"/>
      <c r="D799" s="3"/>
    </row>
    <row r="800" spans="1:4">
      <c r="A800" s="1"/>
      <c r="B800" s="3"/>
      <c r="C800" s="4"/>
      <c r="D800" s="3"/>
    </row>
    <row r="801" spans="1:4">
      <c r="A801" s="1"/>
      <c r="B801" s="3"/>
      <c r="C801" s="4"/>
      <c r="D801" s="3"/>
    </row>
    <row r="802" spans="1:4">
      <c r="A802" s="1"/>
      <c r="B802" s="3"/>
      <c r="C802" s="4"/>
      <c r="D802" s="3"/>
    </row>
    <row r="803" spans="1:4">
      <c r="A803" s="1"/>
      <c r="B803" s="3"/>
      <c r="C803" s="4"/>
      <c r="D803" s="3"/>
    </row>
    <row r="804" spans="1:4">
      <c r="A804" s="1"/>
      <c r="B804" s="3"/>
      <c r="C804" s="4"/>
      <c r="D804" s="3"/>
    </row>
    <row r="805" spans="1:4">
      <c r="A805" s="1"/>
      <c r="B805" s="3"/>
      <c r="C805" s="4"/>
      <c r="D805" s="3"/>
    </row>
    <row r="806" spans="1:4">
      <c r="A806" s="1"/>
      <c r="B806" s="3"/>
      <c r="C806" s="4"/>
      <c r="D806" s="3"/>
    </row>
    <row r="807" spans="1:4">
      <c r="A807" s="1"/>
      <c r="B807" s="3"/>
      <c r="C807" s="4"/>
      <c r="D807" s="3"/>
    </row>
    <row r="808" spans="1:4">
      <c r="A808" s="1"/>
      <c r="B808" s="3"/>
      <c r="C808" s="4"/>
      <c r="D808" s="3"/>
    </row>
    <row r="809" spans="1:4">
      <c r="A809" s="1"/>
      <c r="B809" s="3"/>
      <c r="C809" s="4"/>
      <c r="D809" s="3"/>
    </row>
    <row r="810" spans="1:4">
      <c r="A810" s="1"/>
      <c r="B810" s="3"/>
      <c r="C810" s="4"/>
      <c r="D810" s="3"/>
    </row>
    <row r="811" spans="1:4">
      <c r="A811" s="1"/>
      <c r="B811" s="3"/>
      <c r="C811" s="4"/>
      <c r="D811" s="3"/>
    </row>
    <row r="812" spans="1:4">
      <c r="A812" s="1"/>
      <c r="B812" s="3"/>
      <c r="C812" s="4"/>
      <c r="D812" s="3"/>
    </row>
    <row r="813" spans="1:4">
      <c r="A813" s="1"/>
      <c r="B813" s="3"/>
      <c r="C813" s="4"/>
      <c r="D813" s="3"/>
    </row>
    <row r="814" spans="1:4">
      <c r="A814" s="1"/>
      <c r="B814" s="3"/>
      <c r="C814" s="4"/>
      <c r="D814" s="3"/>
    </row>
    <row r="815" spans="1:4">
      <c r="A815" s="1"/>
      <c r="B815" s="3"/>
      <c r="C815" s="4"/>
      <c r="D815" s="3"/>
    </row>
    <row r="816" spans="1:4">
      <c r="A816" s="1"/>
      <c r="B816" s="3"/>
      <c r="C816" s="4"/>
      <c r="D816" s="3"/>
    </row>
    <row r="817" spans="1:4">
      <c r="A817" s="1"/>
      <c r="B817" s="3"/>
      <c r="C817" s="4"/>
      <c r="D817" s="3"/>
    </row>
    <row r="818" spans="1:4">
      <c r="A818" s="1"/>
      <c r="B818" s="3"/>
      <c r="C818" s="4"/>
      <c r="D818" s="3"/>
    </row>
    <row r="819" spans="1:4">
      <c r="A819" s="1"/>
      <c r="B819" s="3"/>
      <c r="C819" s="4"/>
      <c r="D819" s="3"/>
    </row>
    <row r="820" spans="1:4">
      <c r="A820" s="1"/>
      <c r="B820" s="3"/>
      <c r="C820" s="4"/>
      <c r="D820" s="3"/>
    </row>
    <row r="821" spans="1:4">
      <c r="A821" s="1"/>
      <c r="B821" s="3"/>
      <c r="C821" s="4"/>
      <c r="D821" s="3"/>
    </row>
    <row r="822" spans="1:4">
      <c r="A822" s="1"/>
      <c r="B822" s="3"/>
      <c r="C822" s="4"/>
      <c r="D822" s="3"/>
    </row>
    <row r="823" spans="1:4">
      <c r="A823" s="1"/>
      <c r="B823" s="3"/>
      <c r="C823" s="4"/>
      <c r="D823" s="3"/>
    </row>
    <row r="824" spans="1:4">
      <c r="A824" s="1"/>
      <c r="B824" s="3"/>
      <c r="C824" s="4"/>
      <c r="D824" s="3"/>
    </row>
    <row r="825" spans="1:4">
      <c r="A825" s="1"/>
      <c r="B825" s="3"/>
      <c r="C825" s="4"/>
      <c r="D825" s="3"/>
    </row>
    <row r="826" spans="1:4">
      <c r="A826" s="1"/>
      <c r="B826" s="3"/>
      <c r="C826" s="4"/>
      <c r="D826" s="3"/>
    </row>
    <row r="827" spans="1:4">
      <c r="A827" s="1"/>
      <c r="B827" s="3"/>
      <c r="C827" s="4"/>
      <c r="D827" s="3"/>
    </row>
    <row r="828" spans="1:4">
      <c r="A828" s="1"/>
      <c r="B828" s="3"/>
      <c r="C828" s="4"/>
      <c r="D828" s="3"/>
    </row>
    <row r="829" spans="1:4">
      <c r="A829" s="1"/>
      <c r="B829" s="3"/>
      <c r="C829" s="4"/>
      <c r="D829" s="3"/>
    </row>
    <row r="830" spans="1:4">
      <c r="A830" s="1"/>
      <c r="B830" s="3"/>
      <c r="C830" s="4"/>
      <c r="D830" s="3"/>
    </row>
    <row r="831" spans="1:4">
      <c r="A831" s="1"/>
      <c r="B831" s="3"/>
      <c r="C831" s="4"/>
      <c r="D831" s="3"/>
    </row>
    <row r="832" spans="1:4">
      <c r="A832" s="1"/>
      <c r="B832" s="3"/>
      <c r="C832" s="4"/>
      <c r="D832" s="3"/>
    </row>
    <row r="833" spans="1:4">
      <c r="A833" s="1"/>
      <c r="B833" s="3"/>
      <c r="C833" s="4"/>
      <c r="D833" s="3"/>
    </row>
    <row r="834" spans="1:4">
      <c r="A834" s="1"/>
      <c r="B834" s="3"/>
      <c r="C834" s="4"/>
      <c r="D834" s="3"/>
    </row>
    <row r="835" spans="1:4">
      <c r="A835" s="1"/>
      <c r="B835" s="3"/>
      <c r="C835" s="4"/>
      <c r="D835" s="3"/>
    </row>
    <row r="836" spans="1:4">
      <c r="A836" s="1"/>
      <c r="B836" s="3"/>
      <c r="C836" s="4"/>
      <c r="D836" s="3"/>
    </row>
    <row r="837" spans="1:4">
      <c r="A837" s="1"/>
      <c r="B837" s="3"/>
      <c r="C837" s="4"/>
      <c r="D837" s="3"/>
    </row>
    <row r="838" spans="1:4">
      <c r="A838" s="1"/>
      <c r="B838" s="3"/>
      <c r="C838" s="4"/>
      <c r="D838" s="3"/>
    </row>
    <row r="839" spans="1:4">
      <c r="A839" s="1"/>
      <c r="B839" s="3"/>
      <c r="C839" s="4"/>
      <c r="D839" s="3"/>
    </row>
    <row r="840" spans="1:4">
      <c r="A840" s="1"/>
      <c r="B840" s="3"/>
      <c r="C840" s="4"/>
      <c r="D840" s="3"/>
    </row>
    <row r="841" spans="1:4">
      <c r="A841" s="1"/>
      <c r="B841" s="3"/>
      <c r="C841" s="4"/>
      <c r="D841" s="3"/>
    </row>
    <row r="842" spans="1:4">
      <c r="A842" s="1"/>
      <c r="B842" s="3"/>
      <c r="C842" s="4"/>
      <c r="D842" s="3"/>
    </row>
    <row r="843" spans="1:4">
      <c r="A843" s="1"/>
      <c r="B843" s="3"/>
      <c r="C843" s="4"/>
      <c r="D843" s="3"/>
    </row>
    <row r="844" spans="1:4">
      <c r="A844" s="1"/>
      <c r="B844" s="3"/>
      <c r="C844" s="4"/>
      <c r="D844" s="3"/>
    </row>
    <row r="845" spans="1:4">
      <c r="A845" s="1"/>
      <c r="B845" s="3"/>
      <c r="C845" s="4"/>
      <c r="D845" s="3"/>
    </row>
    <row r="846" spans="1:4">
      <c r="A846" s="1"/>
      <c r="B846" s="3"/>
      <c r="C846" s="4"/>
      <c r="D846" s="3"/>
    </row>
    <row r="847" spans="1:4">
      <c r="A847" s="1"/>
      <c r="B847" s="3"/>
      <c r="C847" s="4"/>
      <c r="D847" s="3"/>
    </row>
    <row r="848" spans="1:4">
      <c r="A848" s="1"/>
      <c r="B848" s="3"/>
      <c r="C848" s="4"/>
      <c r="D848" s="3"/>
    </row>
    <row r="849" spans="1:4">
      <c r="A849" s="1"/>
      <c r="B849" s="3"/>
      <c r="C849" s="4"/>
      <c r="D849" s="3"/>
    </row>
    <row r="850" spans="1:4">
      <c r="A850" s="1"/>
      <c r="B850" s="3"/>
      <c r="C850" s="4"/>
      <c r="D850" s="3"/>
    </row>
    <row r="851" spans="1:4">
      <c r="A851" s="1"/>
      <c r="B851" s="3"/>
      <c r="C851" s="4"/>
      <c r="D851" s="3"/>
    </row>
    <row r="852" spans="1:4">
      <c r="A852" s="1"/>
      <c r="B852" s="3"/>
      <c r="C852" s="4"/>
      <c r="D852" s="3"/>
    </row>
    <row r="853" spans="1:4">
      <c r="A853" s="1"/>
      <c r="B853" s="3"/>
      <c r="C853" s="4"/>
      <c r="D853" s="3"/>
    </row>
    <row r="854" spans="1:4">
      <c r="A854" s="1"/>
      <c r="B854" s="3"/>
      <c r="C854" s="4"/>
      <c r="D854" s="3"/>
    </row>
    <row r="855" spans="1:4">
      <c r="A855" s="1"/>
      <c r="B855" s="3"/>
      <c r="C855" s="4"/>
      <c r="D855" s="3"/>
    </row>
    <row r="856" spans="1:4">
      <c r="A856" s="1"/>
      <c r="B856" s="3"/>
      <c r="C856" s="4"/>
      <c r="D856" s="3"/>
    </row>
    <row r="857" spans="1:4">
      <c r="A857" s="1"/>
      <c r="B857" s="3"/>
      <c r="C857" s="4"/>
      <c r="D857" s="3"/>
    </row>
    <row r="858" spans="1:4">
      <c r="A858" s="1"/>
      <c r="B858" s="3"/>
      <c r="C858" s="4"/>
      <c r="D858" s="3"/>
    </row>
    <row r="859" spans="1:4">
      <c r="A859" s="1"/>
      <c r="B859" s="3"/>
      <c r="C859" s="4"/>
      <c r="D859" s="3"/>
    </row>
    <row r="860" spans="1:4">
      <c r="A860" s="1"/>
      <c r="B860" s="3"/>
      <c r="C860" s="4"/>
      <c r="D860" s="3"/>
    </row>
    <row r="861" spans="1:4">
      <c r="A861" s="1"/>
      <c r="B861" s="3"/>
      <c r="C861" s="4"/>
      <c r="D861" s="3"/>
    </row>
    <row r="862" spans="1:4">
      <c r="A862" s="1"/>
      <c r="B862" s="3"/>
      <c r="C862" s="4"/>
      <c r="D862" s="3"/>
    </row>
    <row r="863" spans="1:4">
      <c r="A863" s="1"/>
      <c r="B863" s="3"/>
      <c r="C863" s="4"/>
      <c r="D863" s="3"/>
    </row>
    <row r="864" spans="1:4">
      <c r="A864" s="1"/>
      <c r="B864" s="3"/>
      <c r="C864" s="4"/>
      <c r="D864" s="3"/>
    </row>
    <row r="865" spans="1:4">
      <c r="A865" s="1"/>
      <c r="B865" s="3"/>
      <c r="C865" s="4"/>
      <c r="D865" s="3"/>
    </row>
    <row r="866" spans="1:4">
      <c r="A866" s="1"/>
      <c r="B866" s="3"/>
      <c r="C866" s="4"/>
      <c r="D866" s="3"/>
    </row>
    <row r="867" spans="1:4">
      <c r="A867" s="1"/>
      <c r="B867" s="3"/>
      <c r="C867" s="4"/>
      <c r="D867" s="3"/>
    </row>
    <row r="868" spans="1:4">
      <c r="A868" s="1"/>
      <c r="B868" s="3"/>
      <c r="C868" s="4"/>
      <c r="D868" s="3"/>
    </row>
    <row r="869" spans="1:4">
      <c r="A869" s="1"/>
      <c r="B869" s="3"/>
      <c r="C869" s="4"/>
      <c r="D869" s="3"/>
    </row>
    <row r="870" spans="1:4">
      <c r="A870" s="1"/>
      <c r="B870" s="3"/>
      <c r="C870" s="4"/>
      <c r="D870" s="3"/>
    </row>
    <row r="871" spans="1:4">
      <c r="A871" s="1"/>
      <c r="B871" s="3"/>
      <c r="C871" s="4"/>
      <c r="D871" s="3"/>
    </row>
    <row r="872" spans="1:4">
      <c r="A872" s="1"/>
      <c r="B872" s="3"/>
      <c r="C872" s="4"/>
      <c r="D872" s="3"/>
    </row>
    <row r="873" spans="1:4">
      <c r="A873" s="1"/>
      <c r="B873" s="3"/>
      <c r="C873" s="4"/>
      <c r="D873" s="3"/>
    </row>
    <row r="874" spans="1:4">
      <c r="A874" s="1"/>
      <c r="B874" s="3"/>
      <c r="C874" s="4"/>
      <c r="D874" s="3"/>
    </row>
    <row r="875" spans="1:4">
      <c r="A875" s="1"/>
      <c r="B875" s="3"/>
      <c r="C875" s="4"/>
      <c r="D875" s="3"/>
    </row>
    <row r="876" spans="1:4">
      <c r="A876" s="1"/>
      <c r="B876" s="3"/>
      <c r="C876" s="4"/>
      <c r="D876" s="3"/>
    </row>
    <row r="877" spans="1:4">
      <c r="A877" s="1"/>
      <c r="B877" s="3"/>
      <c r="C877" s="4"/>
      <c r="D877" s="3"/>
    </row>
    <row r="878" spans="1:4">
      <c r="A878" s="1"/>
      <c r="B878" s="3"/>
      <c r="C878" s="4"/>
      <c r="D878" s="3"/>
    </row>
    <row r="879" spans="1:4">
      <c r="A879" s="1"/>
      <c r="B879" s="3"/>
      <c r="C879" s="4"/>
      <c r="D879" s="3"/>
    </row>
    <row r="880" spans="1:4">
      <c r="A880" s="1"/>
      <c r="B880" s="3"/>
      <c r="C880" s="4"/>
      <c r="D880" s="3"/>
    </row>
    <row r="881" spans="1:4">
      <c r="A881" s="1"/>
      <c r="B881" s="3"/>
      <c r="C881" s="4"/>
      <c r="D881" s="3"/>
    </row>
    <row r="882" spans="1:4">
      <c r="A882" s="1"/>
      <c r="B882" s="3"/>
      <c r="C882" s="4"/>
      <c r="D882" s="3"/>
    </row>
    <row r="883" spans="1:4">
      <c r="A883" s="1"/>
      <c r="B883" s="3"/>
      <c r="C883" s="4"/>
      <c r="D883" s="3"/>
    </row>
    <row r="884" spans="1:4">
      <c r="A884" s="1"/>
      <c r="B884" s="3"/>
      <c r="C884" s="4"/>
      <c r="D884" s="3"/>
    </row>
    <row r="885" spans="1:4">
      <c r="A885" s="1"/>
      <c r="B885" s="3"/>
      <c r="C885" s="4"/>
      <c r="D885" s="3"/>
    </row>
    <row r="886" spans="1:4">
      <c r="A886" s="1"/>
      <c r="B886" s="3"/>
      <c r="C886" s="4"/>
      <c r="D886" s="3"/>
    </row>
    <row r="887" spans="1:4">
      <c r="A887" s="1"/>
      <c r="B887" s="3"/>
      <c r="C887" s="4"/>
      <c r="D887" s="3"/>
    </row>
    <row r="888" spans="1:4">
      <c r="A888" s="1"/>
      <c r="B888" s="3"/>
      <c r="C888" s="4"/>
      <c r="D888" s="3"/>
    </row>
    <row r="889" spans="1:4">
      <c r="A889" s="1"/>
      <c r="B889" s="3"/>
      <c r="C889" s="4"/>
      <c r="D889" s="3"/>
    </row>
    <row r="890" spans="1:4">
      <c r="A890" s="1"/>
      <c r="B890" s="3"/>
      <c r="C890" s="4"/>
      <c r="D890" s="3"/>
    </row>
    <row r="891" spans="1:4">
      <c r="A891" s="1"/>
      <c r="B891" s="3"/>
      <c r="C891" s="4"/>
      <c r="D891" s="3"/>
    </row>
    <row r="892" spans="1:4">
      <c r="A892" s="1"/>
      <c r="B892" s="3"/>
      <c r="C892" s="4"/>
      <c r="D892" s="3"/>
    </row>
    <row r="893" spans="1:4">
      <c r="A893" s="1"/>
      <c r="B893" s="3"/>
      <c r="C893" s="4"/>
      <c r="D893" s="3"/>
    </row>
    <row r="894" spans="1:4">
      <c r="A894" s="1"/>
      <c r="B894" s="3"/>
      <c r="C894" s="4"/>
      <c r="D894" s="3"/>
    </row>
    <row r="895" spans="1:4">
      <c r="A895" s="1"/>
      <c r="B895" s="3"/>
      <c r="C895" s="4"/>
      <c r="D895" s="3"/>
    </row>
    <row r="896" spans="1:4">
      <c r="A896" s="1"/>
      <c r="B896" s="3"/>
      <c r="C896" s="4"/>
      <c r="D896" s="3"/>
    </row>
    <row r="897" spans="1:4">
      <c r="A897" s="1"/>
      <c r="B897" s="3"/>
      <c r="C897" s="4"/>
      <c r="D897" s="3"/>
    </row>
    <row r="898" spans="1:4">
      <c r="A898" s="1"/>
      <c r="B898" s="3"/>
      <c r="C898" s="4"/>
      <c r="D898" s="3"/>
    </row>
    <row r="899" spans="1:4">
      <c r="A899" s="1"/>
      <c r="B899" s="3"/>
      <c r="C899" s="4"/>
      <c r="D899" s="3"/>
    </row>
    <row r="900" spans="1:4">
      <c r="A900" s="1"/>
      <c r="B900" s="3"/>
      <c r="C900" s="4"/>
      <c r="D900" s="3"/>
    </row>
    <row r="901" spans="1:4">
      <c r="A901" s="1"/>
      <c r="B901" s="3"/>
      <c r="C901" s="4"/>
      <c r="D901" s="3"/>
    </row>
    <row r="902" spans="1:4">
      <c r="A902" s="1"/>
      <c r="B902" s="3"/>
      <c r="C902" s="4"/>
      <c r="D902" s="3"/>
    </row>
    <row r="903" spans="1:4">
      <c r="A903" s="1"/>
      <c r="B903" s="3"/>
      <c r="C903" s="4"/>
      <c r="D903" s="3"/>
    </row>
    <row r="904" spans="1:4">
      <c r="A904" s="1"/>
      <c r="B904" s="3"/>
      <c r="C904" s="4"/>
      <c r="D904" s="3"/>
    </row>
    <row r="905" spans="1:4">
      <c r="A905" s="1"/>
      <c r="B905" s="3"/>
      <c r="C905" s="4"/>
      <c r="D905" s="3"/>
    </row>
    <row r="906" spans="1:4">
      <c r="A906" s="1"/>
      <c r="B906" s="3"/>
      <c r="C906" s="4"/>
      <c r="D906" s="3"/>
    </row>
    <row r="907" spans="1:4">
      <c r="A907" s="1"/>
      <c r="B907" s="3"/>
      <c r="C907" s="4"/>
      <c r="D907" s="3"/>
    </row>
    <row r="908" spans="1:4">
      <c r="A908" s="1"/>
      <c r="B908" s="3"/>
      <c r="C908" s="4"/>
      <c r="D908" s="3"/>
    </row>
    <row r="909" spans="1:4">
      <c r="A909" s="1"/>
      <c r="B909" s="3"/>
      <c r="C909" s="4"/>
      <c r="D909" s="3"/>
    </row>
    <row r="910" spans="1:4">
      <c r="A910" s="1"/>
      <c r="B910" s="3"/>
      <c r="C910" s="4"/>
      <c r="D910" s="3"/>
    </row>
    <row r="911" spans="1:4">
      <c r="A911" s="1"/>
      <c r="B911" s="3"/>
      <c r="C911" s="4"/>
      <c r="D911" s="3"/>
    </row>
    <row r="912" spans="1:4">
      <c r="A912" s="1"/>
      <c r="B912" s="3"/>
      <c r="C912" s="4"/>
      <c r="D912" s="3"/>
    </row>
    <row r="913" spans="1:4">
      <c r="A913" s="1"/>
      <c r="B913" s="3"/>
      <c r="C913" s="4"/>
      <c r="D913" s="3"/>
    </row>
    <row r="914" spans="1:4">
      <c r="A914" s="1"/>
      <c r="B914" s="3"/>
      <c r="C914" s="4"/>
      <c r="D914" s="3"/>
    </row>
    <row r="915" spans="1:4">
      <c r="A915" s="1"/>
      <c r="B915" s="3"/>
      <c r="C915" s="4"/>
      <c r="D915" s="3"/>
    </row>
    <row r="916" spans="1:4">
      <c r="A916" s="1"/>
      <c r="B916" s="3"/>
      <c r="C916" s="4"/>
      <c r="D916" s="3"/>
    </row>
    <row r="917" spans="1:4">
      <c r="A917" s="1"/>
      <c r="B917" s="3"/>
      <c r="C917" s="4"/>
      <c r="D917" s="3"/>
    </row>
    <row r="918" spans="1:4">
      <c r="A918" s="1"/>
      <c r="B918" s="3"/>
      <c r="C918" s="4"/>
      <c r="D918" s="3"/>
    </row>
    <row r="919" spans="1:4">
      <c r="A919" s="1"/>
      <c r="B919" s="3"/>
      <c r="C919" s="4"/>
      <c r="D919" s="3"/>
    </row>
    <row r="920" spans="1:4">
      <c r="A920" s="1"/>
      <c r="B920" s="3"/>
      <c r="C920" s="4"/>
      <c r="D920" s="3"/>
    </row>
    <row r="921" spans="1:4">
      <c r="A921" s="1"/>
      <c r="B921" s="3"/>
      <c r="C921" s="4"/>
      <c r="D921" s="3"/>
    </row>
    <row r="922" spans="1:4">
      <c r="A922" s="1"/>
      <c r="B922" s="3"/>
      <c r="C922" s="4"/>
      <c r="D922" s="3"/>
    </row>
    <row r="923" spans="1:4">
      <c r="A923" s="1"/>
      <c r="B923" s="3"/>
      <c r="C923" s="4"/>
      <c r="D923" s="3"/>
    </row>
    <row r="924" spans="1:4">
      <c r="A924" s="1"/>
      <c r="B924" s="3"/>
      <c r="C924" s="4"/>
      <c r="D924" s="3"/>
    </row>
    <row r="925" spans="1:4">
      <c r="A925" s="1"/>
      <c r="B925" s="3"/>
      <c r="C925" s="4"/>
      <c r="D925" s="3"/>
    </row>
    <row r="926" spans="1:4">
      <c r="A926" s="1"/>
      <c r="B926" s="3"/>
      <c r="C926" s="4"/>
      <c r="D926" s="3"/>
    </row>
    <row r="927" spans="1:4">
      <c r="A927" s="1"/>
      <c r="B927" s="3"/>
      <c r="C927" s="4"/>
      <c r="D927" s="3"/>
    </row>
    <row r="928" spans="1:4">
      <c r="A928" s="1"/>
      <c r="B928" s="3"/>
      <c r="C928" s="4"/>
      <c r="D928" s="3"/>
    </row>
    <row r="929" spans="1:4">
      <c r="A929" s="1"/>
      <c r="B929" s="3"/>
      <c r="C929" s="4"/>
      <c r="D929" s="3"/>
    </row>
    <row r="930" spans="1:4">
      <c r="A930" s="1"/>
      <c r="B930" s="3"/>
      <c r="C930" s="4"/>
      <c r="D930" s="3"/>
    </row>
    <row r="931" spans="1:4">
      <c r="A931" s="1"/>
      <c r="B931" s="3"/>
      <c r="C931" s="4"/>
      <c r="D931" s="3"/>
    </row>
    <row r="932" spans="1:4">
      <c r="A932" s="1"/>
      <c r="B932" s="3"/>
      <c r="C932" s="4"/>
      <c r="D932" s="3"/>
    </row>
    <row r="933" spans="1:4">
      <c r="A933" s="1"/>
      <c r="B933" s="3"/>
      <c r="C933" s="4"/>
      <c r="D933" s="3"/>
    </row>
    <row r="934" spans="1:4">
      <c r="A934" s="1"/>
      <c r="B934" s="3"/>
      <c r="C934" s="4"/>
      <c r="D934" s="3"/>
    </row>
    <row r="935" spans="1:4">
      <c r="A935" s="1"/>
      <c r="B935" s="3"/>
      <c r="C935" s="4"/>
      <c r="D935" s="3"/>
    </row>
    <row r="936" spans="1:4">
      <c r="A936" s="1"/>
      <c r="B936" s="3"/>
      <c r="C936" s="4"/>
      <c r="D936" s="3"/>
    </row>
    <row r="937" spans="1:4">
      <c r="A937" s="1"/>
      <c r="B937" s="3"/>
      <c r="C937" s="4"/>
      <c r="D937" s="3"/>
    </row>
    <row r="938" spans="1:4">
      <c r="A938" s="1"/>
      <c r="B938" s="3"/>
      <c r="C938" s="4"/>
      <c r="D938" s="3"/>
    </row>
    <row r="939" spans="1:4">
      <c r="A939" s="1"/>
      <c r="B939" s="3"/>
      <c r="C939" s="4"/>
      <c r="D939" s="3"/>
    </row>
    <row r="940" spans="1:4">
      <c r="A940" s="1"/>
      <c r="B940" s="3"/>
      <c r="C940" s="4"/>
      <c r="D940" s="3"/>
    </row>
    <row r="941" spans="1:4">
      <c r="A941" s="1"/>
      <c r="B941" s="3"/>
      <c r="C941" s="4"/>
      <c r="D941" s="3"/>
    </row>
    <row r="942" spans="1:4">
      <c r="A942" s="1"/>
      <c r="B942" s="3"/>
      <c r="C942" s="4"/>
      <c r="D942" s="3"/>
    </row>
    <row r="943" spans="1:4">
      <c r="A943" s="1"/>
      <c r="B943" s="3"/>
      <c r="C943" s="4"/>
      <c r="D943" s="3"/>
    </row>
    <row r="944" spans="1:4">
      <c r="A944" s="1"/>
      <c r="B944" s="3"/>
      <c r="C944" s="4"/>
      <c r="D944" s="3"/>
    </row>
    <row r="945" spans="1:4">
      <c r="A945" s="1"/>
      <c r="B945" s="3"/>
      <c r="C945" s="4"/>
      <c r="D945" s="3"/>
    </row>
    <row r="946" spans="1:4">
      <c r="A946" s="1"/>
      <c r="B946" s="3"/>
      <c r="C946" s="4"/>
      <c r="D946" s="3"/>
    </row>
    <row r="947" spans="1:4">
      <c r="A947" s="1"/>
      <c r="B947" s="3"/>
      <c r="C947" s="4"/>
      <c r="D947" s="3"/>
    </row>
    <row r="948" spans="1:4">
      <c r="A948" s="1"/>
      <c r="B948" s="3"/>
      <c r="C948" s="4"/>
      <c r="D948" s="3"/>
    </row>
    <row r="949" spans="1:4">
      <c r="A949" s="1"/>
      <c r="B949" s="3"/>
      <c r="C949" s="4"/>
      <c r="D949" s="3"/>
    </row>
    <row r="950" spans="1:4">
      <c r="A950" s="1"/>
      <c r="B950" s="3"/>
      <c r="C950" s="4"/>
      <c r="D950" s="3"/>
    </row>
    <row r="951" spans="1:4">
      <c r="A951" s="1"/>
      <c r="B951" s="3"/>
      <c r="C951" s="4"/>
      <c r="D951" s="3"/>
    </row>
    <row r="952" spans="1:4">
      <c r="A952" s="1"/>
      <c r="B952" s="3"/>
      <c r="C952" s="4"/>
      <c r="D952" s="3"/>
    </row>
    <row r="953" spans="1:4">
      <c r="A953" s="1"/>
      <c r="B953" s="3"/>
      <c r="C953" s="4"/>
      <c r="D953" s="3"/>
    </row>
    <row r="954" spans="1:4">
      <c r="A954" s="1"/>
      <c r="B954" s="3"/>
      <c r="C954" s="4"/>
      <c r="D954" s="3"/>
    </row>
    <row r="955" spans="1:4">
      <c r="A955" s="1"/>
      <c r="B955" s="3"/>
      <c r="C955" s="4"/>
      <c r="D955" s="3"/>
    </row>
    <row r="956" spans="1:4">
      <c r="A956" s="1"/>
      <c r="B956" s="3"/>
      <c r="C956" s="4"/>
      <c r="D956" s="3"/>
    </row>
    <row r="957" spans="1:4">
      <c r="A957" s="1"/>
      <c r="B957" s="3"/>
      <c r="C957" s="4"/>
      <c r="D957" s="3"/>
    </row>
    <row r="958" spans="1:4">
      <c r="A958" s="1"/>
      <c r="B958" s="3"/>
      <c r="C958" s="4"/>
      <c r="D958" s="3"/>
    </row>
    <row r="959" spans="1:4">
      <c r="A959" s="1"/>
      <c r="B959" s="3"/>
      <c r="C959" s="4"/>
      <c r="D959" s="3"/>
    </row>
    <row r="960" spans="1:4">
      <c r="A960" s="1"/>
      <c r="B960" s="3"/>
      <c r="C960" s="4"/>
      <c r="D960" s="3"/>
    </row>
    <row r="961" spans="1:4">
      <c r="A961" s="1"/>
      <c r="B961" s="3"/>
      <c r="C961" s="4"/>
      <c r="D961" s="3"/>
    </row>
    <row r="962" spans="1:4">
      <c r="A962" s="1"/>
      <c r="B962" s="3"/>
      <c r="C962" s="4"/>
      <c r="D962" s="3"/>
    </row>
    <row r="963" spans="1:4">
      <c r="A963" s="1"/>
      <c r="B963" s="3"/>
      <c r="C963" s="4"/>
      <c r="D963" s="3"/>
    </row>
    <row r="964" spans="1:4">
      <c r="A964" s="1"/>
      <c r="B964" s="3"/>
      <c r="C964" s="4"/>
      <c r="D964" s="3"/>
    </row>
    <row r="965" spans="1:4">
      <c r="A965" s="1"/>
      <c r="B965" s="3"/>
      <c r="C965" s="4"/>
      <c r="D965" s="3"/>
    </row>
    <row r="966" spans="1:4">
      <c r="A966" s="1"/>
      <c r="B966" s="3"/>
      <c r="C966" s="4"/>
      <c r="D966" s="3"/>
    </row>
    <row r="967" spans="1:4">
      <c r="A967" s="1"/>
      <c r="B967" s="3"/>
      <c r="C967" s="4"/>
      <c r="D967" s="3"/>
    </row>
    <row r="968" spans="1:4">
      <c r="A968" s="1"/>
      <c r="B968" s="3"/>
      <c r="C968" s="4"/>
      <c r="D968" s="3"/>
    </row>
    <row r="969" spans="1:4">
      <c r="A969" s="1"/>
      <c r="B969" s="3"/>
      <c r="C969" s="4"/>
      <c r="D969" s="3"/>
    </row>
    <row r="970" spans="1:4">
      <c r="A970" s="1"/>
      <c r="B970" s="3"/>
      <c r="C970" s="4"/>
      <c r="D970" s="3"/>
    </row>
    <row r="971" spans="1:4">
      <c r="A971" s="1"/>
      <c r="B971" s="3"/>
      <c r="C971" s="4"/>
      <c r="D971" s="3"/>
    </row>
    <row r="972" spans="1:4">
      <c r="A972" s="1"/>
      <c r="B972" s="3"/>
      <c r="C972" s="4"/>
      <c r="D972" s="3"/>
    </row>
    <row r="973" spans="1:4">
      <c r="A973" s="1"/>
      <c r="B973" s="3"/>
      <c r="C973" s="4"/>
      <c r="D973" s="3"/>
    </row>
    <row r="974" spans="1:4">
      <c r="A974" s="1"/>
      <c r="B974" s="3"/>
      <c r="C974" s="4"/>
      <c r="D974" s="3"/>
    </row>
    <row r="975" spans="1:4">
      <c r="A975" s="1"/>
      <c r="B975" s="3"/>
      <c r="C975" s="4"/>
      <c r="D975" s="3"/>
    </row>
    <row r="976" spans="1:4">
      <c r="A976" s="1"/>
      <c r="B976" s="3"/>
      <c r="C976" s="4"/>
      <c r="D976" s="3"/>
    </row>
    <row r="977" spans="1:4">
      <c r="A977" s="1"/>
      <c r="B977" s="3"/>
      <c r="C977" s="4"/>
      <c r="D977" s="3"/>
    </row>
    <row r="978" spans="1:4">
      <c r="A978" s="1"/>
      <c r="B978" s="3"/>
      <c r="C978" s="4"/>
      <c r="D978" s="3"/>
    </row>
    <row r="979" spans="1:4">
      <c r="A979" s="1"/>
      <c r="B979" s="3"/>
      <c r="C979" s="4"/>
      <c r="D979" s="3"/>
    </row>
    <row r="980" spans="1:4">
      <c r="A980" s="1"/>
      <c r="B980" s="3"/>
      <c r="C980" s="4"/>
      <c r="D980" s="3"/>
    </row>
    <row r="981" spans="1:4">
      <c r="A981" s="1"/>
      <c r="B981" s="3"/>
      <c r="C981" s="4"/>
      <c r="D981" s="3"/>
    </row>
    <row r="982" spans="1:4">
      <c r="A982" s="1"/>
      <c r="B982" s="3"/>
      <c r="C982" s="4"/>
      <c r="D982" s="3"/>
    </row>
    <row r="983" spans="1:4">
      <c r="A983" s="1"/>
      <c r="B983" s="3"/>
      <c r="C983" s="4"/>
      <c r="D983" s="3"/>
    </row>
    <row r="984" spans="1:4">
      <c r="A984" s="1"/>
      <c r="B984" s="3"/>
      <c r="C984" s="4"/>
      <c r="D984" s="3"/>
    </row>
    <row r="985" spans="1:4">
      <c r="A985" s="1"/>
      <c r="B985" s="3"/>
      <c r="C985" s="4"/>
      <c r="D985" s="3"/>
    </row>
    <row r="986" spans="1:4">
      <c r="A986" s="1"/>
      <c r="B986" s="3"/>
      <c r="C986" s="4"/>
      <c r="D986" s="3"/>
    </row>
    <row r="987" spans="1:4">
      <c r="A987" s="1"/>
      <c r="B987" s="3"/>
      <c r="C987" s="4"/>
      <c r="D987" s="3"/>
    </row>
    <row r="988" spans="1:4">
      <c r="A988" s="1"/>
      <c r="B988" s="3"/>
      <c r="C988" s="4"/>
      <c r="D988" s="3"/>
    </row>
    <row r="989" spans="1:4">
      <c r="A989" s="1"/>
      <c r="B989" s="3"/>
      <c r="C989" s="4"/>
      <c r="D989" s="3"/>
    </row>
    <row r="990" spans="1:4">
      <c r="A990" s="1"/>
      <c r="B990" s="3"/>
      <c r="C990" s="4"/>
      <c r="D990" s="3"/>
    </row>
    <row r="991" spans="1:4">
      <c r="A991" s="1"/>
      <c r="B991" s="3"/>
      <c r="C991" s="4"/>
      <c r="D991" s="3"/>
    </row>
    <row r="992" spans="1:4">
      <c r="A992" s="1"/>
      <c r="B992" s="3"/>
      <c r="C992" s="4"/>
      <c r="D992" s="3"/>
    </row>
    <row r="993" spans="1:4">
      <c r="A993" s="1"/>
      <c r="B993" s="3"/>
      <c r="C993" s="4"/>
      <c r="D993" s="3"/>
    </row>
    <row r="994" spans="1:4">
      <c r="A994" s="1"/>
      <c r="B994" s="3"/>
      <c r="C994" s="4"/>
      <c r="D994" s="3"/>
    </row>
    <row r="995" spans="1:4">
      <c r="A995" s="1"/>
      <c r="B995" s="3"/>
      <c r="C995" s="4"/>
      <c r="D995" s="3"/>
    </row>
    <row r="996" spans="1:4">
      <c r="A996" s="1"/>
      <c r="B996" s="3"/>
      <c r="C996" s="4"/>
      <c r="D996" s="3"/>
    </row>
    <row r="997" spans="1:4">
      <c r="A997" s="1"/>
      <c r="B997" s="3"/>
      <c r="C997" s="4"/>
      <c r="D997" s="3"/>
    </row>
    <row r="998" spans="1:4">
      <c r="A998" s="1"/>
      <c r="B998" s="3"/>
      <c r="C998" s="4"/>
      <c r="D998" s="3"/>
    </row>
    <row r="999" spans="1:4">
      <c r="A999" s="1"/>
      <c r="B999" s="3"/>
      <c r="C999" s="4"/>
      <c r="D999" s="3"/>
    </row>
  </sheetData>
  <mergeCells count="1">
    <mergeCell ref="A35:A50"/>
  </mergeCells>
  <dataValidations count="4">
    <dataValidation type="list" allowBlank="1" showErrorMessage="1" sqref="B3:B999" xr:uid="{00000000-0002-0000-0400-000000000000}">
      <formula1>"GOTIK,SLAYER,KUTUBARU,ROK DUYUNG,JANGGAN PANJANG,JANGGAN PENDEK"</formula1>
    </dataValidation>
    <dataValidation type="list" allowBlank="1" showErrorMessage="1" sqref="D2:D999" xr:uid="{00000000-0002-0000-0400-000001000000}">
      <formula1>"S,M,L,XL"</formula1>
    </dataValidation>
    <dataValidation type="list" allowBlank="1" showErrorMessage="1" sqref="C3:C999" xr:uid="{00000000-0002-0000-0400-000002000000}">
      <formula1>"BURGUNDY,DENIM,DUSTY,HITAM,MAROON,COKSU,NAVY,SAGE,SILVER,BABYBLUE,EMERALD GREEN,EMERALD BLUE,MAHOGANY,ROSEGOLD,LILAC,MILLO,FUCIA,GOLD"</formula1>
    </dataValidation>
    <dataValidation type="custom" allowBlank="1" showDropDown="1" sqref="A2 A35 A51:A999" xr:uid="{00000000-0002-0000-0400-000003000000}">
      <formula1>OR(NOT(ISERROR(DATEVALUE(A2))), AND(ISNUMBER(A2), LEFT(CELL("format", A2))="D"))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CAEEF810-9754-4256-956A-2517A9343A54}">
          <x14:formula1>
            <xm:f>DATA!$A:$A</xm:f>
          </x14:formula1>
          <xm:sqref>C2</xm:sqref>
        </x14:dataValidation>
        <x14:dataValidation type="list" allowBlank="1" showErrorMessage="1" xr:uid="{D32F4017-BE19-48E5-8938-FB073D9BB086}">
          <x14:formula1>
            <xm:f>DATA!$B:$B</xm:f>
          </x14:formula1>
          <xm:sqref>B2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</vt:lpstr>
      <vt:lpstr>BAHAN</vt:lpstr>
      <vt:lpstr>CUTTING NEW</vt:lpstr>
      <vt:lpstr>PENJAHIT</vt:lpstr>
      <vt:lpstr>CUTTING</vt:lpstr>
      <vt:lpstr>SO</vt:lpstr>
      <vt:lpstr>STOK</vt:lpstr>
      <vt:lpstr>KELUAR</vt:lpstr>
      <vt:lpstr>MASUK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deti fitriani</cp:lastModifiedBy>
  <dcterms:created xsi:type="dcterms:W3CDTF">2026-08-03T06:45:42Z</dcterms:created>
  <dcterms:modified xsi:type="dcterms:W3CDTF">2026-08-05T15:37:31Z</dcterms:modified>
</cp:coreProperties>
</file>