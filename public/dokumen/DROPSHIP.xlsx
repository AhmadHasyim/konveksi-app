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17176d894b1ca2/Documents/File persiapan/"/>
    </mc:Choice>
  </mc:AlternateContent>
  <xr:revisionPtr revIDLastSave="6" documentId="13_ncr:1_{00F56682-8F40-4183-A0C9-DB1B83E7488A}" xr6:coauthVersionLast="47" xr6:coauthVersionMax="47" xr10:uidLastSave="{DC19C500-EE62-47F0-B541-53ED5446B376}"/>
  <bookViews>
    <workbookView xWindow="-110" yWindow="-110" windowWidth="19420" windowHeight="10300" activeTab="1" xr2:uid="{4BE21660-FBFE-4EF1-A3BE-F5AA437A4E9F}"/>
  </bookViews>
  <sheets>
    <sheet name="NAMA PRODUK" sheetId="2" r:id="rId1"/>
    <sheet name="ORD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H21" i="1" s="1"/>
  <c r="G22" i="1"/>
  <c r="H22" i="1" s="1"/>
  <c r="G3" i="1"/>
  <c r="H3" i="1" s="1"/>
  <c r="D3" i="1"/>
  <c r="H23" i="1" l="1"/>
  <c r="D19" i="1"/>
  <c r="D20" i="1"/>
  <c r="D21" i="1"/>
  <c r="D2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<sst xmlns="http://schemas.openxmlformats.org/spreadsheetml/2006/main" count="48" uniqueCount="26">
  <si>
    <t>NAMA PRODUK</t>
  </si>
  <si>
    <t>JUMLAH ORDERAN</t>
  </si>
  <si>
    <t>TANGGAL ORDERAN MASUK</t>
  </si>
  <si>
    <t>NO</t>
  </si>
  <si>
    <t>KODE PRODUK</t>
  </si>
  <si>
    <t>GOTIK</t>
  </si>
  <si>
    <t>EKSIS</t>
  </si>
  <si>
    <t>INDAH</t>
  </si>
  <si>
    <t>KIMONO</t>
  </si>
  <si>
    <t>PLISKET EKSIS</t>
  </si>
  <si>
    <t>PLISKET GOTIK</t>
  </si>
  <si>
    <t>PLISKET SLAYER</t>
  </si>
  <si>
    <t>KUTU BARU</t>
  </si>
  <si>
    <t>G SLAYER</t>
  </si>
  <si>
    <t>G</t>
  </si>
  <si>
    <t>E</t>
  </si>
  <si>
    <t>GS</t>
  </si>
  <si>
    <t>IDH</t>
  </si>
  <si>
    <t>KIM</t>
  </si>
  <si>
    <t>PE</t>
  </si>
  <si>
    <t>PG</t>
  </si>
  <si>
    <t>PS</t>
  </si>
  <si>
    <t>KB</t>
  </si>
  <si>
    <t>HARGA</t>
  </si>
  <si>
    <t>TOTAL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</si>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</sst>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CE0C-4CDA-4CC0-937A-3A6A93081278}">
  <dimension ref="A1:C10"/>
  <sheetViews>
    <sheetView workbookViewId="0">
      <selection activeCell="D15" sqref="D15"/>
    </sheetView>
  </sheetViews>
  <sheetFormatPr defaultRowHeight="14.5" x14ac:dyDescent="0.35"/>
  <cols>
    <col min="1" max="1" width="13" bestFit="1" customWidth="1"/>
    <col min="2" max="2" width="13.7265625" bestFit="1" customWidth="1"/>
    <col min="3" max="3" width="9.81640625" bestFit="1" customWidth="1"/>
  </cols>
  <sheetData>
    <row r="1" spans="1:3" x14ac:dyDescent="0.35">
      <c r="A1" t="s">
        <v>4</v>
      </c>
      <c r="B1" t="s">
        <v>0</v>
      </c>
      <c r="C1" t="s">
        <v>23</v>
      </c>
    </row>
    <row r="2" spans="1:3" x14ac:dyDescent="0.35">
      <c r="A2" t="s">
        <v>14</v>
      </c>
      <c r="B2" t="s">
        <v>5</v>
      </c>
      <c r="C2" s="1">
        <v>71500</v>
      </c>
    </row>
    <row r="3" spans="1:3" x14ac:dyDescent="0.35">
      <c r="A3" t="s">
        <v>15</v>
      </c>
      <c r="B3" t="s">
        <v>6</v>
      </c>
      <c r="C3" s="1">
        <v>71500</v>
      </c>
    </row>
    <row r="4" spans="1:3" x14ac:dyDescent="0.35">
      <c r="A4" t="s">
        <v>16</v>
      </c>
      <c r="B4" t="s">
        <v>13</v>
      </c>
      <c r="C4" s="1">
        <v>83500</v>
      </c>
    </row>
    <row r="5" spans="1:3" x14ac:dyDescent="0.35">
      <c r="A5" t="s">
        <v>17</v>
      </c>
      <c r="B5" t="s">
        <v>7</v>
      </c>
      <c r="C5" s="1">
        <v>83500</v>
      </c>
    </row>
    <row r="6" spans="1:3" x14ac:dyDescent="0.35">
      <c r="A6" t="s">
        <v>18</v>
      </c>
      <c r="B6" t="s">
        <v>8</v>
      </c>
      <c r="C6" s="1">
        <v>78500</v>
      </c>
    </row>
    <row r="7" spans="1:3" x14ac:dyDescent="0.35">
      <c r="A7" t="s">
        <v>19</v>
      </c>
      <c r="B7" t="s">
        <v>9</v>
      </c>
      <c r="C7" s="1">
        <v>73500</v>
      </c>
    </row>
    <row r="8" spans="1:3" x14ac:dyDescent="0.35">
      <c r="A8" t="s">
        <v>20</v>
      </c>
      <c r="B8" t="s">
        <v>10</v>
      </c>
      <c r="C8" s="1">
        <v>73500</v>
      </c>
    </row>
    <row r="9" spans="1:3" x14ac:dyDescent="0.35">
      <c r="A9" t="s">
        <v>21</v>
      </c>
      <c r="B9" t="s">
        <v>11</v>
      </c>
      <c r="C9" s="1">
        <v>85500</v>
      </c>
    </row>
    <row r="10" spans="1:3" x14ac:dyDescent="0.35">
      <c r="A10" t="s">
        <v>22</v>
      </c>
      <c r="B10" t="s">
        <v>12</v>
      </c>
      <c r="C10" s="1">
        <v>58500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1723-46D6-4AB1-953A-44F2ABE82A64}">
  <dimension ref="B1:M24"/>
  <sheetViews>
    <sheetView showGridLines="0" tabSelected="1" zoomScale="83" zoomScaleNormal="83" workbookViewId="0">
      <selection activeCell="L14" sqref="L14"/>
    </sheetView>
  </sheetViews>
  <sheetFormatPr defaultRowHeight="14.5" x14ac:dyDescent="0.35"/>
  <cols>
    <col min="2" max="6" width="17.26953125" style="2" customWidth="1"/>
    <col min="7" max="8" width="17.26953125" style="3" customWidth="1"/>
  </cols>
  <sheetData>
    <row r="1" spans="2:13" ht="15" thickBot="1" x14ac:dyDescent="0.4"/>
    <row r="2" spans="2:13" ht="44.5" customHeight="1" thickTop="1" thickBot="1" x14ac:dyDescent="0.4">
      <c r="B2" s="9" t="s">
        <v>3</v>
      </c>
      <c r="C2" s="9" t="s">
        <v>4</v>
      </c>
      <c r="D2" s="9" t="s">
        <v>0</v>
      </c>
      <c r="E2" s="9" t="s">
        <v>1</v>
      </c>
      <c r="F2" s="9" t="s">
        <v>2</v>
      </c>
      <c r="G2" s="10" t="s">
        <v>23</v>
      </c>
      <c r="H2" s="10" t="s">
        <v>24</v>
      </c>
      <c r="L2" t="s">
        <v>25</v>
      </c>
    </row>
    <row r="3" spans="2:13" ht="20.5" customHeight="1" thickTop="1" x14ac:dyDescent="0.35">
      <c r="B3" s="4">
        <v>1</v>
      </c>
      <c r="C3" s="4"/>
      <c r="D3" s="4" t="str">
        <f>IFERROR(VLOOKUP(C3,'NAMA PRODUK'!A1:B10,2,0),"")</f>
        <v/>
      </c>
      <c r="E3" s="4"/>
      <c r="F3" s="4"/>
      <c r="G3" s="6" t="str">
        <f>IFERROR(VLOOKUP(C3,'NAMA PRODUK'!A1:C10,3,0),"")</f>
        <v/>
      </c>
      <c r="H3" s="6" t="str">
        <f>IFERROR(E3*G3,"")</f>
        <v/>
      </c>
      <c r="L3" t="s">
        <v>14</v>
      </c>
      <c r="M3" t="s">
        <v>5</v>
      </c>
    </row>
    <row r="4" spans="2:13" ht="20.5" customHeight="1" x14ac:dyDescent="0.35">
      <c r="B4" s="4">
        <v>2</v>
      </c>
      <c r="C4" s="4"/>
      <c r="D4" s="4" t="str">
        <f>IFERROR(VLOOKUP(C4,'NAMA PRODUK'!A2:B11,2,0),"")</f>
        <v/>
      </c>
      <c r="E4" s="4"/>
      <c r="F4" s="4"/>
      <c r="G4" s="6" t="str">
        <f>IFERROR(VLOOKUP(C4,'NAMA PRODUK'!A2:C11,3,0),"")</f>
        <v/>
      </c>
      <c r="H4" s="6" t="str">
        <f t="shared" ref="H4:H22" si="0">IFERROR(E4*G4,"")</f>
        <v/>
      </c>
      <c r="L4" t="s">
        <v>15</v>
      </c>
      <c r="M4" t="s">
        <v>6</v>
      </c>
    </row>
    <row r="5" spans="2:13" ht="20.5" customHeight="1" x14ac:dyDescent="0.35">
      <c r="B5" s="4">
        <v>3</v>
      </c>
      <c r="C5" s="4"/>
      <c r="D5" s="4" t="str">
        <f>IFERROR(VLOOKUP(C5,'NAMA PRODUK'!A3:B12,2,0),"")</f>
        <v/>
      </c>
      <c r="E5" s="4"/>
      <c r="F5" s="4"/>
      <c r="G5" s="6" t="str">
        <f>IFERROR(VLOOKUP(C5,'NAMA PRODUK'!A3:C12,3,0),"")</f>
        <v/>
      </c>
      <c r="H5" s="6" t="str">
        <f t="shared" si="0"/>
        <v/>
      </c>
      <c r="L5" t="s">
        <v>16</v>
      </c>
      <c r="M5" t="s">
        <v>13</v>
      </c>
    </row>
    <row r="6" spans="2:13" ht="20.5" customHeight="1" x14ac:dyDescent="0.35">
      <c r="B6" s="4">
        <v>4</v>
      </c>
      <c r="C6" s="4"/>
      <c r="D6" s="4" t="str">
        <f>IFERROR(VLOOKUP(C6,'NAMA PRODUK'!A4:B13,2,0),"")</f>
        <v/>
      </c>
      <c r="E6" s="4"/>
      <c r="F6" s="4"/>
      <c r="G6" s="6" t="str">
        <f>IFERROR(VLOOKUP(C6,'NAMA PRODUK'!A4:C13,3,0),"")</f>
        <v/>
      </c>
      <c r="H6" s="6" t="str">
        <f t="shared" si="0"/>
        <v/>
      </c>
      <c r="L6" t="s">
        <v>17</v>
      </c>
      <c r="M6" t="s">
        <v>7</v>
      </c>
    </row>
    <row r="7" spans="2:13" ht="20.5" customHeight="1" x14ac:dyDescent="0.35">
      <c r="B7" s="4">
        <v>5</v>
      </c>
      <c r="C7" s="4"/>
      <c r="D7" s="4" t="str">
        <f>IFERROR(VLOOKUP(C7,'NAMA PRODUK'!A5:B14,2,0),"")</f>
        <v/>
      </c>
      <c r="E7" s="4"/>
      <c r="F7" s="4"/>
      <c r="G7" s="6" t="str">
        <f>IFERROR(VLOOKUP(C7,'NAMA PRODUK'!A5:C14,3,0),"")</f>
        <v/>
      </c>
      <c r="H7" s="6" t="str">
        <f t="shared" si="0"/>
        <v/>
      </c>
      <c r="L7" t="s">
        <v>18</v>
      </c>
      <c r="M7" t="s">
        <v>8</v>
      </c>
    </row>
    <row r="8" spans="2:13" ht="20.5" customHeight="1" x14ac:dyDescent="0.35">
      <c r="B8" s="4">
        <v>6</v>
      </c>
      <c r="C8" s="4"/>
      <c r="D8" s="4" t="str">
        <f>IFERROR(VLOOKUP(C8,'NAMA PRODUK'!A6:B15,2,0),"")</f>
        <v/>
      </c>
      <c r="E8" s="4"/>
      <c r="F8" s="4"/>
      <c r="G8" s="6" t="str">
        <f>IFERROR(VLOOKUP(C8,'NAMA PRODUK'!A6:C15,3,0),"")</f>
        <v/>
      </c>
      <c r="H8" s="6" t="str">
        <f t="shared" si="0"/>
        <v/>
      </c>
      <c r="L8" t="s">
        <v>19</v>
      </c>
      <c r="M8" t="s">
        <v>9</v>
      </c>
    </row>
    <row r="9" spans="2:13" ht="20.5" customHeight="1" x14ac:dyDescent="0.35">
      <c r="B9" s="4">
        <v>7</v>
      </c>
      <c r="C9" s="4"/>
      <c r="D9" s="4" t="str">
        <f>IFERROR(VLOOKUP(C9,'NAMA PRODUK'!A7:B16,2,0),"")</f>
        <v/>
      </c>
      <c r="E9" s="4"/>
      <c r="F9" s="4"/>
      <c r="G9" s="6" t="str">
        <f>IFERROR(VLOOKUP(C9,'NAMA PRODUK'!A7:C16,3,0),"")</f>
        <v/>
      </c>
      <c r="H9" s="6" t="str">
        <f t="shared" si="0"/>
        <v/>
      </c>
      <c r="L9" t="s">
        <v>20</v>
      </c>
      <c r="M9" t="s">
        <v>10</v>
      </c>
    </row>
    <row r="10" spans="2:13" ht="20.5" customHeight="1" x14ac:dyDescent="0.35">
      <c r="B10" s="4">
        <v>8</v>
      </c>
      <c r="C10" s="4"/>
      <c r="D10" s="4" t="str">
        <f>IFERROR(VLOOKUP(C10,'NAMA PRODUK'!A8:B17,2,0),"")</f>
        <v/>
      </c>
      <c r="E10" s="4"/>
      <c r="F10" s="4"/>
      <c r="G10" s="6" t="str">
        <f>IFERROR(VLOOKUP(C10,'NAMA PRODUK'!A8:C17,3,0),"")</f>
        <v/>
      </c>
      <c r="H10" s="6" t="str">
        <f t="shared" si="0"/>
        <v/>
      </c>
      <c r="L10" t="s">
        <v>21</v>
      </c>
      <c r="M10" t="s">
        <v>11</v>
      </c>
    </row>
    <row r="11" spans="2:13" ht="20.5" customHeight="1" x14ac:dyDescent="0.35">
      <c r="B11" s="4">
        <v>9</v>
      </c>
      <c r="C11" s="4"/>
      <c r="D11" s="4" t="str">
        <f>IFERROR(VLOOKUP(C11,'NAMA PRODUK'!A9:B18,2,0),"")</f>
        <v/>
      </c>
      <c r="E11" s="4"/>
      <c r="F11" s="4"/>
      <c r="G11" s="6" t="str">
        <f>IFERROR(VLOOKUP(C11,'NAMA PRODUK'!A9:C18,3,0),"")</f>
        <v/>
      </c>
      <c r="H11" s="6" t="str">
        <f t="shared" si="0"/>
        <v/>
      </c>
      <c r="L11" t="s">
        <v>22</v>
      </c>
      <c r="M11" t="s">
        <v>12</v>
      </c>
    </row>
    <row r="12" spans="2:13" ht="20.5" customHeight="1" x14ac:dyDescent="0.35">
      <c r="B12" s="4">
        <v>10</v>
      </c>
      <c r="C12" s="4"/>
      <c r="D12" s="4" t="str">
        <f>IFERROR(VLOOKUP(C12,'NAMA PRODUK'!A10:B19,2,0),"")</f>
        <v/>
      </c>
      <c r="E12" s="4"/>
      <c r="F12" s="4"/>
      <c r="G12" s="6" t="str">
        <f>IFERROR(VLOOKUP(C12,'NAMA PRODUK'!A10:C19,3,0),"")</f>
        <v/>
      </c>
      <c r="H12" s="6" t="str">
        <f t="shared" si="0"/>
        <v/>
      </c>
    </row>
    <row r="13" spans="2:13" ht="20.5" customHeight="1" x14ac:dyDescent="0.35">
      <c r="B13" s="4">
        <v>11</v>
      </c>
      <c r="C13" s="4"/>
      <c r="D13" s="4" t="str">
        <f>IFERROR(VLOOKUP(C13,'NAMA PRODUK'!A11:B20,2,0),"")</f>
        <v/>
      </c>
      <c r="E13" s="4"/>
      <c r="F13" s="4"/>
      <c r="G13" s="6" t="str">
        <f>IFERROR(VLOOKUP(C13,'NAMA PRODUK'!A11:C20,3,0),"")</f>
        <v/>
      </c>
      <c r="H13" s="6" t="str">
        <f t="shared" si="0"/>
        <v/>
      </c>
    </row>
    <row r="14" spans="2:13" ht="20.5" customHeight="1" x14ac:dyDescent="0.35">
      <c r="B14" s="4">
        <v>12</v>
      </c>
      <c r="C14" s="4"/>
      <c r="D14" s="4" t="str">
        <f>IFERROR(VLOOKUP(C14,'NAMA PRODUK'!A12:B21,2,0),"")</f>
        <v/>
      </c>
      <c r="E14" s="4"/>
      <c r="F14" s="4"/>
      <c r="G14" s="6" t="str">
        <f>IFERROR(VLOOKUP(C14,'NAMA PRODUK'!A12:C21,3,0),"")</f>
        <v/>
      </c>
      <c r="H14" s="6" t="str">
        <f t="shared" si="0"/>
        <v/>
      </c>
    </row>
    <row r="15" spans="2:13" ht="20.5" customHeight="1" x14ac:dyDescent="0.35">
      <c r="B15" s="4">
        <v>13</v>
      </c>
      <c r="C15" s="4"/>
      <c r="D15" s="4" t="str">
        <f>IFERROR(VLOOKUP(C15,'NAMA PRODUK'!A13:B22,2,0),"")</f>
        <v/>
      </c>
      <c r="E15" s="4"/>
      <c r="F15" s="4"/>
      <c r="G15" s="6" t="str">
        <f>IFERROR(VLOOKUP(C15,'NAMA PRODUK'!A13:C22,3,0),"")</f>
        <v/>
      </c>
      <c r="H15" s="6" t="str">
        <f t="shared" si="0"/>
        <v/>
      </c>
    </row>
    <row r="16" spans="2:13" ht="20.5" customHeight="1" x14ac:dyDescent="0.35">
      <c r="B16" s="4">
        <v>14</v>
      </c>
      <c r="C16" s="4"/>
      <c r="D16" s="4" t="str">
        <f>IFERROR(VLOOKUP(C16,'NAMA PRODUK'!A14:B23,2,0),"")</f>
        <v/>
      </c>
      <c r="E16" s="4"/>
      <c r="F16" s="4"/>
      <c r="G16" s="6" t="str">
        <f>IFERROR(VLOOKUP(C16,'NAMA PRODUK'!A14:C23,3,0),"")</f>
        <v/>
      </c>
      <c r="H16" s="6" t="str">
        <f t="shared" si="0"/>
        <v/>
      </c>
    </row>
    <row r="17" spans="2:8" ht="20.5" customHeight="1" x14ac:dyDescent="0.35">
      <c r="B17" s="4">
        <v>15</v>
      </c>
      <c r="C17" s="4"/>
      <c r="D17" s="4" t="str">
        <f>IFERROR(VLOOKUP(C17,'NAMA PRODUK'!A15:B24,2,0),"")</f>
        <v/>
      </c>
      <c r="E17" s="4"/>
      <c r="F17" s="4"/>
      <c r="G17" s="6" t="str">
        <f>IFERROR(VLOOKUP(C17,'NAMA PRODUK'!A15:C24,3,0),"")</f>
        <v/>
      </c>
      <c r="H17" s="6" t="str">
        <f t="shared" si="0"/>
        <v/>
      </c>
    </row>
    <row r="18" spans="2:8" ht="20.5" customHeight="1" x14ac:dyDescent="0.35">
      <c r="B18" s="4">
        <v>16</v>
      </c>
      <c r="C18" s="4"/>
      <c r="D18" s="4" t="str">
        <f>IFERROR(VLOOKUP(C18,'NAMA PRODUK'!A16:B25,2,0),"")</f>
        <v/>
      </c>
      <c r="E18" s="4"/>
      <c r="F18" s="4"/>
      <c r="G18" s="6" t="str">
        <f>IFERROR(VLOOKUP(C18,'NAMA PRODUK'!A16:C25,3,0),"")</f>
        <v/>
      </c>
      <c r="H18" s="6" t="str">
        <f t="shared" si="0"/>
        <v/>
      </c>
    </row>
    <row r="19" spans="2:8" ht="20.5" customHeight="1" x14ac:dyDescent="0.35">
      <c r="B19" s="4">
        <v>17</v>
      </c>
      <c r="C19" s="4"/>
      <c r="D19" s="4" t="str">
        <f>IFERROR(VLOOKUP(C19,'NAMA PRODUK'!A17:B26,2,0),"")</f>
        <v/>
      </c>
      <c r="E19" s="4"/>
      <c r="F19" s="4"/>
      <c r="G19" s="6" t="str">
        <f>IFERROR(VLOOKUP(C19,'NAMA PRODUK'!A17:C26,3,0),"")</f>
        <v/>
      </c>
      <c r="H19" s="6" t="str">
        <f t="shared" si="0"/>
        <v/>
      </c>
    </row>
    <row r="20" spans="2:8" ht="20.5" customHeight="1" x14ac:dyDescent="0.35">
      <c r="B20" s="4">
        <v>18</v>
      </c>
      <c r="C20" s="4"/>
      <c r="D20" s="4" t="str">
        <f>IFERROR(VLOOKUP(C20,'NAMA PRODUK'!A18:B27,2,0),"")</f>
        <v/>
      </c>
      <c r="E20" s="4"/>
      <c r="F20" s="4"/>
      <c r="G20" s="6" t="str">
        <f>IFERROR(VLOOKUP(C20,'NAMA PRODUK'!A18:C27,3,0),"")</f>
        <v/>
      </c>
      <c r="H20" s="6" t="str">
        <f t="shared" si="0"/>
        <v/>
      </c>
    </row>
    <row r="21" spans="2:8" ht="20.5" customHeight="1" x14ac:dyDescent="0.35">
      <c r="B21" s="4">
        <v>19</v>
      </c>
      <c r="C21" s="4"/>
      <c r="D21" s="4" t="str">
        <f>IFERROR(VLOOKUP(C21,'NAMA PRODUK'!A19:B28,2,0),"")</f>
        <v/>
      </c>
      <c r="E21" s="4"/>
      <c r="F21" s="4"/>
      <c r="G21" s="6" t="str">
        <f>IFERROR(VLOOKUP(C21,'NAMA PRODUK'!A19:C28,3,0),"")</f>
        <v/>
      </c>
      <c r="H21" s="6" t="str">
        <f t="shared" si="0"/>
        <v/>
      </c>
    </row>
    <row r="22" spans="2:8" ht="20.5" customHeight="1" thickBot="1" x14ac:dyDescent="0.4">
      <c r="B22" s="5">
        <v>20</v>
      </c>
      <c r="C22" s="5"/>
      <c r="D22" s="5" t="str">
        <f>IFERROR(VLOOKUP(C22,'NAMA PRODUK'!A20:B29,2,0),"")</f>
        <v/>
      </c>
      <c r="E22" s="5"/>
      <c r="F22" s="5"/>
      <c r="G22" s="7" t="str">
        <f>IFERROR(VLOOKUP(C22,'NAMA PRODUK'!A20:C29,3,0),"")</f>
        <v/>
      </c>
      <c r="H22" s="7" t="str">
        <f t="shared" si="0"/>
        <v/>
      </c>
    </row>
    <row r="23" spans="2:8" ht="20.5" customHeight="1" thickTop="1" thickBot="1" x14ac:dyDescent="0.55000000000000004">
      <c r="B23" s="11" t="s">
        <v>24</v>
      </c>
      <c r="C23" s="12"/>
      <c r="D23" s="12"/>
      <c r="E23" s="12"/>
      <c r="F23" s="12"/>
      <c r="G23" s="13"/>
      <c r="H23" s="8">
        <f>SUM(H3:H22)</f>
        <v>0</v>
      </c>
    </row>
    <row r="24" spans="2:8" ht="15" thickTop="1" x14ac:dyDescent="0.35"/>
  </sheetData>
  <mergeCells count="1">
    <mergeCell ref="B23:G23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NAMA PRODUK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dfitrian035@gmail.com</dc:creator>
  <cp:lastModifiedBy>deti fitriani</cp:lastModifiedBy>
  <dcterms:created xsi:type="dcterms:W3CDTF">2025-05-09T04:45:17Z</dcterms:created>
  <dcterms:modified xsi:type="dcterms:W3CDTF">2026-08-05T03:40:05Z</dcterms:modified>
</cp:coreProperties>
</file>