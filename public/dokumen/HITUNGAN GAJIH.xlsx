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7e17176d894b1ca2/Documents/File persiapan/admin finance/"/>
    </mc:Choice>
  </mc:AlternateContent>
  <xr:revisionPtr revIDLastSave="985" documentId="13_ncr:1_{92DD1515-15F0-4696-B010-9B76B60F94F5}" xr6:coauthVersionLast="47" xr6:coauthVersionMax="47" xr10:uidLastSave="{29898F3C-27A6-4D7F-8299-A238E89C9529}"/>
  <bookViews>
    <workbookView xWindow="-110" yWindow="-110" windowWidth="19420" windowHeight="10300" activeTab="4" xr2:uid="{F31757EB-957D-41C3-A5FE-6B4EA10C075E}"/>
  </bookViews>
  <sheets>
    <sheet name="EGA" sheetId="1" r:id="rId1"/>
    <sheet name="GEFIRA" sheetId="2" r:id="rId2"/>
    <sheet name="EKI" sheetId="11" r:id="rId3"/>
    <sheet name="RADIT" sheetId="12" r:id="rId4"/>
    <sheet name="rumus" sheetId="3" r:id="rId5"/>
    <sheet name="RULES" sheetId="4" r:id="rId6"/>
    <sheet name="PERHITNGAN BONUS" sheetId="5" r:id="rId7"/>
    <sheet name="Sheet1" sheetId="6" state="hidden" r:id="rId8"/>
    <sheet name="BONUS APRL,MEI,JUN" sheetId="8" r:id="rId9"/>
    <sheet name="BONUS JULI,AUG,SEPT" sheetId="9" r:id="rId10"/>
    <sheet name="BONUS OKT,NOV,DES" sheetId="10" r:id="rId11"/>
    <sheet name="YANG INI UNTUK BONUS" sheetId="7" r:id="rId12"/>
  </sheets>
  <definedNames>
    <definedName name="Slicer_DATE">#N/A</definedName>
    <definedName name="Slicer_DATE1">#N/A</definedName>
    <definedName name="Slicer_DATE2">#N/A</definedName>
    <definedName name="Slicer_DATE3">#N/A</definedName>
    <definedName name="Slicer_MONTH">#N/A</definedName>
    <definedName name="Slicer_MONTH1">#N/A</definedName>
    <definedName name="Slicer_MONTH2">#N/A</definedName>
    <definedName name="Slicer_MONTH3">#N/A</definedName>
  </definedNames>
  <calcPr calcId="191029"/>
  <pivotCaches>
    <pivotCache cacheId="0" r:id="rId13"/>
    <pivotCache cacheId="1" r:id="rId14"/>
    <pivotCache cacheId="2" r:id="rId15"/>
    <pivotCache cacheId="3" r:id="rId16"/>
    <pivotCache cacheId="4" r:id="rId17"/>
    <pivotCache cacheId="5"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3" l="1"/>
  <c r="J15" i="3"/>
  <c r="C4" i="8"/>
  <c r="C3" i="8"/>
  <c r="J99" i="3"/>
  <c r="J98" i="3" s="1"/>
  <c r="V88" i="3"/>
  <c r="D100" i="3" s="1"/>
  <c r="F100" i="3" s="1"/>
  <c r="V87" i="3"/>
  <c r="V86" i="3"/>
  <c r="V85" i="3"/>
  <c r="D99" i="3" s="1"/>
  <c r="F99" i="3" s="1"/>
  <c r="V84" i="3"/>
  <c r="D98" i="3" s="1"/>
  <c r="C92" i="3"/>
  <c r="H94" i="3"/>
  <c r="J94" i="3" s="1"/>
  <c r="F230" i="12"/>
  <c r="D230" i="12"/>
  <c r="C230" i="12"/>
  <c r="B230" i="12"/>
  <c r="F229" i="12"/>
  <c r="D229" i="12"/>
  <c r="C229" i="12"/>
  <c r="B229" i="12"/>
  <c r="F228" i="12"/>
  <c r="D228" i="12"/>
  <c r="C228" i="12"/>
  <c r="B228" i="12"/>
  <c r="F227" i="12"/>
  <c r="D227" i="12"/>
  <c r="C227" i="12"/>
  <c r="B227" i="12"/>
  <c r="F226" i="12"/>
  <c r="D226" i="12"/>
  <c r="C226" i="12"/>
  <c r="B226" i="12"/>
  <c r="F225" i="12"/>
  <c r="D225" i="12"/>
  <c r="C225" i="12"/>
  <c r="B225" i="12"/>
  <c r="F224" i="12"/>
  <c r="D224" i="12"/>
  <c r="C224" i="12"/>
  <c r="B224" i="12"/>
  <c r="F223" i="12"/>
  <c r="D223" i="12"/>
  <c r="C223" i="12"/>
  <c r="B223" i="12"/>
  <c r="F222" i="12"/>
  <c r="D222" i="12"/>
  <c r="C222" i="12"/>
  <c r="B222" i="12"/>
  <c r="F221" i="12"/>
  <c r="D221" i="12"/>
  <c r="C221" i="12"/>
  <c r="B221" i="12"/>
  <c r="F220" i="12"/>
  <c r="D220" i="12"/>
  <c r="C220" i="12"/>
  <c r="B220" i="12"/>
  <c r="F219" i="12"/>
  <c r="D219" i="12"/>
  <c r="C219" i="12"/>
  <c r="B219" i="12"/>
  <c r="F218" i="12"/>
  <c r="D218" i="12"/>
  <c r="C218" i="12"/>
  <c r="B218" i="12"/>
  <c r="F217" i="12"/>
  <c r="D217" i="12"/>
  <c r="C217" i="12"/>
  <c r="B217" i="12"/>
  <c r="F216" i="12"/>
  <c r="D216" i="12"/>
  <c r="C216" i="12"/>
  <c r="B216" i="12"/>
  <c r="F215" i="12"/>
  <c r="D215" i="12"/>
  <c r="C215" i="12"/>
  <c r="B215" i="12"/>
  <c r="F214" i="12"/>
  <c r="D214" i="12"/>
  <c r="C214" i="12"/>
  <c r="B214" i="12"/>
  <c r="F213" i="12"/>
  <c r="D213" i="12"/>
  <c r="C213" i="12"/>
  <c r="B213" i="12"/>
  <c r="F212" i="12"/>
  <c r="D212" i="12"/>
  <c r="C212" i="12"/>
  <c r="B212" i="12"/>
  <c r="F211" i="12"/>
  <c r="D211" i="12"/>
  <c r="C211" i="12"/>
  <c r="B211" i="12"/>
  <c r="F210" i="12"/>
  <c r="D210" i="12"/>
  <c r="C210" i="12"/>
  <c r="B210" i="12"/>
  <c r="F209" i="12"/>
  <c r="D209" i="12"/>
  <c r="C209" i="12"/>
  <c r="B209" i="12"/>
  <c r="F208" i="12"/>
  <c r="D208" i="12"/>
  <c r="C208" i="12"/>
  <c r="B208" i="12"/>
  <c r="F207" i="12"/>
  <c r="D207" i="12"/>
  <c r="C207" i="12"/>
  <c r="B207" i="12"/>
  <c r="F206" i="12"/>
  <c r="D206" i="12"/>
  <c r="C206" i="12"/>
  <c r="B206" i="12"/>
  <c r="F205" i="12"/>
  <c r="D205" i="12"/>
  <c r="C205" i="12"/>
  <c r="B205" i="12"/>
  <c r="F204" i="12"/>
  <c r="D204" i="12"/>
  <c r="C204" i="12"/>
  <c r="B204" i="12"/>
  <c r="F203" i="12"/>
  <c r="D203" i="12"/>
  <c r="C203" i="12"/>
  <c r="B203" i="12"/>
  <c r="F202" i="12"/>
  <c r="D202" i="12"/>
  <c r="C202" i="12"/>
  <c r="B202" i="12"/>
  <c r="F201" i="12"/>
  <c r="D201" i="12"/>
  <c r="C201" i="12"/>
  <c r="B201" i="12"/>
  <c r="F200" i="12"/>
  <c r="D200" i="12"/>
  <c r="C200" i="12"/>
  <c r="B200" i="12"/>
  <c r="F199" i="12"/>
  <c r="D199" i="12"/>
  <c r="C199" i="12"/>
  <c r="B199" i="12"/>
  <c r="F198" i="12"/>
  <c r="D198" i="12"/>
  <c r="C198" i="12"/>
  <c r="B198" i="12"/>
  <c r="F197" i="12"/>
  <c r="D197" i="12"/>
  <c r="C197" i="12"/>
  <c r="B197" i="12"/>
  <c r="F196" i="12"/>
  <c r="D196" i="12"/>
  <c r="C196" i="12"/>
  <c r="B196" i="12"/>
  <c r="F195" i="12"/>
  <c r="D195" i="12"/>
  <c r="C195" i="12"/>
  <c r="B195" i="12"/>
  <c r="F194" i="12"/>
  <c r="D194" i="12"/>
  <c r="C194" i="12"/>
  <c r="B194" i="12"/>
  <c r="F193" i="12"/>
  <c r="D193" i="12"/>
  <c r="C193" i="12"/>
  <c r="B193" i="12"/>
  <c r="F192" i="12"/>
  <c r="D192" i="12"/>
  <c r="C192" i="12"/>
  <c r="B192" i="12"/>
  <c r="F191" i="12"/>
  <c r="D191" i="12"/>
  <c r="C191" i="12"/>
  <c r="B191" i="12"/>
  <c r="F190" i="12"/>
  <c r="D190" i="12"/>
  <c r="C190" i="12"/>
  <c r="B190" i="12"/>
  <c r="F189" i="12"/>
  <c r="D189" i="12"/>
  <c r="C189" i="12"/>
  <c r="B189" i="12"/>
  <c r="F188" i="12"/>
  <c r="D188" i="12"/>
  <c r="C188" i="12"/>
  <c r="B188" i="12"/>
  <c r="F187" i="12"/>
  <c r="D187" i="12"/>
  <c r="C187" i="12"/>
  <c r="B187" i="12"/>
  <c r="F186" i="12"/>
  <c r="D186" i="12"/>
  <c r="C186" i="12"/>
  <c r="B186" i="12"/>
  <c r="F185" i="12"/>
  <c r="D185" i="12"/>
  <c r="C185" i="12"/>
  <c r="B185" i="12"/>
  <c r="F184" i="12"/>
  <c r="D184" i="12"/>
  <c r="C184" i="12"/>
  <c r="B184" i="12"/>
  <c r="F183" i="12"/>
  <c r="D183" i="12"/>
  <c r="C183" i="12"/>
  <c r="B183" i="12"/>
  <c r="F182" i="12"/>
  <c r="D182" i="12"/>
  <c r="C182" i="12"/>
  <c r="B182" i="12"/>
  <c r="F181" i="12"/>
  <c r="D181" i="12"/>
  <c r="C181" i="12"/>
  <c r="B181" i="12"/>
  <c r="F180" i="12"/>
  <c r="D180" i="12"/>
  <c r="C180" i="12"/>
  <c r="B180" i="12"/>
  <c r="F179" i="12"/>
  <c r="D179" i="12"/>
  <c r="C179" i="12"/>
  <c r="B179" i="12"/>
  <c r="F178" i="12"/>
  <c r="D178" i="12"/>
  <c r="C178" i="12"/>
  <c r="B178" i="12"/>
  <c r="F177" i="12"/>
  <c r="D177" i="12"/>
  <c r="C177" i="12"/>
  <c r="B177" i="12"/>
  <c r="F176" i="12"/>
  <c r="D176" i="12"/>
  <c r="C176" i="12"/>
  <c r="B176" i="12"/>
  <c r="F175" i="12"/>
  <c r="D175" i="12"/>
  <c r="C175" i="12"/>
  <c r="B175" i="12"/>
  <c r="F174" i="12"/>
  <c r="D174" i="12"/>
  <c r="C174" i="12"/>
  <c r="B174" i="12"/>
  <c r="F173" i="12"/>
  <c r="D173" i="12"/>
  <c r="C173" i="12"/>
  <c r="B173" i="12"/>
  <c r="F172" i="12"/>
  <c r="D172" i="12"/>
  <c r="C172" i="12"/>
  <c r="B172" i="12"/>
  <c r="F171" i="12"/>
  <c r="D171" i="12"/>
  <c r="C171" i="12"/>
  <c r="B171" i="12"/>
  <c r="F170" i="12"/>
  <c r="D170" i="12"/>
  <c r="C170" i="12"/>
  <c r="B170" i="12"/>
  <c r="F169" i="12"/>
  <c r="D169" i="12"/>
  <c r="C169" i="12"/>
  <c r="B169" i="12"/>
  <c r="F168" i="12"/>
  <c r="D168" i="12"/>
  <c r="C168" i="12"/>
  <c r="B168" i="12"/>
  <c r="F167" i="12"/>
  <c r="D167" i="12"/>
  <c r="C167" i="12"/>
  <c r="B167" i="12"/>
  <c r="F166" i="12"/>
  <c r="D166" i="12"/>
  <c r="C166" i="12"/>
  <c r="B166" i="12"/>
  <c r="F165" i="12"/>
  <c r="D165" i="12"/>
  <c r="C165" i="12"/>
  <c r="B165" i="12"/>
  <c r="F164" i="12"/>
  <c r="D164" i="12"/>
  <c r="C164" i="12"/>
  <c r="B164" i="12"/>
  <c r="F163" i="12"/>
  <c r="D163" i="12"/>
  <c r="C163" i="12"/>
  <c r="B163" i="12"/>
  <c r="F162" i="12"/>
  <c r="D162" i="12"/>
  <c r="C162" i="12"/>
  <c r="B162" i="12"/>
  <c r="F161" i="12"/>
  <c r="D161" i="12"/>
  <c r="C161" i="12"/>
  <c r="B161" i="12"/>
  <c r="F160" i="12"/>
  <c r="D160" i="12"/>
  <c r="C160" i="12"/>
  <c r="B160" i="12"/>
  <c r="F159" i="12"/>
  <c r="D159" i="12"/>
  <c r="C159" i="12"/>
  <c r="B159" i="12"/>
  <c r="F158" i="12"/>
  <c r="D158" i="12"/>
  <c r="C158" i="12"/>
  <c r="B158" i="12"/>
  <c r="F157" i="12"/>
  <c r="D157" i="12"/>
  <c r="C157" i="12"/>
  <c r="B157" i="12"/>
  <c r="F156" i="12"/>
  <c r="D156" i="12"/>
  <c r="C156" i="12"/>
  <c r="B156" i="12"/>
  <c r="F155" i="12"/>
  <c r="D155" i="12"/>
  <c r="C155" i="12"/>
  <c r="B155" i="12"/>
  <c r="F154" i="12"/>
  <c r="D154" i="12"/>
  <c r="C154" i="12"/>
  <c r="B154" i="12"/>
  <c r="F153" i="12"/>
  <c r="D153" i="12"/>
  <c r="C153" i="12"/>
  <c r="B153" i="12"/>
  <c r="F152" i="12"/>
  <c r="D152" i="12"/>
  <c r="C152" i="12"/>
  <c r="B152" i="12"/>
  <c r="F151" i="12"/>
  <c r="D151" i="12"/>
  <c r="C151" i="12"/>
  <c r="B151" i="12"/>
  <c r="F150" i="12"/>
  <c r="D150" i="12"/>
  <c r="C150" i="12"/>
  <c r="B150" i="12"/>
  <c r="F149" i="12"/>
  <c r="D149" i="12"/>
  <c r="C149" i="12"/>
  <c r="B149" i="12"/>
  <c r="F148" i="12"/>
  <c r="D148" i="12"/>
  <c r="C148" i="12"/>
  <c r="B148" i="12"/>
  <c r="F147" i="12"/>
  <c r="D147" i="12"/>
  <c r="C147" i="12"/>
  <c r="B147" i="12"/>
  <c r="F146" i="12"/>
  <c r="D146" i="12"/>
  <c r="C146" i="12"/>
  <c r="B146" i="12"/>
  <c r="F145" i="12"/>
  <c r="D145" i="12"/>
  <c r="C145" i="12"/>
  <c r="B145" i="12"/>
  <c r="F144" i="12"/>
  <c r="D144" i="12"/>
  <c r="C144" i="12"/>
  <c r="B144" i="12"/>
  <c r="F143" i="12"/>
  <c r="D143" i="12"/>
  <c r="C143" i="12"/>
  <c r="B143" i="12"/>
  <c r="F142" i="12"/>
  <c r="D142" i="12"/>
  <c r="C142" i="12"/>
  <c r="B142" i="12"/>
  <c r="F141" i="12"/>
  <c r="D141" i="12"/>
  <c r="C141" i="12"/>
  <c r="B141" i="12"/>
  <c r="F140" i="12"/>
  <c r="D140" i="12"/>
  <c r="C140" i="12"/>
  <c r="B140" i="12"/>
  <c r="F139" i="12"/>
  <c r="D139" i="12"/>
  <c r="C139" i="12"/>
  <c r="B139" i="12"/>
  <c r="F138" i="12"/>
  <c r="D138" i="12"/>
  <c r="C138" i="12"/>
  <c r="B138" i="12"/>
  <c r="F137" i="12"/>
  <c r="D137" i="12"/>
  <c r="C137" i="12"/>
  <c r="B137" i="12"/>
  <c r="F136" i="12"/>
  <c r="D136" i="12"/>
  <c r="C136" i="12"/>
  <c r="B136" i="12"/>
  <c r="F135" i="12"/>
  <c r="D135" i="12"/>
  <c r="C135" i="12"/>
  <c r="B135" i="12"/>
  <c r="F134" i="12"/>
  <c r="D134" i="12"/>
  <c r="C134" i="12"/>
  <c r="B134" i="12"/>
  <c r="F133" i="12"/>
  <c r="D133" i="12"/>
  <c r="C133" i="12"/>
  <c r="B133" i="12"/>
  <c r="F132" i="12"/>
  <c r="D132" i="12"/>
  <c r="C132" i="12"/>
  <c r="B132" i="12"/>
  <c r="F131" i="12"/>
  <c r="D131" i="12"/>
  <c r="C131" i="12"/>
  <c r="B131" i="12"/>
  <c r="F130" i="12"/>
  <c r="D130" i="12"/>
  <c r="C130" i="12"/>
  <c r="B130" i="12"/>
  <c r="F129" i="12"/>
  <c r="D129" i="12"/>
  <c r="C129" i="12"/>
  <c r="B129" i="12"/>
  <c r="F128" i="12"/>
  <c r="D128" i="12"/>
  <c r="C128" i="12"/>
  <c r="B128" i="12"/>
  <c r="F127" i="12"/>
  <c r="D127" i="12"/>
  <c r="C127" i="12"/>
  <c r="B127" i="12"/>
  <c r="F126" i="12"/>
  <c r="D126" i="12"/>
  <c r="C126" i="12"/>
  <c r="B126" i="12"/>
  <c r="F125" i="12"/>
  <c r="D125" i="12"/>
  <c r="C125" i="12"/>
  <c r="B125" i="12"/>
  <c r="F124" i="12"/>
  <c r="D124" i="12"/>
  <c r="C124" i="12"/>
  <c r="B124" i="12"/>
  <c r="F123" i="12"/>
  <c r="D123" i="12"/>
  <c r="C123" i="12"/>
  <c r="B123" i="12"/>
  <c r="F122" i="12"/>
  <c r="D122" i="12"/>
  <c r="C122" i="12"/>
  <c r="B122" i="12"/>
  <c r="F121" i="12"/>
  <c r="D121" i="12"/>
  <c r="C121" i="12"/>
  <c r="B121" i="12"/>
  <c r="F120" i="12"/>
  <c r="D120" i="12"/>
  <c r="C120" i="12"/>
  <c r="B120" i="12"/>
  <c r="F119" i="12"/>
  <c r="D119" i="12"/>
  <c r="C119" i="12"/>
  <c r="B119" i="12"/>
  <c r="F118" i="12"/>
  <c r="D118" i="12"/>
  <c r="C118" i="12"/>
  <c r="B118" i="12"/>
  <c r="F117" i="12"/>
  <c r="D117" i="12"/>
  <c r="C117" i="12"/>
  <c r="B117" i="12"/>
  <c r="F116" i="12"/>
  <c r="D116" i="12"/>
  <c r="C116" i="12"/>
  <c r="B116" i="12"/>
  <c r="F115" i="12"/>
  <c r="D115" i="12"/>
  <c r="C115" i="12"/>
  <c r="B115" i="12"/>
  <c r="F114" i="12"/>
  <c r="D114" i="12"/>
  <c r="C114" i="12"/>
  <c r="B114" i="12"/>
  <c r="F113" i="12"/>
  <c r="D113" i="12"/>
  <c r="C113" i="12"/>
  <c r="B113" i="12"/>
  <c r="F112" i="12"/>
  <c r="D112" i="12"/>
  <c r="C112" i="12"/>
  <c r="B112" i="12"/>
  <c r="F111" i="12"/>
  <c r="D111" i="12"/>
  <c r="C111" i="12"/>
  <c r="B111" i="12"/>
  <c r="F110" i="12"/>
  <c r="D110" i="12"/>
  <c r="C110" i="12"/>
  <c r="B110" i="12"/>
  <c r="F109" i="12"/>
  <c r="D109" i="12"/>
  <c r="C109" i="12"/>
  <c r="B109" i="12"/>
  <c r="F108" i="12"/>
  <c r="D108" i="12"/>
  <c r="C108" i="12"/>
  <c r="B108" i="12"/>
  <c r="F107" i="12"/>
  <c r="D107" i="12"/>
  <c r="C107" i="12"/>
  <c r="B107" i="12"/>
  <c r="F106" i="12"/>
  <c r="D106" i="12"/>
  <c r="C106" i="12"/>
  <c r="B106" i="12"/>
  <c r="F105" i="12"/>
  <c r="D105" i="12"/>
  <c r="C105" i="12"/>
  <c r="B105" i="12"/>
  <c r="F104" i="12"/>
  <c r="D104" i="12"/>
  <c r="C104" i="12"/>
  <c r="B104" i="12"/>
  <c r="F103" i="12"/>
  <c r="D103" i="12"/>
  <c r="C103" i="12"/>
  <c r="B103" i="12"/>
  <c r="F102" i="12"/>
  <c r="D102" i="12"/>
  <c r="C102" i="12"/>
  <c r="B102" i="12"/>
  <c r="F101" i="12"/>
  <c r="D101" i="12"/>
  <c r="C101" i="12"/>
  <c r="B101" i="12"/>
  <c r="F100" i="12"/>
  <c r="D100" i="12"/>
  <c r="C100" i="12"/>
  <c r="B100" i="12"/>
  <c r="F99" i="12"/>
  <c r="D99" i="12"/>
  <c r="C99" i="12"/>
  <c r="B99" i="12"/>
  <c r="F98" i="12"/>
  <c r="D98" i="12"/>
  <c r="C98" i="12"/>
  <c r="B98" i="12"/>
  <c r="F97" i="12"/>
  <c r="D97" i="12"/>
  <c r="C97" i="12"/>
  <c r="B97" i="12"/>
  <c r="F96" i="12"/>
  <c r="D96" i="12"/>
  <c r="C96" i="12"/>
  <c r="B96" i="12"/>
  <c r="F95" i="12"/>
  <c r="D95" i="12"/>
  <c r="C95" i="12"/>
  <c r="B95" i="12"/>
  <c r="F94" i="12"/>
  <c r="D94" i="12"/>
  <c r="C94" i="12"/>
  <c r="B94" i="12"/>
  <c r="F93" i="12"/>
  <c r="D93" i="12"/>
  <c r="C93" i="12"/>
  <c r="B93" i="12"/>
  <c r="F92" i="12"/>
  <c r="D92" i="12"/>
  <c r="C92" i="12"/>
  <c r="B92" i="12"/>
  <c r="F91" i="12"/>
  <c r="D91" i="12"/>
  <c r="C91" i="12"/>
  <c r="B91" i="12"/>
  <c r="F90" i="12"/>
  <c r="D90" i="12"/>
  <c r="C90" i="12"/>
  <c r="B90" i="12"/>
  <c r="F89" i="12"/>
  <c r="D89" i="12"/>
  <c r="C89" i="12"/>
  <c r="B89" i="12"/>
  <c r="F88" i="12"/>
  <c r="D88" i="12"/>
  <c r="C88" i="12"/>
  <c r="B88" i="12"/>
  <c r="F87" i="12"/>
  <c r="D87" i="12"/>
  <c r="C87" i="12"/>
  <c r="B87" i="12"/>
  <c r="F86" i="12"/>
  <c r="D86" i="12"/>
  <c r="C86" i="12"/>
  <c r="B86" i="12"/>
  <c r="F85" i="12"/>
  <c r="D85" i="12"/>
  <c r="C85" i="12"/>
  <c r="B85" i="12"/>
  <c r="F84" i="12"/>
  <c r="D84" i="12"/>
  <c r="C84" i="12"/>
  <c r="B84" i="12"/>
  <c r="F83" i="12"/>
  <c r="D83" i="12"/>
  <c r="C83" i="12"/>
  <c r="B83" i="12"/>
  <c r="F82" i="12"/>
  <c r="D82" i="12"/>
  <c r="C82" i="12"/>
  <c r="B82" i="12"/>
  <c r="F81" i="12"/>
  <c r="D81" i="12"/>
  <c r="C81" i="12"/>
  <c r="B81" i="12"/>
  <c r="F80" i="12"/>
  <c r="D80" i="12"/>
  <c r="C80" i="12"/>
  <c r="B80" i="12"/>
  <c r="F79" i="12"/>
  <c r="D79" i="12"/>
  <c r="C79" i="12"/>
  <c r="B79" i="12"/>
  <c r="F78" i="12"/>
  <c r="D78" i="12"/>
  <c r="C78" i="12"/>
  <c r="B78" i="12"/>
  <c r="F77" i="12"/>
  <c r="D77" i="12"/>
  <c r="C77" i="12"/>
  <c r="B77" i="12"/>
  <c r="F76" i="12"/>
  <c r="D76" i="12"/>
  <c r="C76" i="12"/>
  <c r="B76" i="12"/>
  <c r="F75" i="12"/>
  <c r="D75" i="12"/>
  <c r="C75" i="12"/>
  <c r="B75" i="12"/>
  <c r="F74" i="12"/>
  <c r="D74" i="12"/>
  <c r="C74" i="12"/>
  <c r="B74" i="12"/>
  <c r="F73" i="12"/>
  <c r="D73" i="12"/>
  <c r="C73" i="12"/>
  <c r="B73" i="12"/>
  <c r="F72" i="12"/>
  <c r="D72" i="12"/>
  <c r="C72" i="12"/>
  <c r="B72" i="12"/>
  <c r="F71" i="12"/>
  <c r="D71" i="12"/>
  <c r="C71" i="12"/>
  <c r="B71" i="12"/>
  <c r="F70" i="12"/>
  <c r="D70" i="12"/>
  <c r="C70" i="12"/>
  <c r="B70" i="12"/>
  <c r="F69" i="12"/>
  <c r="D69" i="12"/>
  <c r="C69" i="12"/>
  <c r="B69" i="12"/>
  <c r="F68" i="12"/>
  <c r="D68" i="12"/>
  <c r="C68" i="12"/>
  <c r="B68" i="12"/>
  <c r="F67" i="12"/>
  <c r="D67" i="12"/>
  <c r="C67" i="12"/>
  <c r="B67" i="12"/>
  <c r="F66" i="12"/>
  <c r="D66" i="12"/>
  <c r="C66" i="12"/>
  <c r="B66" i="12"/>
  <c r="F65" i="12"/>
  <c r="D65" i="12"/>
  <c r="C65" i="12"/>
  <c r="B65" i="12"/>
  <c r="F64" i="12"/>
  <c r="D64" i="12"/>
  <c r="C64" i="12"/>
  <c r="B64" i="12"/>
  <c r="F63" i="12"/>
  <c r="D63" i="12"/>
  <c r="C63" i="12"/>
  <c r="B63" i="12"/>
  <c r="F62" i="12"/>
  <c r="D62" i="12"/>
  <c r="C62" i="12"/>
  <c r="B62" i="12"/>
  <c r="F61" i="12"/>
  <c r="D61" i="12"/>
  <c r="C61" i="12"/>
  <c r="B61" i="12"/>
  <c r="F60" i="12"/>
  <c r="D60" i="12"/>
  <c r="C60" i="12"/>
  <c r="B60" i="12"/>
  <c r="F59" i="12"/>
  <c r="D59" i="12"/>
  <c r="C59" i="12"/>
  <c r="B59" i="12"/>
  <c r="F58" i="12"/>
  <c r="D58" i="12"/>
  <c r="C58" i="12"/>
  <c r="B58" i="12"/>
  <c r="F57" i="12"/>
  <c r="D57" i="12"/>
  <c r="C57" i="12"/>
  <c r="B57" i="12"/>
  <c r="F56" i="12"/>
  <c r="D56" i="12"/>
  <c r="C56" i="12"/>
  <c r="B56" i="12"/>
  <c r="F55" i="12"/>
  <c r="D55" i="12"/>
  <c r="C55" i="12"/>
  <c r="B55" i="12"/>
  <c r="F54" i="12"/>
  <c r="D54" i="12"/>
  <c r="C54" i="12"/>
  <c r="B54" i="12"/>
  <c r="F53" i="12"/>
  <c r="D53" i="12"/>
  <c r="C53" i="12"/>
  <c r="B53" i="12"/>
  <c r="F52" i="12"/>
  <c r="D52" i="12"/>
  <c r="C52" i="12"/>
  <c r="B52" i="12"/>
  <c r="F51" i="12"/>
  <c r="D51" i="12"/>
  <c r="C51" i="12"/>
  <c r="B51" i="12"/>
  <c r="F50" i="12"/>
  <c r="D50" i="12"/>
  <c r="C50" i="12"/>
  <c r="B50" i="12"/>
  <c r="F49" i="12"/>
  <c r="D49" i="12"/>
  <c r="C49" i="12"/>
  <c r="B49" i="12"/>
  <c r="F48" i="12"/>
  <c r="D48" i="12"/>
  <c r="C48" i="12"/>
  <c r="B48" i="12"/>
  <c r="F47" i="12"/>
  <c r="D47" i="12"/>
  <c r="C47" i="12"/>
  <c r="B47" i="12"/>
  <c r="F46" i="12"/>
  <c r="D46" i="12"/>
  <c r="C46" i="12"/>
  <c r="B46" i="12"/>
  <c r="F45" i="12"/>
  <c r="D45" i="12"/>
  <c r="C45" i="12"/>
  <c r="B45" i="12"/>
  <c r="F44" i="12"/>
  <c r="D44" i="12"/>
  <c r="C44" i="12"/>
  <c r="B44" i="12"/>
  <c r="F43" i="12"/>
  <c r="D43" i="12"/>
  <c r="C43" i="12"/>
  <c r="B43" i="12"/>
  <c r="F42" i="12"/>
  <c r="D42" i="12"/>
  <c r="C42" i="12"/>
  <c r="B42" i="12"/>
  <c r="F41" i="12"/>
  <c r="D41" i="12"/>
  <c r="C41" i="12"/>
  <c r="B41" i="12"/>
  <c r="F40" i="12"/>
  <c r="D40" i="12"/>
  <c r="C40" i="12"/>
  <c r="B40" i="12"/>
  <c r="F39" i="12"/>
  <c r="D39" i="12"/>
  <c r="C39" i="12"/>
  <c r="B39" i="12"/>
  <c r="F38" i="12"/>
  <c r="D38" i="12"/>
  <c r="C38" i="12"/>
  <c r="B38" i="12"/>
  <c r="F37" i="12"/>
  <c r="D37" i="12"/>
  <c r="C37" i="12"/>
  <c r="B37" i="12"/>
  <c r="F36" i="12"/>
  <c r="D36" i="12"/>
  <c r="C36" i="12"/>
  <c r="B36" i="12"/>
  <c r="F35" i="12"/>
  <c r="D35" i="12"/>
  <c r="C35" i="12"/>
  <c r="B35" i="12"/>
  <c r="F34" i="12"/>
  <c r="D34" i="12"/>
  <c r="C34" i="12"/>
  <c r="B34" i="12"/>
  <c r="F33" i="12"/>
  <c r="D33" i="12"/>
  <c r="C33" i="12"/>
  <c r="B33" i="12"/>
  <c r="F32" i="12"/>
  <c r="D32" i="12"/>
  <c r="C32" i="12"/>
  <c r="B32" i="12"/>
  <c r="F31" i="12"/>
  <c r="D31" i="12"/>
  <c r="C31" i="12"/>
  <c r="B31" i="12"/>
  <c r="F30" i="12"/>
  <c r="D30" i="12"/>
  <c r="C30" i="12"/>
  <c r="B30" i="12"/>
  <c r="F29" i="12"/>
  <c r="D29" i="12"/>
  <c r="C29" i="12"/>
  <c r="B29" i="12"/>
  <c r="F28" i="12"/>
  <c r="D28" i="12"/>
  <c r="C28" i="12"/>
  <c r="B28" i="12"/>
  <c r="F27" i="12"/>
  <c r="D27" i="12"/>
  <c r="C27" i="12"/>
  <c r="B27" i="12"/>
  <c r="F26" i="12"/>
  <c r="D26" i="12"/>
  <c r="C26" i="12"/>
  <c r="B26" i="12"/>
  <c r="F25" i="12"/>
  <c r="D25" i="12"/>
  <c r="C25" i="12"/>
  <c r="B25" i="12"/>
  <c r="F24" i="12"/>
  <c r="D24" i="12"/>
  <c r="C24" i="12"/>
  <c r="B24" i="12"/>
  <c r="F23" i="12"/>
  <c r="D23" i="12"/>
  <c r="C23" i="12"/>
  <c r="B23" i="12"/>
  <c r="F22" i="12"/>
  <c r="D22" i="12"/>
  <c r="C22" i="12"/>
  <c r="B22" i="12"/>
  <c r="F21" i="12"/>
  <c r="D21" i="12"/>
  <c r="C21" i="12"/>
  <c r="B21" i="12"/>
  <c r="F20" i="12"/>
  <c r="D20" i="12"/>
  <c r="C20" i="12"/>
  <c r="B20" i="12"/>
  <c r="F19" i="12"/>
  <c r="D19" i="12"/>
  <c r="C19" i="12"/>
  <c r="B19" i="12"/>
  <c r="F18" i="12"/>
  <c r="D18" i="12"/>
  <c r="C18" i="12"/>
  <c r="B18" i="12"/>
  <c r="F17" i="12"/>
  <c r="D17" i="12"/>
  <c r="C17" i="12"/>
  <c r="B17" i="12"/>
  <c r="F16" i="12"/>
  <c r="D16" i="12"/>
  <c r="C16" i="12"/>
  <c r="B16" i="12"/>
  <c r="F15" i="12"/>
  <c r="D15" i="12"/>
  <c r="C15" i="12"/>
  <c r="B15" i="12"/>
  <c r="F14" i="12"/>
  <c r="D14" i="12"/>
  <c r="C14" i="12"/>
  <c r="B14" i="12"/>
  <c r="F13" i="12"/>
  <c r="D13" i="12"/>
  <c r="C13" i="12"/>
  <c r="B13" i="12"/>
  <c r="F12" i="12"/>
  <c r="D12" i="12"/>
  <c r="C12" i="12"/>
  <c r="B12" i="12"/>
  <c r="F11" i="12"/>
  <c r="D11" i="12"/>
  <c r="C11" i="12"/>
  <c r="B11" i="12"/>
  <c r="F10" i="12"/>
  <c r="D10" i="12"/>
  <c r="C10" i="12"/>
  <c r="B10" i="12"/>
  <c r="F9" i="12"/>
  <c r="D9" i="12"/>
  <c r="C9" i="12"/>
  <c r="B9" i="12"/>
  <c r="F8" i="12"/>
  <c r="D8" i="12"/>
  <c r="C8" i="12"/>
  <c r="B8" i="12"/>
  <c r="F7" i="12"/>
  <c r="D7" i="12"/>
  <c r="C7" i="12"/>
  <c r="B7" i="12"/>
  <c r="F6" i="12"/>
  <c r="D6" i="12"/>
  <c r="C6" i="12"/>
  <c r="B6" i="12"/>
  <c r="F5" i="12"/>
  <c r="D5" i="12"/>
  <c r="C5" i="12"/>
  <c r="B5" i="12"/>
  <c r="F4" i="12"/>
  <c r="D4" i="12"/>
  <c r="C4" i="12"/>
  <c r="B4" i="12"/>
  <c r="F3" i="12"/>
  <c r="D3" i="12"/>
  <c r="C3" i="12"/>
  <c r="B3" i="12"/>
  <c r="J72" i="3"/>
  <c r="J71" i="3" s="1"/>
  <c r="F4" i="11"/>
  <c r="C30" i="3"/>
  <c r="C65" i="3"/>
  <c r="V1" i="3"/>
  <c r="V2" i="3"/>
  <c r="V62" i="3"/>
  <c r="D72" i="3" s="1"/>
  <c r="F72" i="3" s="1"/>
  <c r="V63" i="3"/>
  <c r="V64" i="3"/>
  <c r="V65" i="3"/>
  <c r="D73" i="3" s="1"/>
  <c r="F73" i="3" s="1"/>
  <c r="V66" i="3"/>
  <c r="V67" i="3"/>
  <c r="V61" i="3"/>
  <c r="D71" i="3" s="1"/>
  <c r="F71" i="3" s="1"/>
  <c r="V24" i="3"/>
  <c r="D44" i="3" s="1"/>
  <c r="V25" i="3"/>
  <c r="H67" i="3"/>
  <c r="J67" i="3" s="1"/>
  <c r="F289" i="11"/>
  <c r="D289" i="11"/>
  <c r="C289" i="11"/>
  <c r="B289" i="11"/>
  <c r="F288" i="11"/>
  <c r="D288" i="11"/>
  <c r="C288" i="11"/>
  <c r="B288" i="11"/>
  <c r="F287" i="11"/>
  <c r="D287" i="11"/>
  <c r="C287" i="11"/>
  <c r="B287" i="11"/>
  <c r="F286" i="11"/>
  <c r="D286" i="11"/>
  <c r="C286" i="11"/>
  <c r="B286" i="11"/>
  <c r="F285" i="11"/>
  <c r="D285" i="11"/>
  <c r="C285" i="11"/>
  <c r="B285" i="11"/>
  <c r="F284" i="11"/>
  <c r="D284" i="11"/>
  <c r="C284" i="11"/>
  <c r="B284" i="11"/>
  <c r="F283" i="11"/>
  <c r="D283" i="11"/>
  <c r="C283" i="11"/>
  <c r="B283" i="11"/>
  <c r="F282" i="11"/>
  <c r="D282" i="11"/>
  <c r="C282" i="11"/>
  <c r="B282" i="11"/>
  <c r="F281" i="11"/>
  <c r="D281" i="11"/>
  <c r="C281" i="11"/>
  <c r="B281" i="11"/>
  <c r="F280" i="11"/>
  <c r="D280" i="11"/>
  <c r="C280" i="11"/>
  <c r="B280" i="11"/>
  <c r="F279" i="11"/>
  <c r="D279" i="11"/>
  <c r="C279" i="11"/>
  <c r="B279" i="11"/>
  <c r="F278" i="11"/>
  <c r="D278" i="11"/>
  <c r="C278" i="11"/>
  <c r="B278" i="11"/>
  <c r="F277" i="11"/>
  <c r="D277" i="11"/>
  <c r="C277" i="11"/>
  <c r="B277" i="11"/>
  <c r="F276" i="11"/>
  <c r="D276" i="11"/>
  <c r="C276" i="11"/>
  <c r="B276" i="11"/>
  <c r="F275" i="11"/>
  <c r="D275" i="11"/>
  <c r="C275" i="11"/>
  <c r="B275" i="11"/>
  <c r="F274" i="11"/>
  <c r="D274" i="11"/>
  <c r="C274" i="11"/>
  <c r="B274" i="11"/>
  <c r="F273" i="11"/>
  <c r="D273" i="11"/>
  <c r="C273" i="11"/>
  <c r="B273" i="11"/>
  <c r="F272" i="11"/>
  <c r="D272" i="11"/>
  <c r="C272" i="11"/>
  <c r="B272" i="11"/>
  <c r="F271" i="11"/>
  <c r="D271" i="11"/>
  <c r="C271" i="11"/>
  <c r="B271" i="11"/>
  <c r="F270" i="11"/>
  <c r="D270" i="11"/>
  <c r="C270" i="11"/>
  <c r="B270" i="11"/>
  <c r="F269" i="11"/>
  <c r="D269" i="11"/>
  <c r="C269" i="11"/>
  <c r="B269" i="11"/>
  <c r="F268" i="11"/>
  <c r="D268" i="11"/>
  <c r="C268" i="11"/>
  <c r="B268" i="11"/>
  <c r="F267" i="11"/>
  <c r="D267" i="11"/>
  <c r="C267" i="11"/>
  <c r="B267" i="11"/>
  <c r="F266" i="11"/>
  <c r="D266" i="11"/>
  <c r="C266" i="11"/>
  <c r="B266" i="11"/>
  <c r="F265" i="11"/>
  <c r="D265" i="11"/>
  <c r="C265" i="11"/>
  <c r="B265" i="11"/>
  <c r="F264" i="11"/>
  <c r="D264" i="11"/>
  <c r="C264" i="11"/>
  <c r="B264" i="11"/>
  <c r="F263" i="11"/>
  <c r="D263" i="11"/>
  <c r="C263" i="11"/>
  <c r="B263" i="11"/>
  <c r="F262" i="11"/>
  <c r="D262" i="11"/>
  <c r="C262" i="11"/>
  <c r="B262" i="11"/>
  <c r="F261" i="11"/>
  <c r="D261" i="11"/>
  <c r="C261" i="11"/>
  <c r="B261" i="11"/>
  <c r="F260" i="11"/>
  <c r="D260" i="11"/>
  <c r="C260" i="11"/>
  <c r="B260" i="11"/>
  <c r="F259" i="11"/>
  <c r="D259" i="11"/>
  <c r="C259" i="11"/>
  <c r="B259" i="11"/>
  <c r="F258" i="11"/>
  <c r="D258" i="11"/>
  <c r="C258" i="11"/>
  <c r="B258" i="11"/>
  <c r="F257" i="11"/>
  <c r="D257" i="11"/>
  <c r="C257" i="11"/>
  <c r="B257" i="11"/>
  <c r="F256" i="11"/>
  <c r="D256" i="11"/>
  <c r="C256" i="11"/>
  <c r="B256" i="11"/>
  <c r="F255" i="11"/>
  <c r="D255" i="11"/>
  <c r="C255" i="11"/>
  <c r="B255" i="11"/>
  <c r="F254" i="11"/>
  <c r="D254" i="11"/>
  <c r="C254" i="11"/>
  <c r="B254" i="11"/>
  <c r="F253" i="11"/>
  <c r="D253" i="11"/>
  <c r="C253" i="11"/>
  <c r="B253" i="11"/>
  <c r="F252" i="11"/>
  <c r="D252" i="11"/>
  <c r="C252" i="11"/>
  <c r="B252" i="11"/>
  <c r="F251" i="11"/>
  <c r="D251" i="11"/>
  <c r="C251" i="11"/>
  <c r="B251" i="11"/>
  <c r="F250" i="11"/>
  <c r="D250" i="11"/>
  <c r="C250" i="11"/>
  <c r="B250" i="11"/>
  <c r="F249" i="11"/>
  <c r="D249" i="11"/>
  <c r="C249" i="11"/>
  <c r="B249" i="11"/>
  <c r="F248" i="11"/>
  <c r="D248" i="11"/>
  <c r="C248" i="11"/>
  <c r="B248" i="11"/>
  <c r="F247" i="11"/>
  <c r="D247" i="11"/>
  <c r="C247" i="11"/>
  <c r="B247" i="11"/>
  <c r="F246" i="11"/>
  <c r="D246" i="11"/>
  <c r="C246" i="11"/>
  <c r="B246" i="11"/>
  <c r="F245" i="11"/>
  <c r="D245" i="11"/>
  <c r="C245" i="11"/>
  <c r="B245" i="11"/>
  <c r="F244" i="11"/>
  <c r="D244" i="11"/>
  <c r="C244" i="11"/>
  <c r="B244" i="11"/>
  <c r="F243" i="11"/>
  <c r="D243" i="11"/>
  <c r="C243" i="11"/>
  <c r="B243" i="11"/>
  <c r="F242" i="11"/>
  <c r="D242" i="11"/>
  <c r="C242" i="11"/>
  <c r="B242" i="11"/>
  <c r="F241" i="11"/>
  <c r="D241" i="11"/>
  <c r="C241" i="11"/>
  <c r="B241" i="11"/>
  <c r="F240" i="11"/>
  <c r="D240" i="11"/>
  <c r="C240" i="11"/>
  <c r="B240" i="11"/>
  <c r="F239" i="11"/>
  <c r="D239" i="11"/>
  <c r="C239" i="11"/>
  <c r="B239" i="11"/>
  <c r="F238" i="11"/>
  <c r="D238" i="11"/>
  <c r="C238" i="11"/>
  <c r="B238" i="11"/>
  <c r="F237" i="11"/>
  <c r="D237" i="11"/>
  <c r="C237" i="11"/>
  <c r="B237" i="11"/>
  <c r="F236" i="11"/>
  <c r="D236" i="11"/>
  <c r="C236" i="11"/>
  <c r="B236" i="11"/>
  <c r="F235" i="11"/>
  <c r="D235" i="11"/>
  <c r="C235" i="11"/>
  <c r="B235" i="11"/>
  <c r="F234" i="11"/>
  <c r="D234" i="11"/>
  <c r="C234" i="11"/>
  <c r="B234" i="11"/>
  <c r="F233" i="11"/>
  <c r="D233" i="11"/>
  <c r="C233" i="11"/>
  <c r="B233" i="11"/>
  <c r="F232" i="11"/>
  <c r="D232" i="11"/>
  <c r="C232" i="11"/>
  <c r="B232" i="11"/>
  <c r="F231" i="11"/>
  <c r="D231" i="11"/>
  <c r="C231" i="11"/>
  <c r="B231" i="11"/>
  <c r="F230" i="11"/>
  <c r="D230" i="11"/>
  <c r="C230" i="11"/>
  <c r="B230" i="11"/>
  <c r="F229" i="11"/>
  <c r="D229" i="11"/>
  <c r="C229" i="11"/>
  <c r="B229" i="11"/>
  <c r="F228" i="11"/>
  <c r="D228" i="11"/>
  <c r="C228" i="11"/>
  <c r="B228" i="11"/>
  <c r="F227" i="11"/>
  <c r="D227" i="11"/>
  <c r="C227" i="11"/>
  <c r="B227" i="11"/>
  <c r="F226" i="11"/>
  <c r="D226" i="11"/>
  <c r="C226" i="11"/>
  <c r="B226" i="11"/>
  <c r="F225" i="11"/>
  <c r="D225" i="11"/>
  <c r="C225" i="11"/>
  <c r="B225" i="11"/>
  <c r="F224" i="11"/>
  <c r="D224" i="11"/>
  <c r="C224" i="11"/>
  <c r="B224" i="11"/>
  <c r="F223" i="11"/>
  <c r="D223" i="11"/>
  <c r="C223" i="11"/>
  <c r="B223" i="11"/>
  <c r="F222" i="11"/>
  <c r="D222" i="11"/>
  <c r="C222" i="11"/>
  <c r="B222" i="11"/>
  <c r="F221" i="11"/>
  <c r="D221" i="11"/>
  <c r="C221" i="11"/>
  <c r="B221" i="11"/>
  <c r="F220" i="11"/>
  <c r="D220" i="11"/>
  <c r="C220" i="11"/>
  <c r="B220" i="11"/>
  <c r="F219" i="11"/>
  <c r="D219" i="11"/>
  <c r="C219" i="11"/>
  <c r="B219" i="11"/>
  <c r="F218" i="11"/>
  <c r="D218" i="11"/>
  <c r="C218" i="11"/>
  <c r="B218" i="11"/>
  <c r="F217" i="11"/>
  <c r="D217" i="11"/>
  <c r="C217" i="11"/>
  <c r="B217" i="11"/>
  <c r="F216" i="11"/>
  <c r="D216" i="11"/>
  <c r="C216" i="11"/>
  <c r="B216" i="11"/>
  <c r="F215" i="11"/>
  <c r="D215" i="11"/>
  <c r="C215" i="11"/>
  <c r="B215" i="11"/>
  <c r="F214" i="11"/>
  <c r="D214" i="11"/>
  <c r="C214" i="11"/>
  <c r="B214" i="11"/>
  <c r="F213" i="11"/>
  <c r="D213" i="11"/>
  <c r="C213" i="11"/>
  <c r="B213" i="11"/>
  <c r="F212" i="11"/>
  <c r="D212" i="11"/>
  <c r="C212" i="11"/>
  <c r="B212" i="11"/>
  <c r="F211" i="11"/>
  <c r="D211" i="11"/>
  <c r="C211" i="11"/>
  <c r="B211" i="11"/>
  <c r="F210" i="11"/>
  <c r="D210" i="11"/>
  <c r="C210" i="11"/>
  <c r="B210" i="11"/>
  <c r="F209" i="11"/>
  <c r="D209" i="11"/>
  <c r="C209" i="11"/>
  <c r="B209" i="11"/>
  <c r="F208" i="11"/>
  <c r="D208" i="11"/>
  <c r="C208" i="11"/>
  <c r="B208" i="11"/>
  <c r="F207" i="11"/>
  <c r="D207" i="11"/>
  <c r="C207" i="11"/>
  <c r="B207" i="11"/>
  <c r="F206" i="11"/>
  <c r="D206" i="11"/>
  <c r="C206" i="11"/>
  <c r="B206" i="11"/>
  <c r="F205" i="11"/>
  <c r="D205" i="11"/>
  <c r="C205" i="11"/>
  <c r="B205" i="11"/>
  <c r="F204" i="11"/>
  <c r="D204" i="11"/>
  <c r="C204" i="11"/>
  <c r="B204" i="11"/>
  <c r="F203" i="11"/>
  <c r="D203" i="11"/>
  <c r="C203" i="11"/>
  <c r="B203" i="11"/>
  <c r="F202" i="11"/>
  <c r="D202" i="11"/>
  <c r="C202" i="11"/>
  <c r="B202" i="11"/>
  <c r="F201" i="11"/>
  <c r="D201" i="11"/>
  <c r="C201" i="11"/>
  <c r="B201" i="11"/>
  <c r="F200" i="11"/>
  <c r="D200" i="11"/>
  <c r="C200" i="11"/>
  <c r="B200" i="11"/>
  <c r="F199" i="11"/>
  <c r="D199" i="11"/>
  <c r="C199" i="11"/>
  <c r="B199" i="11"/>
  <c r="F198" i="11"/>
  <c r="D198" i="11"/>
  <c r="C198" i="11"/>
  <c r="B198" i="11"/>
  <c r="F197" i="11"/>
  <c r="D197" i="11"/>
  <c r="C197" i="11"/>
  <c r="B197" i="11"/>
  <c r="F196" i="11"/>
  <c r="D196" i="11"/>
  <c r="C196" i="11"/>
  <c r="B196" i="11"/>
  <c r="F195" i="11"/>
  <c r="D195" i="11"/>
  <c r="C195" i="11"/>
  <c r="B195" i="11"/>
  <c r="F194" i="11"/>
  <c r="D194" i="11"/>
  <c r="C194" i="11"/>
  <c r="B194" i="11"/>
  <c r="F193" i="11"/>
  <c r="D193" i="11"/>
  <c r="C193" i="11"/>
  <c r="B193" i="11"/>
  <c r="F192" i="11"/>
  <c r="D192" i="11"/>
  <c r="C192" i="11"/>
  <c r="B192" i="11"/>
  <c r="F191" i="11"/>
  <c r="D191" i="11"/>
  <c r="C191" i="11"/>
  <c r="B191" i="11"/>
  <c r="F190" i="11"/>
  <c r="D190" i="11"/>
  <c r="C190" i="11"/>
  <c r="B190" i="11"/>
  <c r="F189" i="11"/>
  <c r="D189" i="11"/>
  <c r="C189" i="11"/>
  <c r="B189" i="11"/>
  <c r="F188" i="11"/>
  <c r="D188" i="11"/>
  <c r="C188" i="11"/>
  <c r="B188" i="11"/>
  <c r="F187" i="11"/>
  <c r="D187" i="11"/>
  <c r="C187" i="11"/>
  <c r="B187" i="11"/>
  <c r="F186" i="11"/>
  <c r="D186" i="11"/>
  <c r="C186" i="11"/>
  <c r="B186" i="11"/>
  <c r="F185" i="11"/>
  <c r="D185" i="11"/>
  <c r="C185" i="11"/>
  <c r="B185" i="11"/>
  <c r="F184" i="11"/>
  <c r="D184" i="11"/>
  <c r="C184" i="11"/>
  <c r="B184" i="11"/>
  <c r="F183" i="11"/>
  <c r="D183" i="11"/>
  <c r="C183" i="11"/>
  <c r="B183" i="11"/>
  <c r="F182" i="11"/>
  <c r="D182" i="11"/>
  <c r="C182" i="11"/>
  <c r="B182" i="11"/>
  <c r="F181" i="11"/>
  <c r="D181" i="11"/>
  <c r="C181" i="11"/>
  <c r="B181" i="11"/>
  <c r="F180" i="11"/>
  <c r="D180" i="11"/>
  <c r="C180" i="11"/>
  <c r="B180" i="11"/>
  <c r="F179" i="11"/>
  <c r="D179" i="11"/>
  <c r="C179" i="11"/>
  <c r="B179" i="11"/>
  <c r="F178" i="11"/>
  <c r="D178" i="11"/>
  <c r="C178" i="11"/>
  <c r="B178" i="11"/>
  <c r="F177" i="11"/>
  <c r="D177" i="11"/>
  <c r="C177" i="11"/>
  <c r="B177" i="11"/>
  <c r="F176" i="11"/>
  <c r="D176" i="11"/>
  <c r="C176" i="11"/>
  <c r="B176" i="11"/>
  <c r="F175" i="11"/>
  <c r="D175" i="11"/>
  <c r="C175" i="11"/>
  <c r="B175" i="11"/>
  <c r="F174" i="11"/>
  <c r="D174" i="11"/>
  <c r="C174" i="11"/>
  <c r="B174" i="11"/>
  <c r="F173" i="11"/>
  <c r="D173" i="11"/>
  <c r="C173" i="11"/>
  <c r="B173" i="11"/>
  <c r="F172" i="11"/>
  <c r="D172" i="11"/>
  <c r="C172" i="11"/>
  <c r="B172" i="11"/>
  <c r="F171" i="11"/>
  <c r="D171" i="11"/>
  <c r="C171" i="11"/>
  <c r="B171" i="11"/>
  <c r="F170" i="11"/>
  <c r="D170" i="11"/>
  <c r="C170" i="11"/>
  <c r="B170" i="11"/>
  <c r="F169" i="11"/>
  <c r="D169" i="11"/>
  <c r="C169" i="11"/>
  <c r="B169" i="11"/>
  <c r="F168" i="11"/>
  <c r="D168" i="11"/>
  <c r="C168" i="11"/>
  <c r="B168" i="11"/>
  <c r="F167" i="11"/>
  <c r="D167" i="11"/>
  <c r="C167" i="11"/>
  <c r="B167" i="11"/>
  <c r="F166" i="11"/>
  <c r="D166" i="11"/>
  <c r="C166" i="11"/>
  <c r="B166" i="11"/>
  <c r="F165" i="11"/>
  <c r="D165" i="11"/>
  <c r="C165" i="11"/>
  <c r="B165" i="11"/>
  <c r="F164" i="11"/>
  <c r="D164" i="11"/>
  <c r="C164" i="11"/>
  <c r="B164" i="11"/>
  <c r="F163" i="11"/>
  <c r="D163" i="11"/>
  <c r="C163" i="11"/>
  <c r="B163" i="11"/>
  <c r="F162" i="11"/>
  <c r="D162" i="11"/>
  <c r="C162" i="11"/>
  <c r="B162" i="11"/>
  <c r="F161" i="11"/>
  <c r="D161" i="11"/>
  <c r="C161" i="11"/>
  <c r="B161" i="11"/>
  <c r="F160" i="11"/>
  <c r="D160" i="11"/>
  <c r="C160" i="11"/>
  <c r="B160" i="11"/>
  <c r="F159" i="11"/>
  <c r="D159" i="11"/>
  <c r="C159" i="11"/>
  <c r="B159" i="11"/>
  <c r="F158" i="11"/>
  <c r="D158" i="11"/>
  <c r="C158" i="11"/>
  <c r="B158" i="11"/>
  <c r="F157" i="11"/>
  <c r="D157" i="11"/>
  <c r="C157" i="11"/>
  <c r="B157" i="11"/>
  <c r="F156" i="11"/>
  <c r="D156" i="11"/>
  <c r="C156" i="11"/>
  <c r="B156" i="11"/>
  <c r="F155" i="11"/>
  <c r="D155" i="11"/>
  <c r="C155" i="11"/>
  <c r="B155" i="11"/>
  <c r="F154" i="11"/>
  <c r="D154" i="11"/>
  <c r="C154" i="11"/>
  <c r="B154" i="11"/>
  <c r="F153" i="11"/>
  <c r="D153" i="11"/>
  <c r="C153" i="11"/>
  <c r="B153" i="11"/>
  <c r="F152" i="11"/>
  <c r="D152" i="11"/>
  <c r="C152" i="11"/>
  <c r="B152" i="11"/>
  <c r="F151" i="11"/>
  <c r="D151" i="11"/>
  <c r="C151" i="11"/>
  <c r="B151" i="11"/>
  <c r="F150" i="11"/>
  <c r="D150" i="11"/>
  <c r="C150" i="11"/>
  <c r="B150" i="11"/>
  <c r="F149" i="11"/>
  <c r="D149" i="11"/>
  <c r="C149" i="11"/>
  <c r="B149" i="11"/>
  <c r="F148" i="11"/>
  <c r="D148" i="11"/>
  <c r="C148" i="11"/>
  <c r="B148" i="11"/>
  <c r="F147" i="11"/>
  <c r="D147" i="11"/>
  <c r="C147" i="11"/>
  <c r="B147" i="11"/>
  <c r="F146" i="11"/>
  <c r="D146" i="11"/>
  <c r="C146" i="11"/>
  <c r="B146" i="11"/>
  <c r="F145" i="11"/>
  <c r="D145" i="11"/>
  <c r="C145" i="11"/>
  <c r="B145" i="11"/>
  <c r="F144" i="11"/>
  <c r="D144" i="11"/>
  <c r="C144" i="11"/>
  <c r="B144" i="11"/>
  <c r="F143" i="11"/>
  <c r="D143" i="11"/>
  <c r="C143" i="11"/>
  <c r="B143" i="11"/>
  <c r="F142" i="11"/>
  <c r="D142" i="11"/>
  <c r="C142" i="11"/>
  <c r="B142" i="11"/>
  <c r="F141" i="11"/>
  <c r="D141" i="11"/>
  <c r="C141" i="11"/>
  <c r="B141" i="11"/>
  <c r="F140" i="11"/>
  <c r="D140" i="11"/>
  <c r="C140" i="11"/>
  <c r="B140" i="11"/>
  <c r="F139" i="11"/>
  <c r="D139" i="11"/>
  <c r="C139" i="11"/>
  <c r="B139" i="11"/>
  <c r="F138" i="11"/>
  <c r="D138" i="11"/>
  <c r="C138" i="11"/>
  <c r="B138" i="11"/>
  <c r="F137" i="11"/>
  <c r="D137" i="11"/>
  <c r="C137" i="11"/>
  <c r="B137" i="11"/>
  <c r="F136" i="11"/>
  <c r="D136" i="11"/>
  <c r="C136" i="11"/>
  <c r="B136" i="11"/>
  <c r="F135" i="11"/>
  <c r="D135" i="11"/>
  <c r="C135" i="11"/>
  <c r="B135" i="11"/>
  <c r="F134" i="11"/>
  <c r="D134" i="11"/>
  <c r="C134" i="11"/>
  <c r="B134" i="11"/>
  <c r="F133" i="11"/>
  <c r="D133" i="11"/>
  <c r="C133" i="11"/>
  <c r="B133" i="11"/>
  <c r="F132" i="11"/>
  <c r="D132" i="11"/>
  <c r="C132" i="11"/>
  <c r="B132" i="11"/>
  <c r="F131" i="11"/>
  <c r="D131" i="11"/>
  <c r="C131" i="11"/>
  <c r="B131" i="11"/>
  <c r="F130" i="11"/>
  <c r="D130" i="11"/>
  <c r="C130" i="11"/>
  <c r="B130" i="11"/>
  <c r="F129" i="11"/>
  <c r="D129" i="11"/>
  <c r="C129" i="11"/>
  <c r="B129" i="11"/>
  <c r="F128" i="11"/>
  <c r="D128" i="11"/>
  <c r="C128" i="11"/>
  <c r="B128" i="11"/>
  <c r="F127" i="11"/>
  <c r="D127" i="11"/>
  <c r="C127" i="11"/>
  <c r="B127" i="11"/>
  <c r="F126" i="11"/>
  <c r="D126" i="11"/>
  <c r="C126" i="11"/>
  <c r="B126" i="11"/>
  <c r="F125" i="11"/>
  <c r="D125" i="11"/>
  <c r="C125" i="11"/>
  <c r="B125" i="11"/>
  <c r="F124" i="11"/>
  <c r="D124" i="11"/>
  <c r="C124" i="11"/>
  <c r="B124" i="11"/>
  <c r="F123" i="11"/>
  <c r="D123" i="11"/>
  <c r="C123" i="11"/>
  <c r="B123" i="11"/>
  <c r="F122" i="11"/>
  <c r="D122" i="11"/>
  <c r="C122" i="11"/>
  <c r="B122" i="11"/>
  <c r="F121" i="11"/>
  <c r="D121" i="11"/>
  <c r="C121" i="11"/>
  <c r="B121" i="11"/>
  <c r="F120" i="11"/>
  <c r="D120" i="11"/>
  <c r="C120" i="11"/>
  <c r="B120" i="11"/>
  <c r="F119" i="11"/>
  <c r="D119" i="11"/>
  <c r="C119" i="11"/>
  <c r="B119" i="11"/>
  <c r="F118" i="11"/>
  <c r="D118" i="11"/>
  <c r="C118" i="11"/>
  <c r="B118" i="11"/>
  <c r="F117" i="11"/>
  <c r="D117" i="11"/>
  <c r="C117" i="11"/>
  <c r="B117" i="11"/>
  <c r="F116" i="11"/>
  <c r="D116" i="11"/>
  <c r="C116" i="11"/>
  <c r="B116" i="11"/>
  <c r="F115" i="11"/>
  <c r="D115" i="11"/>
  <c r="C115" i="11"/>
  <c r="B115" i="11"/>
  <c r="F114" i="11"/>
  <c r="D114" i="11"/>
  <c r="C114" i="11"/>
  <c r="B114" i="11"/>
  <c r="F113" i="11"/>
  <c r="D113" i="11"/>
  <c r="C113" i="11"/>
  <c r="B113" i="11"/>
  <c r="F112" i="11"/>
  <c r="D112" i="11"/>
  <c r="C112" i="11"/>
  <c r="B112" i="11"/>
  <c r="F111" i="11"/>
  <c r="D111" i="11"/>
  <c r="C111" i="11"/>
  <c r="B111" i="11"/>
  <c r="F110" i="11"/>
  <c r="D110" i="11"/>
  <c r="C110" i="11"/>
  <c r="B110" i="11"/>
  <c r="F109" i="11"/>
  <c r="D109" i="11"/>
  <c r="C109" i="11"/>
  <c r="B109" i="11"/>
  <c r="F108" i="11"/>
  <c r="D108" i="11"/>
  <c r="C108" i="11"/>
  <c r="B108" i="11"/>
  <c r="F107" i="11"/>
  <c r="D107" i="11"/>
  <c r="C107" i="11"/>
  <c r="B107" i="11"/>
  <c r="F106" i="11"/>
  <c r="D106" i="11"/>
  <c r="C106" i="11"/>
  <c r="B106" i="11"/>
  <c r="F105" i="11"/>
  <c r="D105" i="11"/>
  <c r="C105" i="11"/>
  <c r="B105" i="11"/>
  <c r="F104" i="11"/>
  <c r="D104" i="11"/>
  <c r="C104" i="11"/>
  <c r="B104" i="11"/>
  <c r="F103" i="11"/>
  <c r="D103" i="11"/>
  <c r="C103" i="11"/>
  <c r="B103" i="11"/>
  <c r="F102" i="11"/>
  <c r="D102" i="11"/>
  <c r="C102" i="11"/>
  <c r="B102" i="11"/>
  <c r="F101" i="11"/>
  <c r="D101" i="11"/>
  <c r="C101" i="11"/>
  <c r="B101" i="11"/>
  <c r="F100" i="11"/>
  <c r="D100" i="11"/>
  <c r="C100" i="11"/>
  <c r="B100" i="11"/>
  <c r="F99" i="11"/>
  <c r="D99" i="11"/>
  <c r="C99" i="11"/>
  <c r="B99" i="11"/>
  <c r="F98" i="11"/>
  <c r="D98" i="11"/>
  <c r="C98" i="11"/>
  <c r="B98" i="11"/>
  <c r="F97" i="11"/>
  <c r="D97" i="11"/>
  <c r="C97" i="11"/>
  <c r="B97" i="11"/>
  <c r="F96" i="11"/>
  <c r="D96" i="11"/>
  <c r="C96" i="11"/>
  <c r="B96" i="11"/>
  <c r="F95" i="11"/>
  <c r="D95" i="11"/>
  <c r="C95" i="11"/>
  <c r="B95" i="11"/>
  <c r="F94" i="11"/>
  <c r="D94" i="11"/>
  <c r="C94" i="11"/>
  <c r="B94" i="11"/>
  <c r="F93" i="11"/>
  <c r="D93" i="11"/>
  <c r="C93" i="11"/>
  <c r="B93" i="11"/>
  <c r="F92" i="11"/>
  <c r="D92" i="11"/>
  <c r="C92" i="11"/>
  <c r="B92" i="11"/>
  <c r="F91" i="11"/>
  <c r="D91" i="11"/>
  <c r="C91" i="11"/>
  <c r="B91" i="11"/>
  <c r="F90" i="11"/>
  <c r="D90" i="11"/>
  <c r="C90" i="11"/>
  <c r="B90" i="11"/>
  <c r="F89" i="11"/>
  <c r="D89" i="11"/>
  <c r="C89" i="11"/>
  <c r="B89" i="11"/>
  <c r="F88" i="11"/>
  <c r="D88" i="11"/>
  <c r="C88" i="11"/>
  <c r="B88" i="11"/>
  <c r="F87" i="11"/>
  <c r="D87" i="11"/>
  <c r="C87" i="11"/>
  <c r="B87" i="11"/>
  <c r="F86" i="11"/>
  <c r="D86" i="11"/>
  <c r="C86" i="11"/>
  <c r="B86" i="11"/>
  <c r="F85" i="11"/>
  <c r="D85" i="11"/>
  <c r="C85" i="11"/>
  <c r="B85" i="11"/>
  <c r="F84" i="11"/>
  <c r="D84" i="11"/>
  <c r="C84" i="11"/>
  <c r="B84" i="11"/>
  <c r="F83" i="11"/>
  <c r="D83" i="11"/>
  <c r="C83" i="11"/>
  <c r="B83" i="11"/>
  <c r="F82" i="11"/>
  <c r="D82" i="11"/>
  <c r="C82" i="11"/>
  <c r="B82" i="11"/>
  <c r="F81" i="11"/>
  <c r="D81" i="11"/>
  <c r="C81" i="11"/>
  <c r="B81" i="11"/>
  <c r="F80" i="11"/>
  <c r="D80" i="11"/>
  <c r="C80" i="11"/>
  <c r="B80" i="11"/>
  <c r="F79" i="11"/>
  <c r="D79" i="11"/>
  <c r="C79" i="11"/>
  <c r="B79" i="11"/>
  <c r="F78" i="11"/>
  <c r="D78" i="11"/>
  <c r="C78" i="11"/>
  <c r="B78" i="11"/>
  <c r="F77" i="11"/>
  <c r="D77" i="11"/>
  <c r="C77" i="11"/>
  <c r="B77" i="11"/>
  <c r="F76" i="11"/>
  <c r="D76" i="11"/>
  <c r="C76" i="11"/>
  <c r="B76" i="11"/>
  <c r="F75" i="11"/>
  <c r="D75" i="11"/>
  <c r="C75" i="11"/>
  <c r="B75" i="11"/>
  <c r="F74" i="11"/>
  <c r="D74" i="11"/>
  <c r="C74" i="11"/>
  <c r="B74" i="11"/>
  <c r="F73" i="11"/>
  <c r="D73" i="11"/>
  <c r="C73" i="11"/>
  <c r="B73" i="11"/>
  <c r="F72" i="11"/>
  <c r="D72" i="11"/>
  <c r="C72" i="11"/>
  <c r="B72" i="11"/>
  <c r="F71" i="11"/>
  <c r="D71" i="11"/>
  <c r="C71" i="11"/>
  <c r="B71" i="11"/>
  <c r="F70" i="11"/>
  <c r="D70" i="11"/>
  <c r="C70" i="11"/>
  <c r="B70" i="11"/>
  <c r="F69" i="11"/>
  <c r="D69" i="11"/>
  <c r="C69" i="11"/>
  <c r="B69" i="11"/>
  <c r="F68" i="11"/>
  <c r="D68" i="11"/>
  <c r="C68" i="11"/>
  <c r="B68" i="11"/>
  <c r="F67" i="11"/>
  <c r="D67" i="11"/>
  <c r="C67" i="11"/>
  <c r="B67" i="11"/>
  <c r="F66" i="11"/>
  <c r="D66" i="11"/>
  <c r="C66" i="11"/>
  <c r="B66" i="11"/>
  <c r="F65" i="11"/>
  <c r="D65" i="11"/>
  <c r="C65" i="11"/>
  <c r="B65" i="11"/>
  <c r="F64" i="11"/>
  <c r="D64" i="11"/>
  <c r="C64" i="11"/>
  <c r="B64" i="11"/>
  <c r="F63" i="11"/>
  <c r="D63" i="11"/>
  <c r="C63" i="11"/>
  <c r="B63" i="11"/>
  <c r="F62" i="11"/>
  <c r="D62" i="11"/>
  <c r="C62" i="11"/>
  <c r="B62" i="11"/>
  <c r="F61" i="11"/>
  <c r="D61" i="11"/>
  <c r="C61" i="11"/>
  <c r="B61" i="11"/>
  <c r="F60" i="11"/>
  <c r="D60" i="11"/>
  <c r="C60" i="11"/>
  <c r="B60" i="11"/>
  <c r="F59" i="11"/>
  <c r="D59" i="11"/>
  <c r="C59" i="11"/>
  <c r="B59" i="11"/>
  <c r="F58" i="11"/>
  <c r="D58" i="11"/>
  <c r="C58" i="11"/>
  <c r="B58" i="11"/>
  <c r="F57" i="11"/>
  <c r="D57" i="11"/>
  <c r="C57" i="11"/>
  <c r="B57" i="11"/>
  <c r="F56" i="11"/>
  <c r="D56" i="11"/>
  <c r="C56" i="11"/>
  <c r="B56" i="11"/>
  <c r="F55" i="11"/>
  <c r="D55" i="11"/>
  <c r="C55" i="11"/>
  <c r="B55" i="11"/>
  <c r="F54" i="11"/>
  <c r="D54" i="11"/>
  <c r="C54" i="11"/>
  <c r="B54" i="11"/>
  <c r="F53" i="11"/>
  <c r="D53" i="11"/>
  <c r="C53" i="11"/>
  <c r="B53" i="11"/>
  <c r="F52" i="11"/>
  <c r="D52" i="11"/>
  <c r="C52" i="11"/>
  <c r="B52" i="11"/>
  <c r="F51" i="11"/>
  <c r="D51" i="11"/>
  <c r="C51" i="11"/>
  <c r="B51" i="11"/>
  <c r="F50" i="11"/>
  <c r="D50" i="11"/>
  <c r="C50" i="11"/>
  <c r="B50" i="11"/>
  <c r="F49" i="11"/>
  <c r="D49" i="11"/>
  <c r="C49" i="11"/>
  <c r="B49" i="11"/>
  <c r="F48" i="11"/>
  <c r="D48" i="11"/>
  <c r="C48" i="11"/>
  <c r="B48" i="11"/>
  <c r="F47" i="11"/>
  <c r="D47" i="11"/>
  <c r="C47" i="11"/>
  <c r="B47" i="11"/>
  <c r="F46" i="11"/>
  <c r="D46" i="11"/>
  <c r="C46" i="11"/>
  <c r="B46" i="11"/>
  <c r="F45" i="11"/>
  <c r="D45" i="11"/>
  <c r="C45" i="11"/>
  <c r="B45" i="11"/>
  <c r="F44" i="11"/>
  <c r="D44" i="11"/>
  <c r="C44" i="11"/>
  <c r="B44" i="11"/>
  <c r="F43" i="11"/>
  <c r="D43" i="11"/>
  <c r="C43" i="11"/>
  <c r="B43" i="11"/>
  <c r="F42" i="11"/>
  <c r="D42" i="11"/>
  <c r="C42" i="11"/>
  <c r="B42" i="11"/>
  <c r="F41" i="11"/>
  <c r="D41" i="11"/>
  <c r="C41" i="11"/>
  <c r="B41" i="11"/>
  <c r="F40" i="11"/>
  <c r="D40" i="11"/>
  <c r="C40" i="11"/>
  <c r="B40" i="11"/>
  <c r="F39" i="11"/>
  <c r="D39" i="11"/>
  <c r="C39" i="11"/>
  <c r="B39" i="11"/>
  <c r="F38" i="11"/>
  <c r="D38" i="11"/>
  <c r="C38" i="11"/>
  <c r="B38" i="11"/>
  <c r="F37" i="11"/>
  <c r="D37" i="11"/>
  <c r="C37" i="11"/>
  <c r="B37" i="11"/>
  <c r="F36" i="11"/>
  <c r="D36" i="11"/>
  <c r="C36" i="11"/>
  <c r="B36" i="11"/>
  <c r="F35" i="11"/>
  <c r="D35" i="11"/>
  <c r="C35" i="11"/>
  <c r="B35" i="11"/>
  <c r="F34" i="11"/>
  <c r="D34" i="11"/>
  <c r="C34" i="11"/>
  <c r="B34" i="11"/>
  <c r="F33" i="11"/>
  <c r="D33" i="11"/>
  <c r="C33" i="11"/>
  <c r="B33" i="11"/>
  <c r="F32" i="11"/>
  <c r="D32" i="11"/>
  <c r="C32" i="11"/>
  <c r="B32" i="11"/>
  <c r="F31" i="11"/>
  <c r="D31" i="11"/>
  <c r="C31" i="11"/>
  <c r="B31" i="11"/>
  <c r="F30" i="11"/>
  <c r="D30" i="11"/>
  <c r="C30" i="11"/>
  <c r="B30" i="11"/>
  <c r="F29" i="11"/>
  <c r="D29" i="11"/>
  <c r="C29" i="11"/>
  <c r="B29" i="11"/>
  <c r="F28" i="11"/>
  <c r="D28" i="11"/>
  <c r="C28" i="11"/>
  <c r="B28" i="11"/>
  <c r="F27" i="11"/>
  <c r="D27" i="11"/>
  <c r="C27" i="11"/>
  <c r="B27" i="11"/>
  <c r="F26" i="11"/>
  <c r="D26" i="11"/>
  <c r="C26" i="11"/>
  <c r="B26" i="11"/>
  <c r="F25" i="11"/>
  <c r="D25" i="11"/>
  <c r="C25" i="11"/>
  <c r="B25" i="11"/>
  <c r="F24" i="11"/>
  <c r="D24" i="11"/>
  <c r="C24" i="11"/>
  <c r="B24" i="11"/>
  <c r="F23" i="11"/>
  <c r="D23" i="11"/>
  <c r="C23" i="11"/>
  <c r="B23" i="11"/>
  <c r="F22" i="11"/>
  <c r="D22" i="11"/>
  <c r="C22" i="11"/>
  <c r="B22" i="11"/>
  <c r="F21" i="11"/>
  <c r="D21" i="11"/>
  <c r="C21" i="11"/>
  <c r="B21" i="11"/>
  <c r="F20" i="11"/>
  <c r="D20" i="11"/>
  <c r="C20" i="11"/>
  <c r="B20" i="11"/>
  <c r="F19" i="11"/>
  <c r="D19" i="11"/>
  <c r="C19" i="11"/>
  <c r="B19" i="11"/>
  <c r="F18" i="11"/>
  <c r="D18" i="11"/>
  <c r="C18" i="11"/>
  <c r="B18" i="11"/>
  <c r="F17" i="11"/>
  <c r="D17" i="11"/>
  <c r="C17" i="11"/>
  <c r="B17" i="11"/>
  <c r="F16" i="11"/>
  <c r="D16" i="11"/>
  <c r="C16" i="11"/>
  <c r="B16" i="11"/>
  <c r="F15" i="11"/>
  <c r="D15" i="11"/>
  <c r="C15" i="11"/>
  <c r="B15" i="11"/>
  <c r="F14" i="11"/>
  <c r="D14" i="11"/>
  <c r="C14" i="11"/>
  <c r="B14" i="11"/>
  <c r="F13" i="11"/>
  <c r="D13" i="11"/>
  <c r="C13" i="11"/>
  <c r="B13" i="11"/>
  <c r="F12" i="11"/>
  <c r="D12" i="11"/>
  <c r="C12" i="11"/>
  <c r="B12" i="11"/>
  <c r="F11" i="11"/>
  <c r="D11" i="11"/>
  <c r="C11" i="11"/>
  <c r="B11" i="11"/>
  <c r="F10" i="11"/>
  <c r="D10" i="11"/>
  <c r="C10" i="11"/>
  <c r="B10" i="11"/>
  <c r="F9" i="11"/>
  <c r="D9" i="11"/>
  <c r="C9" i="11"/>
  <c r="B9" i="11"/>
  <c r="F8" i="11"/>
  <c r="D8" i="11"/>
  <c r="C8" i="11"/>
  <c r="B8" i="11"/>
  <c r="F7" i="11"/>
  <c r="D7" i="11"/>
  <c r="C7" i="11"/>
  <c r="B7" i="11"/>
  <c r="F6" i="11"/>
  <c r="D6" i="11"/>
  <c r="C6" i="11"/>
  <c r="B6" i="11"/>
  <c r="F5" i="11"/>
  <c r="D5" i="11"/>
  <c r="C5" i="11"/>
  <c r="B5" i="11"/>
  <c r="D4" i="11"/>
  <c r="C4" i="11"/>
  <c r="B4" i="11"/>
  <c r="F3" i="11"/>
  <c r="D3" i="11"/>
  <c r="C3" i="11"/>
  <c r="B3" i="11"/>
  <c r="E2" i="5"/>
  <c r="C38" i="3"/>
  <c r="H40" i="3"/>
  <c r="J40" i="3" s="1"/>
  <c r="B15" i="5"/>
  <c r="F311" i="2"/>
  <c r="F304" i="2"/>
  <c r="D3" i="1"/>
  <c r="C3" i="1"/>
  <c r="F74" i="3" l="1"/>
  <c r="J8" i="3"/>
  <c r="F98" i="3"/>
  <c r="C3" i="9"/>
  <c r="H9" i="8"/>
  <c r="H8" i="8"/>
  <c r="B19" i="10"/>
  <c r="B13" i="10"/>
  <c r="E4" i="10" s="1"/>
  <c r="B7" i="10"/>
  <c r="E3" i="10" s="1"/>
  <c r="I8" i="10"/>
  <c r="E5" i="10"/>
  <c r="C4" i="10"/>
  <c r="I7" i="10" s="1"/>
  <c r="C3" i="10"/>
  <c r="B3" i="10"/>
  <c r="I8" i="9"/>
  <c r="I7" i="9"/>
  <c r="B3" i="9"/>
  <c r="C4" i="9"/>
  <c r="B19" i="9"/>
  <c r="E5" i="9" s="1"/>
  <c r="B13" i="9"/>
  <c r="E4" i="9" s="1"/>
  <c r="B7" i="9"/>
  <c r="E3" i="9" s="1"/>
  <c r="D45" i="3"/>
  <c r="F45" i="3" s="1"/>
  <c r="V26" i="3"/>
  <c r="V27" i="3"/>
  <c r="V28" i="3"/>
  <c r="D46" i="3" s="1"/>
  <c r="F46" i="3" s="1"/>
  <c r="V29" i="3"/>
  <c r="F44" i="3"/>
  <c r="D13" i="3"/>
  <c r="F13" i="3" s="1"/>
  <c r="V3" i="3"/>
  <c r="V4" i="3"/>
  <c r="V5" i="3"/>
  <c r="D14" i="3" s="1"/>
  <c r="F14" i="3" s="1"/>
  <c r="D12" i="3"/>
  <c r="F12" i="3" s="1"/>
  <c r="B3" i="8"/>
  <c r="I3" i="4"/>
  <c r="J3" i="4" s="1"/>
  <c r="C4" i="7"/>
  <c r="C9" i="4"/>
  <c r="B9" i="4"/>
  <c r="B13" i="4" s="1"/>
  <c r="S5" i="5"/>
  <c r="C6" i="5" s="1"/>
  <c r="D9" i="4"/>
  <c r="B3" i="7"/>
  <c r="B22" i="5"/>
  <c r="B24" i="5" s="1"/>
  <c r="B8" i="4"/>
  <c r="B7" i="4"/>
  <c r="C3" i="7"/>
  <c r="B2" i="6"/>
  <c r="B3" i="6"/>
  <c r="B4" i="6"/>
  <c r="A5" i="6"/>
  <c r="F32" i="5"/>
  <c r="G34" i="5" s="1"/>
  <c r="E31" i="5"/>
  <c r="E32" i="5" s="1"/>
  <c r="C31" i="5"/>
  <c r="C32" i="5" s="1"/>
  <c r="C38" i="5"/>
  <c r="C39" i="5" s="1"/>
  <c r="C40" i="5" s="1"/>
  <c r="S18" i="5"/>
  <c r="E4" i="5" s="1"/>
  <c r="F4" i="5" s="1"/>
  <c r="S19" i="5"/>
  <c r="E5" i="5" s="1"/>
  <c r="F5" i="5" s="1"/>
  <c r="S20" i="5"/>
  <c r="E6" i="5" s="1"/>
  <c r="S21" i="5"/>
  <c r="E7" i="5" s="1"/>
  <c r="F7" i="5" s="1"/>
  <c r="S22" i="5"/>
  <c r="E8" i="5" s="1"/>
  <c r="F8" i="5" s="1"/>
  <c r="S23" i="5"/>
  <c r="E9" i="5" s="1"/>
  <c r="F9" i="5" s="1"/>
  <c r="S24" i="5"/>
  <c r="E10" i="5" s="1"/>
  <c r="F10" i="5" s="1"/>
  <c r="S25" i="5"/>
  <c r="E11" i="5" s="1"/>
  <c r="F11" i="5" s="1"/>
  <c r="S26" i="5"/>
  <c r="E12" i="5" s="1"/>
  <c r="F12" i="5" s="1"/>
  <c r="S27" i="5"/>
  <c r="E13" i="5" s="1"/>
  <c r="S28" i="5"/>
  <c r="E14" i="5" s="1"/>
  <c r="S17" i="5"/>
  <c r="E3" i="5" s="1"/>
  <c r="F3" i="5" s="1"/>
  <c r="S3" i="5"/>
  <c r="C4" i="5" s="1"/>
  <c r="D4" i="5" s="1"/>
  <c r="S4" i="5"/>
  <c r="C5" i="5" s="1"/>
  <c r="D5" i="5" s="1"/>
  <c r="S6" i="5"/>
  <c r="C7" i="5" s="1"/>
  <c r="B15" i="7" s="1"/>
  <c r="E15" i="7" s="1"/>
  <c r="S7" i="5"/>
  <c r="C8" i="5" s="1"/>
  <c r="C21" i="7" s="1"/>
  <c r="S8" i="5"/>
  <c r="C9" i="5" s="1"/>
  <c r="D9" i="5" s="1"/>
  <c r="S9" i="5"/>
  <c r="C10" i="5" s="1"/>
  <c r="D10" i="5" s="1"/>
  <c r="S10" i="5"/>
  <c r="C11" i="5" s="1"/>
  <c r="D11" i="5" s="1"/>
  <c r="S11" i="5"/>
  <c r="C12" i="5" s="1"/>
  <c r="D12" i="5" s="1"/>
  <c r="S12" i="5"/>
  <c r="C13" i="5" s="1"/>
  <c r="S13" i="5"/>
  <c r="C14" i="5" s="1"/>
  <c r="S2" i="5"/>
  <c r="C3" i="5" s="1"/>
  <c r="C2" i="5"/>
  <c r="B5" i="4"/>
  <c r="B4" i="4"/>
  <c r="C5" i="3"/>
  <c r="F318" i="2"/>
  <c r="D318" i="2"/>
  <c r="C318" i="2"/>
  <c r="B318" i="2"/>
  <c r="F317" i="2"/>
  <c r="D317" i="2"/>
  <c r="C317" i="2"/>
  <c r="B317" i="2"/>
  <c r="F316" i="2"/>
  <c r="D316" i="2"/>
  <c r="C316" i="2"/>
  <c r="B316" i="2"/>
  <c r="F315" i="2"/>
  <c r="D315" i="2"/>
  <c r="C315" i="2"/>
  <c r="B315" i="2"/>
  <c r="F314" i="2"/>
  <c r="D314" i="2"/>
  <c r="C314" i="2"/>
  <c r="B314" i="2"/>
  <c r="F313" i="2"/>
  <c r="D313" i="2"/>
  <c r="C313" i="2"/>
  <c r="B313" i="2"/>
  <c r="F312" i="2"/>
  <c r="D312" i="2"/>
  <c r="C312" i="2"/>
  <c r="B312" i="2"/>
  <c r="D311" i="2"/>
  <c r="C311" i="2"/>
  <c r="B311" i="2"/>
  <c r="F310" i="2"/>
  <c r="D310" i="2"/>
  <c r="C310" i="2"/>
  <c r="B310" i="2"/>
  <c r="F309" i="2"/>
  <c r="D309" i="2"/>
  <c r="C309" i="2"/>
  <c r="B309" i="2"/>
  <c r="F308" i="2"/>
  <c r="D308" i="2"/>
  <c r="C308" i="2"/>
  <c r="B308" i="2"/>
  <c r="F307" i="2"/>
  <c r="D307" i="2"/>
  <c r="C307" i="2"/>
  <c r="B307" i="2"/>
  <c r="F306" i="2"/>
  <c r="D306" i="2"/>
  <c r="C306" i="2"/>
  <c r="B306" i="2"/>
  <c r="F305" i="2"/>
  <c r="D305" i="2"/>
  <c r="C305" i="2"/>
  <c r="B305" i="2"/>
  <c r="D304" i="2"/>
  <c r="C304" i="2"/>
  <c r="B304" i="2"/>
  <c r="F303" i="2"/>
  <c r="D303" i="2"/>
  <c r="C303" i="2"/>
  <c r="B303" i="2"/>
  <c r="F302" i="2"/>
  <c r="D302" i="2"/>
  <c r="C302" i="2"/>
  <c r="B302" i="2"/>
  <c r="F301" i="2"/>
  <c r="D301" i="2"/>
  <c r="C301" i="2"/>
  <c r="B301" i="2"/>
  <c r="F300" i="2"/>
  <c r="D300" i="2"/>
  <c r="C300" i="2"/>
  <c r="B300" i="2"/>
  <c r="F299" i="2"/>
  <c r="D299" i="2"/>
  <c r="C299" i="2"/>
  <c r="B299" i="2"/>
  <c r="F298" i="2"/>
  <c r="D298" i="2"/>
  <c r="C298" i="2"/>
  <c r="B298" i="2"/>
  <c r="F297" i="2"/>
  <c r="D297" i="2"/>
  <c r="C297" i="2"/>
  <c r="B297" i="2"/>
  <c r="F296" i="2"/>
  <c r="D296" i="2"/>
  <c r="C296" i="2"/>
  <c r="B296" i="2"/>
  <c r="F295" i="2"/>
  <c r="D295" i="2"/>
  <c r="C295" i="2"/>
  <c r="B295" i="2"/>
  <c r="F294" i="2"/>
  <c r="D294" i="2"/>
  <c r="C294" i="2"/>
  <c r="B294" i="2"/>
  <c r="F293" i="2"/>
  <c r="D293" i="2"/>
  <c r="C293" i="2"/>
  <c r="B293" i="2"/>
  <c r="F292" i="2"/>
  <c r="D292" i="2"/>
  <c r="C292" i="2"/>
  <c r="B292" i="2"/>
  <c r="F291" i="2"/>
  <c r="D291" i="2"/>
  <c r="C291" i="2"/>
  <c r="B291" i="2"/>
  <c r="F290" i="2"/>
  <c r="D290" i="2"/>
  <c r="C290" i="2"/>
  <c r="B290" i="2"/>
  <c r="F289" i="2"/>
  <c r="D289" i="2"/>
  <c r="C289" i="2"/>
  <c r="B289" i="2"/>
  <c r="F288" i="2"/>
  <c r="D288" i="2"/>
  <c r="C288" i="2"/>
  <c r="B288" i="2"/>
  <c r="F287" i="2"/>
  <c r="D287" i="2"/>
  <c r="C287" i="2"/>
  <c r="B287" i="2"/>
  <c r="F286" i="2"/>
  <c r="D286" i="2"/>
  <c r="C286" i="2"/>
  <c r="B286" i="2"/>
  <c r="F285" i="2"/>
  <c r="D285" i="2"/>
  <c r="C285" i="2"/>
  <c r="B285" i="2"/>
  <c r="F284" i="2"/>
  <c r="D284" i="2"/>
  <c r="C284" i="2"/>
  <c r="B284" i="2"/>
  <c r="F283" i="2"/>
  <c r="D283" i="2"/>
  <c r="C283" i="2"/>
  <c r="B283" i="2"/>
  <c r="F282" i="2"/>
  <c r="D282" i="2"/>
  <c r="C282" i="2"/>
  <c r="B282" i="2"/>
  <c r="F281" i="2"/>
  <c r="D281" i="2"/>
  <c r="C281" i="2"/>
  <c r="B281" i="2"/>
  <c r="F280" i="2"/>
  <c r="D280" i="2"/>
  <c r="C280" i="2"/>
  <c r="B280" i="2"/>
  <c r="F279" i="2"/>
  <c r="D279" i="2"/>
  <c r="C279" i="2"/>
  <c r="B279" i="2"/>
  <c r="F278" i="2"/>
  <c r="D278" i="2"/>
  <c r="C278" i="2"/>
  <c r="B278" i="2"/>
  <c r="F277" i="2"/>
  <c r="D277" i="2"/>
  <c r="C277" i="2"/>
  <c r="B277" i="2"/>
  <c r="F276" i="2"/>
  <c r="D276" i="2"/>
  <c r="C276" i="2"/>
  <c r="B276" i="2"/>
  <c r="F275" i="2"/>
  <c r="D275" i="2"/>
  <c r="C275" i="2"/>
  <c r="B275" i="2"/>
  <c r="F274" i="2"/>
  <c r="D274" i="2"/>
  <c r="C274" i="2"/>
  <c r="B274" i="2"/>
  <c r="F273" i="2"/>
  <c r="D273" i="2"/>
  <c r="C273" i="2"/>
  <c r="B273" i="2"/>
  <c r="F272" i="2"/>
  <c r="D272" i="2"/>
  <c r="C272" i="2"/>
  <c r="B272" i="2"/>
  <c r="F271" i="2"/>
  <c r="D271" i="2"/>
  <c r="C271" i="2"/>
  <c r="B271" i="2"/>
  <c r="F270" i="2"/>
  <c r="D270" i="2"/>
  <c r="C270" i="2"/>
  <c r="B270" i="2"/>
  <c r="F269" i="2"/>
  <c r="D269" i="2"/>
  <c r="C269" i="2"/>
  <c r="B269" i="2"/>
  <c r="F268" i="2"/>
  <c r="D268" i="2"/>
  <c r="C268" i="2"/>
  <c r="B268" i="2"/>
  <c r="F267" i="2"/>
  <c r="D267" i="2"/>
  <c r="C267" i="2"/>
  <c r="B267" i="2"/>
  <c r="F266" i="2"/>
  <c r="D266" i="2"/>
  <c r="C266" i="2"/>
  <c r="B266" i="2"/>
  <c r="F265" i="2"/>
  <c r="D265" i="2"/>
  <c r="C265" i="2"/>
  <c r="B265" i="2"/>
  <c r="F264" i="2"/>
  <c r="D264" i="2"/>
  <c r="C264" i="2"/>
  <c r="B264" i="2"/>
  <c r="F263" i="2"/>
  <c r="D263" i="2"/>
  <c r="C263" i="2"/>
  <c r="B263" i="2"/>
  <c r="F262" i="2"/>
  <c r="D262" i="2"/>
  <c r="C262" i="2"/>
  <c r="B262" i="2"/>
  <c r="F261" i="2"/>
  <c r="D261" i="2"/>
  <c r="C261" i="2"/>
  <c r="B261" i="2"/>
  <c r="F260" i="2"/>
  <c r="D260" i="2"/>
  <c r="C260" i="2"/>
  <c r="B260" i="2"/>
  <c r="F259" i="2"/>
  <c r="D259" i="2"/>
  <c r="C259" i="2"/>
  <c r="B259" i="2"/>
  <c r="F258" i="2"/>
  <c r="D258" i="2"/>
  <c r="C258" i="2"/>
  <c r="B258" i="2"/>
  <c r="F257" i="2"/>
  <c r="D257" i="2"/>
  <c r="C257" i="2"/>
  <c r="B257" i="2"/>
  <c r="F256" i="2"/>
  <c r="D256" i="2"/>
  <c r="C256" i="2"/>
  <c r="B256" i="2"/>
  <c r="F255" i="2"/>
  <c r="D255" i="2"/>
  <c r="C255" i="2"/>
  <c r="B255" i="2"/>
  <c r="F254" i="2"/>
  <c r="D254" i="2"/>
  <c r="C254" i="2"/>
  <c r="B254" i="2"/>
  <c r="F253" i="2"/>
  <c r="D253" i="2"/>
  <c r="C253" i="2"/>
  <c r="B253" i="2"/>
  <c r="F252" i="2"/>
  <c r="D252" i="2"/>
  <c r="C252" i="2"/>
  <c r="B252" i="2"/>
  <c r="F251" i="2"/>
  <c r="D251" i="2"/>
  <c r="C251" i="2"/>
  <c r="B251" i="2"/>
  <c r="F250" i="2"/>
  <c r="D250" i="2"/>
  <c r="C250" i="2"/>
  <c r="B250" i="2"/>
  <c r="F249" i="2"/>
  <c r="D249" i="2"/>
  <c r="C249" i="2"/>
  <c r="B249" i="2"/>
  <c r="F248" i="2"/>
  <c r="D248" i="2"/>
  <c r="C248" i="2"/>
  <c r="B248" i="2"/>
  <c r="F247" i="2"/>
  <c r="D247" i="2"/>
  <c r="C247" i="2"/>
  <c r="B247" i="2"/>
  <c r="F246" i="2"/>
  <c r="D246" i="2"/>
  <c r="C246" i="2"/>
  <c r="B246" i="2"/>
  <c r="F245" i="2"/>
  <c r="D245" i="2"/>
  <c r="C245" i="2"/>
  <c r="B245" i="2"/>
  <c r="F244" i="2"/>
  <c r="D244" i="2"/>
  <c r="C244" i="2"/>
  <c r="B244" i="2"/>
  <c r="F243" i="2"/>
  <c r="D243" i="2"/>
  <c r="C243" i="2"/>
  <c r="B243" i="2"/>
  <c r="F242" i="2"/>
  <c r="D242" i="2"/>
  <c r="C242" i="2"/>
  <c r="B242" i="2"/>
  <c r="F241" i="2"/>
  <c r="D241" i="2"/>
  <c r="C241" i="2"/>
  <c r="B241" i="2"/>
  <c r="F240" i="2"/>
  <c r="D240" i="2"/>
  <c r="C240" i="2"/>
  <c r="B240" i="2"/>
  <c r="F239" i="2"/>
  <c r="D239" i="2"/>
  <c r="C239" i="2"/>
  <c r="B239" i="2"/>
  <c r="F238" i="2"/>
  <c r="D238" i="2"/>
  <c r="C238" i="2"/>
  <c r="B238" i="2"/>
  <c r="F237" i="2"/>
  <c r="D237" i="2"/>
  <c r="C237" i="2"/>
  <c r="B237" i="2"/>
  <c r="F236" i="2"/>
  <c r="D236" i="2"/>
  <c r="C236" i="2"/>
  <c r="B236" i="2"/>
  <c r="F235" i="2"/>
  <c r="D235" i="2"/>
  <c r="C235" i="2"/>
  <c r="B235" i="2"/>
  <c r="F234" i="2"/>
  <c r="D234" i="2"/>
  <c r="C234" i="2"/>
  <c r="B234" i="2"/>
  <c r="F233" i="2"/>
  <c r="D233" i="2"/>
  <c r="C233" i="2"/>
  <c r="B233" i="2"/>
  <c r="F232" i="2"/>
  <c r="D232" i="2"/>
  <c r="C232" i="2"/>
  <c r="B232" i="2"/>
  <c r="F231" i="2"/>
  <c r="D231" i="2"/>
  <c r="C231" i="2"/>
  <c r="B231" i="2"/>
  <c r="F230" i="2"/>
  <c r="D230" i="2"/>
  <c r="C230" i="2"/>
  <c r="B230" i="2"/>
  <c r="F229" i="2"/>
  <c r="D229" i="2"/>
  <c r="C229" i="2"/>
  <c r="B229" i="2"/>
  <c r="F228" i="2"/>
  <c r="D228" i="2"/>
  <c r="C228" i="2"/>
  <c r="B228" i="2"/>
  <c r="F227" i="2"/>
  <c r="D227" i="2"/>
  <c r="C227" i="2"/>
  <c r="B227" i="2"/>
  <c r="F226" i="2"/>
  <c r="D226" i="2"/>
  <c r="C226" i="2"/>
  <c r="B226" i="2"/>
  <c r="F225" i="2"/>
  <c r="D225" i="2"/>
  <c r="C225" i="2"/>
  <c r="B225" i="2"/>
  <c r="F224" i="2"/>
  <c r="D224" i="2"/>
  <c r="C224" i="2"/>
  <c r="B224" i="2"/>
  <c r="F223" i="2"/>
  <c r="D223" i="2"/>
  <c r="C223" i="2"/>
  <c r="B223" i="2"/>
  <c r="F222" i="2"/>
  <c r="D222" i="2"/>
  <c r="C222" i="2"/>
  <c r="B222" i="2"/>
  <c r="F221" i="2"/>
  <c r="D221" i="2"/>
  <c r="C221" i="2"/>
  <c r="B221" i="2"/>
  <c r="F220" i="2"/>
  <c r="D220" i="2"/>
  <c r="C220" i="2"/>
  <c r="B220" i="2"/>
  <c r="F219" i="2"/>
  <c r="D219" i="2"/>
  <c r="C219" i="2"/>
  <c r="B219" i="2"/>
  <c r="F218" i="2"/>
  <c r="D218" i="2"/>
  <c r="C218" i="2"/>
  <c r="B218" i="2"/>
  <c r="F217" i="2"/>
  <c r="D217" i="2"/>
  <c r="C217" i="2"/>
  <c r="B217" i="2"/>
  <c r="F216" i="2"/>
  <c r="D216" i="2"/>
  <c r="C216" i="2"/>
  <c r="B216" i="2"/>
  <c r="F215" i="2"/>
  <c r="D215" i="2"/>
  <c r="C215" i="2"/>
  <c r="B215" i="2"/>
  <c r="F214" i="2"/>
  <c r="D214" i="2"/>
  <c r="C214" i="2"/>
  <c r="B214" i="2"/>
  <c r="F213" i="2"/>
  <c r="D213" i="2"/>
  <c r="C213" i="2"/>
  <c r="B213" i="2"/>
  <c r="F212" i="2"/>
  <c r="D212" i="2"/>
  <c r="C212" i="2"/>
  <c r="B212" i="2"/>
  <c r="F211" i="2"/>
  <c r="D211" i="2"/>
  <c r="C211" i="2"/>
  <c r="B211" i="2"/>
  <c r="F210" i="2"/>
  <c r="D210" i="2"/>
  <c r="C210" i="2"/>
  <c r="B210" i="2"/>
  <c r="F209" i="2"/>
  <c r="D209" i="2"/>
  <c r="C209" i="2"/>
  <c r="B209" i="2"/>
  <c r="F208" i="2"/>
  <c r="D208" i="2"/>
  <c r="C208" i="2"/>
  <c r="B208" i="2"/>
  <c r="F207" i="2"/>
  <c r="D207" i="2"/>
  <c r="C207" i="2"/>
  <c r="B207" i="2"/>
  <c r="F206" i="2"/>
  <c r="D206" i="2"/>
  <c r="C206" i="2"/>
  <c r="B206" i="2"/>
  <c r="F205" i="2"/>
  <c r="D205" i="2"/>
  <c r="C205" i="2"/>
  <c r="B205" i="2"/>
  <c r="F204" i="2"/>
  <c r="D204" i="2"/>
  <c r="C204" i="2"/>
  <c r="B204" i="2"/>
  <c r="F203" i="2"/>
  <c r="D203" i="2"/>
  <c r="C203" i="2"/>
  <c r="B203" i="2"/>
  <c r="F202" i="2"/>
  <c r="D202" i="2"/>
  <c r="C202" i="2"/>
  <c r="B202" i="2"/>
  <c r="F201" i="2"/>
  <c r="D201" i="2"/>
  <c r="C201" i="2"/>
  <c r="B201" i="2"/>
  <c r="F200" i="2"/>
  <c r="D200" i="2"/>
  <c r="C200" i="2"/>
  <c r="B200" i="2"/>
  <c r="F199" i="2"/>
  <c r="D199" i="2"/>
  <c r="C199" i="2"/>
  <c r="B199" i="2"/>
  <c r="F198" i="2"/>
  <c r="D198" i="2"/>
  <c r="C198" i="2"/>
  <c r="B198" i="2"/>
  <c r="F197" i="2"/>
  <c r="D197" i="2"/>
  <c r="C197" i="2"/>
  <c r="B197" i="2"/>
  <c r="F196" i="2"/>
  <c r="D196" i="2"/>
  <c r="C196" i="2"/>
  <c r="B196" i="2"/>
  <c r="F195" i="2"/>
  <c r="D195" i="2"/>
  <c r="C195" i="2"/>
  <c r="B195" i="2"/>
  <c r="F194" i="2"/>
  <c r="D194" i="2"/>
  <c r="C194" i="2"/>
  <c r="B194" i="2"/>
  <c r="F193" i="2"/>
  <c r="D193" i="2"/>
  <c r="C193" i="2"/>
  <c r="B193" i="2"/>
  <c r="F192" i="2"/>
  <c r="D192" i="2"/>
  <c r="C192" i="2"/>
  <c r="B192" i="2"/>
  <c r="F191" i="2"/>
  <c r="D191" i="2"/>
  <c r="C191" i="2"/>
  <c r="B191" i="2"/>
  <c r="F190" i="2"/>
  <c r="D190" i="2"/>
  <c r="C190" i="2"/>
  <c r="B190" i="2"/>
  <c r="F189" i="2"/>
  <c r="D189" i="2"/>
  <c r="C189" i="2"/>
  <c r="B189" i="2"/>
  <c r="F188" i="2"/>
  <c r="D188" i="2"/>
  <c r="C188" i="2"/>
  <c r="B188" i="2"/>
  <c r="F187" i="2"/>
  <c r="D187" i="2"/>
  <c r="C187" i="2"/>
  <c r="B187" i="2"/>
  <c r="F186" i="2"/>
  <c r="D186" i="2"/>
  <c r="C186" i="2"/>
  <c r="B186" i="2"/>
  <c r="F185" i="2"/>
  <c r="D185" i="2"/>
  <c r="C185" i="2"/>
  <c r="B185" i="2"/>
  <c r="F184" i="2"/>
  <c r="D184" i="2"/>
  <c r="C184" i="2"/>
  <c r="B184" i="2"/>
  <c r="F183" i="2"/>
  <c r="D183" i="2"/>
  <c r="C183" i="2"/>
  <c r="B183" i="2"/>
  <c r="F182" i="2"/>
  <c r="D182" i="2"/>
  <c r="C182" i="2"/>
  <c r="B182" i="2"/>
  <c r="F181" i="2"/>
  <c r="D181" i="2"/>
  <c r="C181" i="2"/>
  <c r="B181" i="2"/>
  <c r="F180" i="2"/>
  <c r="D180" i="2"/>
  <c r="C180" i="2"/>
  <c r="B180" i="2"/>
  <c r="F179" i="2"/>
  <c r="D179" i="2"/>
  <c r="C179" i="2"/>
  <c r="B179" i="2"/>
  <c r="F178" i="2"/>
  <c r="D178" i="2"/>
  <c r="C178" i="2"/>
  <c r="B178" i="2"/>
  <c r="F177" i="2"/>
  <c r="D177" i="2"/>
  <c r="C177" i="2"/>
  <c r="B177" i="2"/>
  <c r="F176" i="2"/>
  <c r="D176" i="2"/>
  <c r="C176" i="2"/>
  <c r="B176" i="2"/>
  <c r="F175" i="2"/>
  <c r="D175" i="2"/>
  <c r="C175" i="2"/>
  <c r="B175" i="2"/>
  <c r="F174" i="2"/>
  <c r="D174" i="2"/>
  <c r="C174" i="2"/>
  <c r="B174" i="2"/>
  <c r="F173" i="2"/>
  <c r="D173" i="2"/>
  <c r="C173" i="2"/>
  <c r="B173" i="2"/>
  <c r="F172" i="2"/>
  <c r="D172" i="2"/>
  <c r="C172" i="2"/>
  <c r="B172" i="2"/>
  <c r="F171" i="2"/>
  <c r="D171" i="2"/>
  <c r="C171" i="2"/>
  <c r="B171" i="2"/>
  <c r="F170" i="2"/>
  <c r="D170" i="2"/>
  <c r="C170" i="2"/>
  <c r="B170" i="2"/>
  <c r="F169" i="2"/>
  <c r="D169" i="2"/>
  <c r="C169" i="2"/>
  <c r="B169" i="2"/>
  <c r="F168" i="2"/>
  <c r="D168" i="2"/>
  <c r="C168" i="2"/>
  <c r="B168" i="2"/>
  <c r="F167" i="2"/>
  <c r="D167" i="2"/>
  <c r="C167" i="2"/>
  <c r="B167" i="2"/>
  <c r="F166" i="2"/>
  <c r="D166" i="2"/>
  <c r="C166" i="2"/>
  <c r="B166" i="2"/>
  <c r="F165" i="2"/>
  <c r="D165" i="2"/>
  <c r="C165" i="2"/>
  <c r="B165" i="2"/>
  <c r="F164" i="2"/>
  <c r="D164" i="2"/>
  <c r="C164" i="2"/>
  <c r="B164" i="2"/>
  <c r="F163" i="2"/>
  <c r="D163" i="2"/>
  <c r="C163" i="2"/>
  <c r="B163" i="2"/>
  <c r="F162" i="2"/>
  <c r="D162" i="2"/>
  <c r="C162" i="2"/>
  <c r="B162" i="2"/>
  <c r="F161" i="2"/>
  <c r="D161" i="2"/>
  <c r="C161" i="2"/>
  <c r="B161" i="2"/>
  <c r="F160" i="2"/>
  <c r="D160" i="2"/>
  <c r="C160" i="2"/>
  <c r="B160" i="2"/>
  <c r="F159" i="2"/>
  <c r="D159" i="2"/>
  <c r="C159" i="2"/>
  <c r="B159" i="2"/>
  <c r="F158" i="2"/>
  <c r="D158" i="2"/>
  <c r="C158" i="2"/>
  <c r="B158" i="2"/>
  <c r="F157" i="2"/>
  <c r="D157" i="2"/>
  <c r="C157" i="2"/>
  <c r="B157" i="2"/>
  <c r="F156" i="2"/>
  <c r="D156" i="2"/>
  <c r="C156" i="2"/>
  <c r="B156" i="2"/>
  <c r="F155" i="2"/>
  <c r="D155" i="2"/>
  <c r="C155" i="2"/>
  <c r="B155" i="2"/>
  <c r="F154" i="2"/>
  <c r="D154" i="2"/>
  <c r="C154" i="2"/>
  <c r="B154" i="2"/>
  <c r="F153" i="2"/>
  <c r="D153" i="2"/>
  <c r="C153" i="2"/>
  <c r="B153" i="2"/>
  <c r="F152" i="2"/>
  <c r="D152" i="2"/>
  <c r="C152" i="2"/>
  <c r="B152" i="2"/>
  <c r="F151" i="2"/>
  <c r="D151" i="2"/>
  <c r="C151" i="2"/>
  <c r="B151" i="2"/>
  <c r="F150" i="2"/>
  <c r="D150" i="2"/>
  <c r="C150" i="2"/>
  <c r="B150" i="2"/>
  <c r="F149" i="2"/>
  <c r="D149" i="2"/>
  <c r="C149" i="2"/>
  <c r="B149" i="2"/>
  <c r="F148" i="2"/>
  <c r="D148" i="2"/>
  <c r="C148" i="2"/>
  <c r="B148" i="2"/>
  <c r="F147" i="2"/>
  <c r="D147" i="2"/>
  <c r="C147" i="2"/>
  <c r="B147" i="2"/>
  <c r="F146" i="2"/>
  <c r="D146" i="2"/>
  <c r="C146" i="2"/>
  <c r="B146" i="2"/>
  <c r="F145" i="2"/>
  <c r="D145" i="2"/>
  <c r="C145" i="2"/>
  <c r="B145" i="2"/>
  <c r="F144" i="2"/>
  <c r="D144" i="2"/>
  <c r="C144" i="2"/>
  <c r="B144" i="2"/>
  <c r="F143" i="2"/>
  <c r="D143" i="2"/>
  <c r="C143" i="2"/>
  <c r="B143" i="2"/>
  <c r="F142" i="2"/>
  <c r="D142" i="2"/>
  <c r="C142" i="2"/>
  <c r="B142" i="2"/>
  <c r="F141" i="2"/>
  <c r="D141" i="2"/>
  <c r="C141" i="2"/>
  <c r="B141" i="2"/>
  <c r="F140" i="2"/>
  <c r="D140" i="2"/>
  <c r="C140" i="2"/>
  <c r="B140" i="2"/>
  <c r="F139" i="2"/>
  <c r="D139" i="2"/>
  <c r="C139" i="2"/>
  <c r="B139" i="2"/>
  <c r="F138" i="2"/>
  <c r="D138" i="2"/>
  <c r="C138" i="2"/>
  <c r="B138" i="2"/>
  <c r="F137" i="2"/>
  <c r="D137" i="2"/>
  <c r="C137" i="2"/>
  <c r="B137" i="2"/>
  <c r="F136" i="2"/>
  <c r="D136" i="2"/>
  <c r="C136" i="2"/>
  <c r="B136" i="2"/>
  <c r="F135" i="2"/>
  <c r="D135" i="2"/>
  <c r="C135" i="2"/>
  <c r="B135" i="2"/>
  <c r="F134" i="2"/>
  <c r="D134" i="2"/>
  <c r="C134" i="2"/>
  <c r="B134" i="2"/>
  <c r="F133" i="2"/>
  <c r="D133" i="2"/>
  <c r="C133" i="2"/>
  <c r="B133" i="2"/>
  <c r="F132" i="2"/>
  <c r="D132" i="2"/>
  <c r="C132" i="2"/>
  <c r="B132" i="2"/>
  <c r="F131" i="2"/>
  <c r="D131" i="2"/>
  <c r="C131" i="2"/>
  <c r="B131" i="2"/>
  <c r="F130" i="2"/>
  <c r="D130" i="2"/>
  <c r="C130" i="2"/>
  <c r="B130" i="2"/>
  <c r="F129" i="2"/>
  <c r="D129" i="2"/>
  <c r="C129" i="2"/>
  <c r="B129" i="2"/>
  <c r="F128" i="2"/>
  <c r="D128" i="2"/>
  <c r="C128" i="2"/>
  <c r="B128" i="2"/>
  <c r="F127" i="2"/>
  <c r="D127" i="2"/>
  <c r="C127" i="2"/>
  <c r="B127" i="2"/>
  <c r="F126" i="2"/>
  <c r="D126" i="2"/>
  <c r="C126" i="2"/>
  <c r="B126" i="2"/>
  <c r="F125" i="2"/>
  <c r="D125" i="2"/>
  <c r="C125" i="2"/>
  <c r="B125" i="2"/>
  <c r="F124" i="2"/>
  <c r="D124" i="2"/>
  <c r="C124" i="2"/>
  <c r="B124" i="2"/>
  <c r="F123" i="2"/>
  <c r="D123" i="2"/>
  <c r="C123" i="2"/>
  <c r="B123" i="2"/>
  <c r="F122" i="2"/>
  <c r="D122" i="2"/>
  <c r="C122" i="2"/>
  <c r="B122" i="2"/>
  <c r="F121" i="2"/>
  <c r="D121" i="2"/>
  <c r="C121" i="2"/>
  <c r="B121" i="2"/>
  <c r="F120" i="2"/>
  <c r="D120" i="2"/>
  <c r="C120" i="2"/>
  <c r="B120" i="2"/>
  <c r="F119" i="2"/>
  <c r="D119" i="2"/>
  <c r="C119" i="2"/>
  <c r="B119" i="2"/>
  <c r="F118" i="2"/>
  <c r="D118" i="2"/>
  <c r="C118" i="2"/>
  <c r="B118" i="2"/>
  <c r="F117" i="2"/>
  <c r="D117" i="2"/>
  <c r="C117" i="2"/>
  <c r="B117" i="2"/>
  <c r="F116" i="2"/>
  <c r="D116" i="2"/>
  <c r="C116" i="2"/>
  <c r="B116" i="2"/>
  <c r="F115" i="2"/>
  <c r="D115" i="2"/>
  <c r="C115" i="2"/>
  <c r="B115" i="2"/>
  <c r="F114" i="2"/>
  <c r="D114" i="2"/>
  <c r="C114" i="2"/>
  <c r="B114" i="2"/>
  <c r="F113" i="2"/>
  <c r="D113" i="2"/>
  <c r="C113" i="2"/>
  <c r="B113" i="2"/>
  <c r="F112" i="2"/>
  <c r="D112" i="2"/>
  <c r="C112" i="2"/>
  <c r="B112" i="2"/>
  <c r="F111" i="2"/>
  <c r="D111" i="2"/>
  <c r="C111" i="2"/>
  <c r="B111" i="2"/>
  <c r="F110" i="2"/>
  <c r="D110" i="2"/>
  <c r="C110" i="2"/>
  <c r="B110" i="2"/>
  <c r="F109" i="2"/>
  <c r="D109" i="2"/>
  <c r="C109" i="2"/>
  <c r="B109" i="2"/>
  <c r="F108" i="2"/>
  <c r="D108" i="2"/>
  <c r="C108" i="2"/>
  <c r="B108" i="2"/>
  <c r="F107" i="2"/>
  <c r="D107" i="2"/>
  <c r="C107" i="2"/>
  <c r="B107" i="2"/>
  <c r="F106" i="2"/>
  <c r="D106" i="2"/>
  <c r="C106" i="2"/>
  <c r="B106" i="2"/>
  <c r="F105" i="2"/>
  <c r="D105" i="2"/>
  <c r="C105" i="2"/>
  <c r="B105" i="2"/>
  <c r="F104" i="2"/>
  <c r="D104" i="2"/>
  <c r="C104" i="2"/>
  <c r="B104" i="2"/>
  <c r="F103" i="2"/>
  <c r="D103" i="2"/>
  <c r="C103" i="2"/>
  <c r="B103" i="2"/>
  <c r="F102" i="2"/>
  <c r="D102" i="2"/>
  <c r="C102" i="2"/>
  <c r="B102" i="2"/>
  <c r="F101" i="2"/>
  <c r="D101" i="2"/>
  <c r="C101" i="2"/>
  <c r="B101" i="2"/>
  <c r="F100" i="2"/>
  <c r="D100" i="2"/>
  <c r="C100" i="2"/>
  <c r="B100" i="2"/>
  <c r="F99" i="2"/>
  <c r="D99" i="2"/>
  <c r="C99" i="2"/>
  <c r="B99" i="2"/>
  <c r="F98" i="2"/>
  <c r="D98" i="2"/>
  <c r="C98" i="2"/>
  <c r="B98" i="2"/>
  <c r="F97" i="2"/>
  <c r="D97" i="2"/>
  <c r="C97" i="2"/>
  <c r="B97" i="2"/>
  <c r="F96" i="2"/>
  <c r="D96" i="2"/>
  <c r="C96" i="2"/>
  <c r="B96" i="2"/>
  <c r="F95" i="2"/>
  <c r="D95" i="2"/>
  <c r="C95" i="2"/>
  <c r="B95" i="2"/>
  <c r="F94" i="2"/>
  <c r="D94" i="2"/>
  <c r="C94" i="2"/>
  <c r="B94" i="2"/>
  <c r="F93" i="2"/>
  <c r="D93" i="2"/>
  <c r="C93" i="2"/>
  <c r="B93" i="2"/>
  <c r="F92" i="2"/>
  <c r="D92" i="2"/>
  <c r="C92" i="2"/>
  <c r="B92" i="2"/>
  <c r="F91" i="2"/>
  <c r="D91" i="2"/>
  <c r="C91" i="2"/>
  <c r="B91" i="2"/>
  <c r="F90" i="2"/>
  <c r="D90" i="2"/>
  <c r="C90" i="2"/>
  <c r="B90" i="2"/>
  <c r="F89" i="2"/>
  <c r="D89" i="2"/>
  <c r="C89" i="2"/>
  <c r="B89" i="2"/>
  <c r="F88" i="2"/>
  <c r="D88" i="2"/>
  <c r="C88" i="2"/>
  <c r="B88" i="2"/>
  <c r="F87" i="2"/>
  <c r="D87" i="2"/>
  <c r="C87" i="2"/>
  <c r="B87" i="2"/>
  <c r="F86" i="2"/>
  <c r="D86" i="2"/>
  <c r="C86" i="2"/>
  <c r="B86" i="2"/>
  <c r="F85" i="2"/>
  <c r="D85" i="2"/>
  <c r="C85" i="2"/>
  <c r="B85" i="2"/>
  <c r="F84" i="2"/>
  <c r="D84" i="2"/>
  <c r="C84" i="2"/>
  <c r="B84" i="2"/>
  <c r="F83" i="2"/>
  <c r="D83" i="2"/>
  <c r="C83" i="2"/>
  <c r="B83" i="2"/>
  <c r="F82" i="2"/>
  <c r="D82" i="2"/>
  <c r="C82" i="2"/>
  <c r="B82" i="2"/>
  <c r="F81" i="2"/>
  <c r="D81" i="2"/>
  <c r="C81" i="2"/>
  <c r="B81" i="2"/>
  <c r="F80" i="2"/>
  <c r="D80" i="2"/>
  <c r="C80" i="2"/>
  <c r="B80" i="2"/>
  <c r="F79" i="2"/>
  <c r="D79" i="2"/>
  <c r="C79" i="2"/>
  <c r="B79" i="2"/>
  <c r="F78" i="2"/>
  <c r="D78" i="2"/>
  <c r="C78" i="2"/>
  <c r="B78" i="2"/>
  <c r="F77" i="2"/>
  <c r="D77" i="2"/>
  <c r="C77" i="2"/>
  <c r="B77" i="2"/>
  <c r="F76" i="2"/>
  <c r="D76" i="2"/>
  <c r="C76" i="2"/>
  <c r="B76" i="2"/>
  <c r="F75" i="2"/>
  <c r="D75" i="2"/>
  <c r="C75" i="2"/>
  <c r="B75" i="2"/>
  <c r="F74" i="2"/>
  <c r="D74" i="2"/>
  <c r="C74" i="2"/>
  <c r="B74" i="2"/>
  <c r="F73" i="2"/>
  <c r="D73" i="2"/>
  <c r="C73" i="2"/>
  <c r="B73" i="2"/>
  <c r="F72" i="2"/>
  <c r="D72" i="2"/>
  <c r="C72" i="2"/>
  <c r="B72" i="2"/>
  <c r="F71" i="2"/>
  <c r="D71" i="2"/>
  <c r="C71" i="2"/>
  <c r="B71" i="2"/>
  <c r="F70" i="2"/>
  <c r="D70" i="2"/>
  <c r="C70" i="2"/>
  <c r="B70" i="2"/>
  <c r="F69" i="2"/>
  <c r="D69" i="2"/>
  <c r="C69" i="2"/>
  <c r="B69" i="2"/>
  <c r="F68" i="2"/>
  <c r="D68" i="2"/>
  <c r="C68" i="2"/>
  <c r="B68" i="2"/>
  <c r="F67" i="2"/>
  <c r="D67" i="2"/>
  <c r="C67" i="2"/>
  <c r="B67" i="2"/>
  <c r="F66" i="2"/>
  <c r="D66" i="2"/>
  <c r="C66" i="2"/>
  <c r="B66" i="2"/>
  <c r="F65" i="2"/>
  <c r="D65" i="2"/>
  <c r="C65" i="2"/>
  <c r="B65" i="2"/>
  <c r="F64" i="2"/>
  <c r="D64" i="2"/>
  <c r="C64" i="2"/>
  <c r="B64" i="2"/>
  <c r="F63" i="2"/>
  <c r="D63" i="2"/>
  <c r="C63" i="2"/>
  <c r="B63" i="2"/>
  <c r="F62" i="2"/>
  <c r="D62" i="2"/>
  <c r="C62" i="2"/>
  <c r="B62" i="2"/>
  <c r="F61" i="2"/>
  <c r="D61" i="2"/>
  <c r="C61" i="2"/>
  <c r="B61" i="2"/>
  <c r="F60" i="2"/>
  <c r="D60" i="2"/>
  <c r="C60" i="2"/>
  <c r="B60" i="2"/>
  <c r="F59" i="2"/>
  <c r="D59" i="2"/>
  <c r="C59" i="2"/>
  <c r="B59" i="2"/>
  <c r="F58" i="2"/>
  <c r="D58" i="2"/>
  <c r="C58" i="2"/>
  <c r="B58" i="2"/>
  <c r="F57" i="2"/>
  <c r="D57" i="2"/>
  <c r="C57" i="2"/>
  <c r="B57" i="2"/>
  <c r="F56" i="2"/>
  <c r="D56" i="2"/>
  <c r="C56" i="2"/>
  <c r="B56" i="2"/>
  <c r="F55" i="2"/>
  <c r="D55" i="2"/>
  <c r="C55" i="2"/>
  <c r="B55" i="2"/>
  <c r="F54" i="2"/>
  <c r="D54" i="2"/>
  <c r="C54" i="2"/>
  <c r="B54" i="2"/>
  <c r="F53" i="2"/>
  <c r="D53" i="2"/>
  <c r="C53" i="2"/>
  <c r="B53" i="2"/>
  <c r="F52" i="2"/>
  <c r="D52" i="2"/>
  <c r="C52" i="2"/>
  <c r="B52" i="2"/>
  <c r="F51" i="2"/>
  <c r="D51" i="2"/>
  <c r="C51" i="2"/>
  <c r="B51" i="2"/>
  <c r="F50" i="2"/>
  <c r="D50" i="2"/>
  <c r="C50" i="2"/>
  <c r="B50" i="2"/>
  <c r="F49" i="2"/>
  <c r="D49" i="2"/>
  <c r="C49" i="2"/>
  <c r="B49" i="2"/>
  <c r="F48" i="2"/>
  <c r="D48" i="2"/>
  <c r="C48" i="2"/>
  <c r="B48" i="2"/>
  <c r="F47" i="2"/>
  <c r="D47" i="2"/>
  <c r="C47" i="2"/>
  <c r="B47" i="2"/>
  <c r="F46" i="2"/>
  <c r="D46" i="2"/>
  <c r="C46" i="2"/>
  <c r="B46" i="2"/>
  <c r="F45" i="2"/>
  <c r="D45" i="2"/>
  <c r="C45" i="2"/>
  <c r="B45" i="2"/>
  <c r="F44" i="2"/>
  <c r="D44" i="2"/>
  <c r="C44" i="2"/>
  <c r="B44" i="2"/>
  <c r="F43" i="2"/>
  <c r="D43" i="2"/>
  <c r="C43" i="2"/>
  <c r="B43" i="2"/>
  <c r="F42" i="2"/>
  <c r="D42" i="2"/>
  <c r="C42" i="2"/>
  <c r="B42" i="2"/>
  <c r="F41" i="2"/>
  <c r="D41" i="2"/>
  <c r="C41" i="2"/>
  <c r="B41" i="2"/>
  <c r="F40" i="2"/>
  <c r="D40" i="2"/>
  <c r="C40" i="2"/>
  <c r="B40" i="2"/>
  <c r="F39" i="2"/>
  <c r="D39" i="2"/>
  <c r="C39" i="2"/>
  <c r="B39" i="2"/>
  <c r="F38" i="2"/>
  <c r="D38" i="2"/>
  <c r="C38" i="2"/>
  <c r="B38" i="2"/>
  <c r="F37" i="2"/>
  <c r="D37" i="2"/>
  <c r="C37" i="2"/>
  <c r="B37" i="2"/>
  <c r="F36" i="2"/>
  <c r="D36" i="2"/>
  <c r="C36" i="2"/>
  <c r="B36" i="2"/>
  <c r="F35" i="2"/>
  <c r="D35" i="2"/>
  <c r="C35" i="2"/>
  <c r="B35" i="2"/>
  <c r="F34" i="2"/>
  <c r="D34" i="2"/>
  <c r="C34" i="2"/>
  <c r="B34" i="2"/>
  <c r="F33" i="2"/>
  <c r="D33" i="2"/>
  <c r="C33" i="2"/>
  <c r="B33" i="2"/>
  <c r="F32" i="2"/>
  <c r="D32" i="2"/>
  <c r="C32" i="2"/>
  <c r="B32" i="2"/>
  <c r="F31" i="2"/>
  <c r="D31" i="2"/>
  <c r="C31" i="2"/>
  <c r="B31" i="2"/>
  <c r="F30" i="2"/>
  <c r="D30" i="2"/>
  <c r="C30" i="2"/>
  <c r="B30" i="2"/>
  <c r="F29" i="2"/>
  <c r="D29" i="2"/>
  <c r="C29" i="2"/>
  <c r="B29" i="2"/>
  <c r="F28" i="2"/>
  <c r="D28" i="2"/>
  <c r="C28" i="2"/>
  <c r="B28" i="2"/>
  <c r="F27" i="2"/>
  <c r="D27" i="2"/>
  <c r="C27" i="2"/>
  <c r="B27" i="2"/>
  <c r="F26" i="2"/>
  <c r="D26" i="2"/>
  <c r="C26" i="2"/>
  <c r="B26" i="2"/>
  <c r="F25" i="2"/>
  <c r="D25" i="2"/>
  <c r="C25" i="2"/>
  <c r="B25" i="2"/>
  <c r="F24" i="2"/>
  <c r="D24" i="2"/>
  <c r="C24" i="2"/>
  <c r="B24" i="2"/>
  <c r="F23" i="2"/>
  <c r="D23" i="2"/>
  <c r="C23" i="2"/>
  <c r="B23" i="2"/>
  <c r="F22" i="2"/>
  <c r="D22" i="2"/>
  <c r="C22" i="2"/>
  <c r="B22" i="2"/>
  <c r="F21" i="2"/>
  <c r="D21" i="2"/>
  <c r="C21" i="2"/>
  <c r="B21" i="2"/>
  <c r="F20" i="2"/>
  <c r="D20" i="2"/>
  <c r="C20" i="2"/>
  <c r="B20" i="2"/>
  <c r="F19" i="2"/>
  <c r="D19" i="2"/>
  <c r="C19" i="2"/>
  <c r="B19" i="2"/>
  <c r="F18" i="2"/>
  <c r="D18" i="2"/>
  <c r="C18" i="2"/>
  <c r="B18" i="2"/>
  <c r="F17" i="2"/>
  <c r="D17" i="2"/>
  <c r="C17" i="2"/>
  <c r="B17" i="2"/>
  <c r="F16" i="2"/>
  <c r="D16" i="2"/>
  <c r="C16" i="2"/>
  <c r="B16" i="2"/>
  <c r="F15" i="2"/>
  <c r="D15" i="2"/>
  <c r="C15" i="2"/>
  <c r="B15" i="2"/>
  <c r="F14" i="2"/>
  <c r="D14" i="2"/>
  <c r="C14" i="2"/>
  <c r="B14" i="2"/>
  <c r="F13" i="2"/>
  <c r="D13" i="2"/>
  <c r="C13" i="2"/>
  <c r="B13" i="2"/>
  <c r="F12" i="2"/>
  <c r="D12" i="2"/>
  <c r="C12" i="2"/>
  <c r="B12" i="2"/>
  <c r="F11" i="2"/>
  <c r="D11" i="2"/>
  <c r="C11" i="2"/>
  <c r="B11" i="2"/>
  <c r="F10" i="2"/>
  <c r="D10" i="2"/>
  <c r="C10" i="2"/>
  <c r="B10" i="2"/>
  <c r="F9" i="2"/>
  <c r="D9" i="2"/>
  <c r="C9" i="2"/>
  <c r="B9" i="2"/>
  <c r="F8" i="2"/>
  <c r="D8" i="2"/>
  <c r="C8" i="2"/>
  <c r="B8" i="2"/>
  <c r="F7" i="2"/>
  <c r="D7" i="2"/>
  <c r="C7" i="2"/>
  <c r="B7" i="2"/>
  <c r="F6" i="2"/>
  <c r="D6" i="2"/>
  <c r="C6" i="2"/>
  <c r="B6" i="2"/>
  <c r="F5" i="2"/>
  <c r="D5" i="2"/>
  <c r="C5" i="2"/>
  <c r="B5" i="2"/>
  <c r="F4" i="2"/>
  <c r="D4" i="2"/>
  <c r="C4" i="2"/>
  <c r="B4" i="2"/>
  <c r="F3" i="2"/>
  <c r="D3" i="2"/>
  <c r="C3" i="2"/>
  <c r="B3" i="2"/>
  <c r="F349" i="1"/>
  <c r="D349" i="1"/>
  <c r="C349" i="1"/>
  <c r="B349" i="1"/>
  <c r="F348" i="1"/>
  <c r="D348" i="1"/>
  <c r="C348" i="1"/>
  <c r="B348" i="1"/>
  <c r="F347" i="1"/>
  <c r="D347" i="1"/>
  <c r="C347" i="1"/>
  <c r="B347" i="1"/>
  <c r="F346" i="1"/>
  <c r="D346" i="1"/>
  <c r="C346" i="1"/>
  <c r="B346" i="1"/>
  <c r="F345" i="1"/>
  <c r="D345" i="1"/>
  <c r="C345" i="1"/>
  <c r="B345" i="1"/>
  <c r="F344" i="1"/>
  <c r="D344" i="1"/>
  <c r="C344" i="1"/>
  <c r="B344" i="1"/>
  <c r="F343" i="1"/>
  <c r="D343" i="1"/>
  <c r="C343" i="1"/>
  <c r="B343" i="1"/>
  <c r="F342" i="1"/>
  <c r="D342" i="1"/>
  <c r="C342" i="1"/>
  <c r="B342" i="1"/>
  <c r="F341" i="1"/>
  <c r="D341" i="1"/>
  <c r="C341" i="1"/>
  <c r="B341" i="1"/>
  <c r="F340" i="1"/>
  <c r="D340" i="1"/>
  <c r="C340" i="1"/>
  <c r="B340" i="1"/>
  <c r="F339" i="1"/>
  <c r="D339" i="1"/>
  <c r="C339" i="1"/>
  <c r="B339" i="1"/>
  <c r="F338" i="1"/>
  <c r="D338" i="1"/>
  <c r="C338" i="1"/>
  <c r="B338" i="1"/>
  <c r="F337" i="1"/>
  <c r="D337" i="1"/>
  <c r="C337" i="1"/>
  <c r="B337" i="1"/>
  <c r="F336" i="1"/>
  <c r="D336" i="1"/>
  <c r="C336" i="1"/>
  <c r="B336" i="1"/>
  <c r="F335" i="1"/>
  <c r="D335" i="1"/>
  <c r="C335" i="1"/>
  <c r="B335" i="1"/>
  <c r="F334" i="1"/>
  <c r="D334" i="1"/>
  <c r="C334" i="1"/>
  <c r="B334" i="1"/>
  <c r="F333" i="1"/>
  <c r="D333" i="1"/>
  <c r="C333" i="1"/>
  <c r="B333" i="1"/>
  <c r="F332" i="1"/>
  <c r="D332" i="1"/>
  <c r="C332" i="1"/>
  <c r="B332" i="1"/>
  <c r="F331" i="1"/>
  <c r="D331" i="1"/>
  <c r="C331" i="1"/>
  <c r="B331" i="1"/>
  <c r="F330" i="1"/>
  <c r="D330" i="1"/>
  <c r="C330" i="1"/>
  <c r="B330" i="1"/>
  <c r="F329" i="1"/>
  <c r="D329" i="1"/>
  <c r="C329" i="1"/>
  <c r="B329" i="1"/>
  <c r="F328" i="1"/>
  <c r="D328" i="1"/>
  <c r="C328" i="1"/>
  <c r="B328" i="1"/>
  <c r="F327" i="1"/>
  <c r="D327" i="1"/>
  <c r="C327" i="1"/>
  <c r="B327" i="1"/>
  <c r="F326" i="1"/>
  <c r="D326" i="1"/>
  <c r="C326" i="1"/>
  <c r="B326" i="1"/>
  <c r="F325" i="1"/>
  <c r="D325" i="1"/>
  <c r="C325" i="1"/>
  <c r="B325" i="1"/>
  <c r="F324" i="1"/>
  <c r="D324" i="1"/>
  <c r="C324" i="1"/>
  <c r="B324" i="1"/>
  <c r="F323" i="1"/>
  <c r="D323" i="1"/>
  <c r="C323" i="1"/>
  <c r="B323" i="1"/>
  <c r="F322" i="1"/>
  <c r="D322" i="1"/>
  <c r="C322" i="1"/>
  <c r="B322" i="1"/>
  <c r="F321" i="1"/>
  <c r="D321" i="1"/>
  <c r="C321" i="1"/>
  <c r="B321" i="1"/>
  <c r="F320" i="1"/>
  <c r="D320" i="1"/>
  <c r="C320" i="1"/>
  <c r="B320" i="1"/>
  <c r="F319" i="1"/>
  <c r="D319" i="1"/>
  <c r="C319" i="1"/>
  <c r="B319" i="1"/>
  <c r="F318" i="1"/>
  <c r="D318" i="1"/>
  <c r="C318" i="1"/>
  <c r="B318" i="1"/>
  <c r="F317" i="1"/>
  <c r="D317" i="1"/>
  <c r="C317" i="1"/>
  <c r="B317" i="1"/>
  <c r="F316" i="1"/>
  <c r="D316" i="1"/>
  <c r="C316" i="1"/>
  <c r="B316" i="1"/>
  <c r="F315" i="1"/>
  <c r="D315" i="1"/>
  <c r="C315" i="1"/>
  <c r="B315" i="1"/>
  <c r="F314" i="1"/>
  <c r="D314" i="1"/>
  <c r="C314" i="1"/>
  <c r="B314" i="1"/>
  <c r="F313" i="1"/>
  <c r="D313" i="1"/>
  <c r="C313" i="1"/>
  <c r="B313" i="1"/>
  <c r="F312" i="1"/>
  <c r="D312" i="1"/>
  <c r="C312" i="1"/>
  <c r="B312" i="1"/>
  <c r="F311" i="1"/>
  <c r="D311" i="1"/>
  <c r="C311" i="1"/>
  <c r="B311" i="1"/>
  <c r="F310" i="1"/>
  <c r="D310" i="1"/>
  <c r="C310" i="1"/>
  <c r="B310" i="1"/>
  <c r="F309" i="1"/>
  <c r="D309" i="1"/>
  <c r="C309" i="1"/>
  <c r="B309" i="1"/>
  <c r="F308" i="1"/>
  <c r="D308" i="1"/>
  <c r="C308" i="1"/>
  <c r="B308" i="1"/>
  <c r="F307" i="1"/>
  <c r="D307" i="1"/>
  <c r="C307" i="1"/>
  <c r="B307" i="1"/>
  <c r="F306" i="1"/>
  <c r="D306" i="1"/>
  <c r="C306" i="1"/>
  <c r="B306" i="1"/>
  <c r="F305" i="1"/>
  <c r="D305" i="1"/>
  <c r="C305" i="1"/>
  <c r="B305" i="1"/>
  <c r="F304" i="1"/>
  <c r="D304" i="1"/>
  <c r="C304" i="1"/>
  <c r="B304" i="1"/>
  <c r="F303" i="1"/>
  <c r="D303" i="1"/>
  <c r="C303" i="1"/>
  <c r="B303" i="1"/>
  <c r="F302" i="1"/>
  <c r="D302" i="1"/>
  <c r="C302" i="1"/>
  <c r="B302" i="1"/>
  <c r="F301" i="1"/>
  <c r="D301" i="1"/>
  <c r="C301" i="1"/>
  <c r="B301" i="1"/>
  <c r="F300" i="1"/>
  <c r="D300" i="1"/>
  <c r="C300" i="1"/>
  <c r="B300" i="1"/>
  <c r="F299" i="1"/>
  <c r="D299" i="1"/>
  <c r="C299" i="1"/>
  <c r="B299" i="1"/>
  <c r="F298" i="1"/>
  <c r="D298" i="1"/>
  <c r="C298" i="1"/>
  <c r="B298" i="1"/>
  <c r="F297" i="1"/>
  <c r="D297" i="1"/>
  <c r="C297" i="1"/>
  <c r="B297" i="1"/>
  <c r="F296" i="1"/>
  <c r="D296" i="1"/>
  <c r="C296" i="1"/>
  <c r="B296" i="1"/>
  <c r="F295" i="1"/>
  <c r="D295" i="1"/>
  <c r="C295" i="1"/>
  <c r="B295" i="1"/>
  <c r="F294" i="1"/>
  <c r="D294" i="1"/>
  <c r="C294" i="1"/>
  <c r="B294" i="1"/>
  <c r="F293" i="1"/>
  <c r="D293" i="1"/>
  <c r="C293" i="1"/>
  <c r="B293" i="1"/>
  <c r="F292" i="1"/>
  <c r="D292" i="1"/>
  <c r="C292" i="1"/>
  <c r="B292" i="1"/>
  <c r="F291" i="1"/>
  <c r="D291" i="1"/>
  <c r="C291" i="1"/>
  <c r="B291" i="1"/>
  <c r="F290" i="1"/>
  <c r="D290" i="1"/>
  <c r="C290" i="1"/>
  <c r="B290" i="1"/>
  <c r="F289" i="1"/>
  <c r="D289" i="1"/>
  <c r="C289" i="1"/>
  <c r="B289" i="1"/>
  <c r="F288" i="1"/>
  <c r="D288" i="1"/>
  <c r="C288" i="1"/>
  <c r="B288" i="1"/>
  <c r="F287" i="1"/>
  <c r="D287" i="1"/>
  <c r="C287" i="1"/>
  <c r="B287" i="1"/>
  <c r="F286" i="1"/>
  <c r="D286" i="1"/>
  <c r="C286" i="1"/>
  <c r="B286" i="1"/>
  <c r="F285" i="1"/>
  <c r="D285" i="1"/>
  <c r="C285" i="1"/>
  <c r="B285" i="1"/>
  <c r="F284" i="1"/>
  <c r="D284" i="1"/>
  <c r="C284" i="1"/>
  <c r="B284" i="1"/>
  <c r="F283" i="1"/>
  <c r="D283" i="1"/>
  <c r="C283" i="1"/>
  <c r="B283" i="1"/>
  <c r="F282" i="1"/>
  <c r="D282" i="1"/>
  <c r="C282" i="1"/>
  <c r="B282" i="1"/>
  <c r="F281" i="1"/>
  <c r="D281" i="1"/>
  <c r="C281" i="1"/>
  <c r="B281" i="1"/>
  <c r="F280" i="1"/>
  <c r="D280" i="1"/>
  <c r="C280" i="1"/>
  <c r="B280" i="1"/>
  <c r="F279" i="1"/>
  <c r="D279" i="1"/>
  <c r="C279" i="1"/>
  <c r="B279" i="1"/>
  <c r="F278" i="1"/>
  <c r="D278" i="1"/>
  <c r="C278" i="1"/>
  <c r="B278" i="1"/>
  <c r="F277" i="1"/>
  <c r="D277" i="1"/>
  <c r="C277" i="1"/>
  <c r="B277" i="1"/>
  <c r="F276" i="1"/>
  <c r="D276" i="1"/>
  <c r="C276" i="1"/>
  <c r="B276" i="1"/>
  <c r="F275" i="1"/>
  <c r="D275" i="1"/>
  <c r="C275" i="1"/>
  <c r="B275" i="1"/>
  <c r="F274" i="1"/>
  <c r="D274" i="1"/>
  <c r="C274" i="1"/>
  <c r="B274" i="1"/>
  <c r="F273" i="1"/>
  <c r="D273" i="1"/>
  <c r="C273" i="1"/>
  <c r="B273" i="1"/>
  <c r="F272" i="1"/>
  <c r="D272" i="1"/>
  <c r="C272" i="1"/>
  <c r="B272" i="1"/>
  <c r="F271" i="1"/>
  <c r="D271" i="1"/>
  <c r="C271" i="1"/>
  <c r="B271" i="1"/>
  <c r="F270" i="1"/>
  <c r="D270" i="1"/>
  <c r="C270" i="1"/>
  <c r="B270" i="1"/>
  <c r="F269" i="1"/>
  <c r="D269" i="1"/>
  <c r="C269" i="1"/>
  <c r="B269" i="1"/>
  <c r="F268" i="1"/>
  <c r="D268" i="1"/>
  <c r="C268" i="1"/>
  <c r="B268" i="1"/>
  <c r="F267" i="1"/>
  <c r="D267" i="1"/>
  <c r="C267" i="1"/>
  <c r="B267" i="1"/>
  <c r="F266" i="1"/>
  <c r="D266" i="1"/>
  <c r="C266" i="1"/>
  <c r="B266" i="1"/>
  <c r="F265" i="1"/>
  <c r="D265" i="1"/>
  <c r="C265" i="1"/>
  <c r="B265" i="1"/>
  <c r="F264" i="1"/>
  <c r="D264" i="1"/>
  <c r="C264" i="1"/>
  <c r="B264" i="1"/>
  <c r="F263" i="1"/>
  <c r="D263" i="1"/>
  <c r="C263" i="1"/>
  <c r="B263" i="1"/>
  <c r="F262" i="1"/>
  <c r="D262" i="1"/>
  <c r="C262" i="1"/>
  <c r="B262" i="1"/>
  <c r="F261" i="1"/>
  <c r="D261" i="1"/>
  <c r="C261" i="1"/>
  <c r="B261" i="1"/>
  <c r="F260" i="1"/>
  <c r="D260" i="1"/>
  <c r="C260" i="1"/>
  <c r="B260" i="1"/>
  <c r="F259" i="1"/>
  <c r="D259" i="1"/>
  <c r="C259" i="1"/>
  <c r="B259" i="1"/>
  <c r="F258" i="1"/>
  <c r="D258" i="1"/>
  <c r="C258" i="1"/>
  <c r="B258" i="1"/>
  <c r="F257" i="1"/>
  <c r="D257" i="1"/>
  <c r="C257" i="1"/>
  <c r="B257" i="1"/>
  <c r="F256" i="1"/>
  <c r="D256" i="1"/>
  <c r="C256" i="1"/>
  <c r="B256" i="1"/>
  <c r="F255" i="1"/>
  <c r="D255" i="1"/>
  <c r="C255" i="1"/>
  <c r="B255" i="1"/>
  <c r="F254" i="1"/>
  <c r="D254" i="1"/>
  <c r="C254" i="1"/>
  <c r="B254" i="1"/>
  <c r="F253" i="1"/>
  <c r="D253" i="1"/>
  <c r="C253" i="1"/>
  <c r="B253" i="1"/>
  <c r="F252" i="1"/>
  <c r="D252" i="1"/>
  <c r="C252" i="1"/>
  <c r="B252" i="1"/>
  <c r="F251" i="1"/>
  <c r="D251" i="1"/>
  <c r="C251" i="1"/>
  <c r="B251" i="1"/>
  <c r="F250" i="1"/>
  <c r="D250" i="1"/>
  <c r="C250" i="1"/>
  <c r="B250" i="1"/>
  <c r="F249" i="1"/>
  <c r="D249" i="1"/>
  <c r="C249" i="1"/>
  <c r="B249" i="1"/>
  <c r="F248" i="1"/>
  <c r="D248" i="1"/>
  <c r="C248" i="1"/>
  <c r="B248" i="1"/>
  <c r="F247" i="1"/>
  <c r="D247" i="1"/>
  <c r="C247" i="1"/>
  <c r="B247" i="1"/>
  <c r="F246" i="1"/>
  <c r="D246" i="1"/>
  <c r="C246" i="1"/>
  <c r="B246" i="1"/>
  <c r="F245" i="1"/>
  <c r="D245" i="1"/>
  <c r="C245" i="1"/>
  <c r="B245" i="1"/>
  <c r="F244" i="1"/>
  <c r="D244" i="1"/>
  <c r="C244" i="1"/>
  <c r="B244" i="1"/>
  <c r="F243" i="1"/>
  <c r="D243" i="1"/>
  <c r="C243" i="1"/>
  <c r="B243" i="1"/>
  <c r="F242" i="1"/>
  <c r="D242" i="1"/>
  <c r="C242" i="1"/>
  <c r="B242" i="1"/>
  <c r="F241" i="1"/>
  <c r="D241" i="1"/>
  <c r="C241" i="1"/>
  <c r="B241" i="1"/>
  <c r="F240" i="1"/>
  <c r="D240" i="1"/>
  <c r="C240" i="1"/>
  <c r="B240" i="1"/>
  <c r="F239" i="1"/>
  <c r="D239" i="1"/>
  <c r="C239" i="1"/>
  <c r="B239" i="1"/>
  <c r="F238" i="1"/>
  <c r="D238" i="1"/>
  <c r="C238" i="1"/>
  <c r="B238" i="1"/>
  <c r="F237" i="1"/>
  <c r="D237" i="1"/>
  <c r="C237" i="1"/>
  <c r="B237" i="1"/>
  <c r="F236" i="1"/>
  <c r="D236" i="1"/>
  <c r="C236" i="1"/>
  <c r="B236" i="1"/>
  <c r="F235" i="1"/>
  <c r="D235" i="1"/>
  <c r="C235" i="1"/>
  <c r="B235" i="1"/>
  <c r="F234" i="1"/>
  <c r="D234" i="1"/>
  <c r="C234" i="1"/>
  <c r="B234" i="1"/>
  <c r="F233" i="1"/>
  <c r="D233" i="1"/>
  <c r="C233" i="1"/>
  <c r="B233" i="1"/>
  <c r="F232" i="1"/>
  <c r="D232" i="1"/>
  <c r="C232" i="1"/>
  <c r="B232" i="1"/>
  <c r="F231" i="1"/>
  <c r="D231" i="1"/>
  <c r="C231" i="1"/>
  <c r="B231" i="1"/>
  <c r="F230" i="1"/>
  <c r="D230" i="1"/>
  <c r="C230" i="1"/>
  <c r="B230" i="1"/>
  <c r="F229" i="1"/>
  <c r="D229" i="1"/>
  <c r="C229" i="1"/>
  <c r="B229" i="1"/>
  <c r="F228" i="1"/>
  <c r="D228" i="1"/>
  <c r="C228" i="1"/>
  <c r="B228" i="1"/>
  <c r="F227" i="1"/>
  <c r="D227" i="1"/>
  <c r="C227" i="1"/>
  <c r="B227" i="1"/>
  <c r="F226" i="1"/>
  <c r="D226" i="1"/>
  <c r="C226" i="1"/>
  <c r="B226" i="1"/>
  <c r="F225" i="1"/>
  <c r="D225" i="1"/>
  <c r="C225" i="1"/>
  <c r="B225" i="1"/>
  <c r="F224" i="1"/>
  <c r="D224" i="1"/>
  <c r="C224" i="1"/>
  <c r="B224" i="1"/>
  <c r="F223" i="1"/>
  <c r="D223" i="1"/>
  <c r="C223" i="1"/>
  <c r="B223" i="1"/>
  <c r="F222" i="1"/>
  <c r="D222" i="1"/>
  <c r="C222" i="1"/>
  <c r="B222" i="1"/>
  <c r="F221" i="1"/>
  <c r="D221" i="1"/>
  <c r="C221" i="1"/>
  <c r="B221" i="1"/>
  <c r="F220" i="1"/>
  <c r="D220" i="1"/>
  <c r="C220" i="1"/>
  <c r="B220" i="1"/>
  <c r="F219" i="1"/>
  <c r="D219" i="1"/>
  <c r="C219" i="1"/>
  <c r="B219" i="1"/>
  <c r="F218" i="1"/>
  <c r="D218" i="1"/>
  <c r="C218" i="1"/>
  <c r="B218" i="1"/>
  <c r="F217" i="1"/>
  <c r="D217" i="1"/>
  <c r="C217" i="1"/>
  <c r="B217" i="1"/>
  <c r="F216" i="1"/>
  <c r="D216" i="1"/>
  <c r="C216" i="1"/>
  <c r="B216" i="1"/>
  <c r="F215" i="1"/>
  <c r="D215" i="1"/>
  <c r="C215" i="1"/>
  <c r="B215" i="1"/>
  <c r="F214" i="1"/>
  <c r="D214" i="1"/>
  <c r="C214" i="1"/>
  <c r="B214" i="1"/>
  <c r="F213" i="1"/>
  <c r="D213" i="1"/>
  <c r="C213" i="1"/>
  <c r="B213" i="1"/>
  <c r="F212" i="1"/>
  <c r="D212" i="1"/>
  <c r="C212" i="1"/>
  <c r="B212" i="1"/>
  <c r="F211" i="1"/>
  <c r="D211" i="1"/>
  <c r="C211" i="1"/>
  <c r="B211" i="1"/>
  <c r="F210" i="1"/>
  <c r="D210" i="1"/>
  <c r="C210" i="1"/>
  <c r="B210" i="1"/>
  <c r="F209" i="1"/>
  <c r="D209" i="1"/>
  <c r="C209" i="1"/>
  <c r="B209" i="1"/>
  <c r="F208" i="1"/>
  <c r="D208" i="1"/>
  <c r="C208" i="1"/>
  <c r="B208" i="1"/>
  <c r="F207" i="1"/>
  <c r="D207" i="1"/>
  <c r="C207" i="1"/>
  <c r="B207" i="1"/>
  <c r="F206" i="1"/>
  <c r="D206" i="1"/>
  <c r="C206" i="1"/>
  <c r="B206" i="1"/>
  <c r="F205" i="1"/>
  <c r="D205" i="1"/>
  <c r="C205" i="1"/>
  <c r="B205" i="1"/>
  <c r="F204" i="1"/>
  <c r="D204" i="1"/>
  <c r="C204" i="1"/>
  <c r="B204" i="1"/>
  <c r="F203" i="1"/>
  <c r="D203" i="1"/>
  <c r="C203" i="1"/>
  <c r="B203" i="1"/>
  <c r="F202" i="1"/>
  <c r="D202" i="1"/>
  <c r="C202" i="1"/>
  <c r="B202" i="1"/>
  <c r="F201" i="1"/>
  <c r="D201" i="1"/>
  <c r="C201" i="1"/>
  <c r="B201" i="1"/>
  <c r="F200" i="1"/>
  <c r="D200" i="1"/>
  <c r="C200" i="1"/>
  <c r="B200" i="1"/>
  <c r="F199" i="1"/>
  <c r="D199" i="1"/>
  <c r="C199" i="1"/>
  <c r="B199" i="1"/>
  <c r="F198" i="1"/>
  <c r="D198" i="1"/>
  <c r="C198" i="1"/>
  <c r="B198" i="1"/>
  <c r="F197" i="1"/>
  <c r="D197" i="1"/>
  <c r="C197" i="1"/>
  <c r="B197" i="1"/>
  <c r="F196" i="1"/>
  <c r="D196" i="1"/>
  <c r="C196" i="1"/>
  <c r="B196" i="1"/>
  <c r="F195" i="1"/>
  <c r="D195" i="1"/>
  <c r="C195" i="1"/>
  <c r="B195" i="1"/>
  <c r="F194" i="1"/>
  <c r="D194" i="1"/>
  <c r="C194" i="1"/>
  <c r="B194" i="1"/>
  <c r="F193" i="1"/>
  <c r="D193" i="1"/>
  <c r="C193" i="1"/>
  <c r="B193" i="1"/>
  <c r="F192" i="1"/>
  <c r="D192" i="1"/>
  <c r="C192" i="1"/>
  <c r="B192" i="1"/>
  <c r="F191" i="1"/>
  <c r="D191" i="1"/>
  <c r="C191" i="1"/>
  <c r="B191" i="1"/>
  <c r="F190" i="1"/>
  <c r="D190" i="1"/>
  <c r="C190" i="1"/>
  <c r="B190" i="1"/>
  <c r="F189" i="1"/>
  <c r="D189" i="1"/>
  <c r="C189" i="1"/>
  <c r="B189" i="1"/>
  <c r="F188" i="1"/>
  <c r="D188" i="1"/>
  <c r="C188" i="1"/>
  <c r="B188" i="1"/>
  <c r="F187" i="1"/>
  <c r="D187" i="1"/>
  <c r="C187" i="1"/>
  <c r="B187" i="1"/>
  <c r="F186" i="1"/>
  <c r="D186" i="1"/>
  <c r="C186" i="1"/>
  <c r="B186" i="1"/>
  <c r="F185" i="1"/>
  <c r="D185" i="1"/>
  <c r="C185" i="1"/>
  <c r="B185" i="1"/>
  <c r="F184" i="1"/>
  <c r="D184" i="1"/>
  <c r="C184" i="1"/>
  <c r="B184" i="1"/>
  <c r="F183" i="1"/>
  <c r="D183" i="1"/>
  <c r="C183" i="1"/>
  <c r="B183" i="1"/>
  <c r="F182" i="1"/>
  <c r="D182" i="1"/>
  <c r="C182" i="1"/>
  <c r="B182" i="1"/>
  <c r="F181" i="1"/>
  <c r="D181" i="1"/>
  <c r="C181" i="1"/>
  <c r="B181" i="1"/>
  <c r="F180" i="1"/>
  <c r="D180" i="1"/>
  <c r="C180" i="1"/>
  <c r="B180" i="1"/>
  <c r="F179" i="1"/>
  <c r="D179" i="1"/>
  <c r="C179" i="1"/>
  <c r="B179" i="1"/>
  <c r="F178" i="1"/>
  <c r="D178" i="1"/>
  <c r="C178" i="1"/>
  <c r="B178" i="1"/>
  <c r="F177" i="1"/>
  <c r="D177" i="1"/>
  <c r="C177" i="1"/>
  <c r="B177" i="1"/>
  <c r="F176" i="1"/>
  <c r="D176" i="1"/>
  <c r="C176" i="1"/>
  <c r="B176" i="1"/>
  <c r="F175" i="1"/>
  <c r="D175" i="1"/>
  <c r="C175" i="1"/>
  <c r="B175" i="1"/>
  <c r="F174" i="1"/>
  <c r="D174" i="1"/>
  <c r="C174" i="1"/>
  <c r="B174" i="1"/>
  <c r="F173" i="1"/>
  <c r="D173" i="1"/>
  <c r="C173" i="1"/>
  <c r="B173" i="1"/>
  <c r="F172" i="1"/>
  <c r="D172" i="1"/>
  <c r="C172" i="1"/>
  <c r="B172" i="1"/>
  <c r="F171" i="1"/>
  <c r="D171" i="1"/>
  <c r="C171" i="1"/>
  <c r="B171" i="1"/>
  <c r="F170" i="1"/>
  <c r="D170" i="1"/>
  <c r="C170" i="1"/>
  <c r="B170" i="1"/>
  <c r="F169" i="1"/>
  <c r="D169" i="1"/>
  <c r="C169" i="1"/>
  <c r="B169" i="1"/>
  <c r="F168" i="1"/>
  <c r="D168" i="1"/>
  <c r="C168" i="1"/>
  <c r="B168" i="1"/>
  <c r="F167" i="1"/>
  <c r="D167" i="1"/>
  <c r="C167" i="1"/>
  <c r="B167" i="1"/>
  <c r="F166" i="1"/>
  <c r="D166" i="1"/>
  <c r="C166" i="1"/>
  <c r="B166" i="1"/>
  <c r="F165" i="1"/>
  <c r="D165" i="1"/>
  <c r="C165" i="1"/>
  <c r="B165" i="1"/>
  <c r="F164" i="1"/>
  <c r="D164" i="1"/>
  <c r="C164" i="1"/>
  <c r="B164" i="1"/>
  <c r="F163" i="1"/>
  <c r="D163" i="1"/>
  <c r="C163" i="1"/>
  <c r="B163" i="1"/>
  <c r="F162" i="1"/>
  <c r="D162" i="1"/>
  <c r="C162" i="1"/>
  <c r="B162" i="1"/>
  <c r="F161" i="1"/>
  <c r="D161" i="1"/>
  <c r="C161" i="1"/>
  <c r="B161" i="1"/>
  <c r="F160" i="1"/>
  <c r="D160" i="1"/>
  <c r="C160" i="1"/>
  <c r="B160" i="1"/>
  <c r="F159" i="1"/>
  <c r="D159" i="1"/>
  <c r="C159" i="1"/>
  <c r="B159" i="1"/>
  <c r="F158" i="1"/>
  <c r="D158" i="1"/>
  <c r="C158" i="1"/>
  <c r="B158" i="1"/>
  <c r="F157" i="1"/>
  <c r="D157" i="1"/>
  <c r="C157" i="1"/>
  <c r="B157" i="1"/>
  <c r="F156" i="1"/>
  <c r="D156" i="1"/>
  <c r="C156" i="1"/>
  <c r="B156" i="1"/>
  <c r="F155" i="1"/>
  <c r="D155" i="1"/>
  <c r="C155" i="1"/>
  <c r="B155" i="1"/>
  <c r="F154" i="1"/>
  <c r="D154" i="1"/>
  <c r="C154" i="1"/>
  <c r="B154" i="1"/>
  <c r="F153" i="1"/>
  <c r="D153" i="1"/>
  <c r="C153" i="1"/>
  <c r="B153" i="1"/>
  <c r="F152" i="1"/>
  <c r="D152" i="1"/>
  <c r="C152" i="1"/>
  <c r="B152" i="1"/>
  <c r="F151" i="1"/>
  <c r="D151" i="1"/>
  <c r="C151" i="1"/>
  <c r="B151" i="1"/>
  <c r="F150" i="1"/>
  <c r="D150" i="1"/>
  <c r="C150" i="1"/>
  <c r="B150" i="1"/>
  <c r="F149" i="1"/>
  <c r="D149" i="1"/>
  <c r="C149" i="1"/>
  <c r="B149" i="1"/>
  <c r="F148" i="1"/>
  <c r="D148" i="1"/>
  <c r="C148" i="1"/>
  <c r="B148" i="1"/>
  <c r="F147" i="1"/>
  <c r="D147" i="1"/>
  <c r="C147" i="1"/>
  <c r="B147" i="1"/>
  <c r="F146" i="1"/>
  <c r="D146" i="1"/>
  <c r="C146" i="1"/>
  <c r="B146" i="1"/>
  <c r="F145" i="1"/>
  <c r="D145" i="1"/>
  <c r="C145" i="1"/>
  <c r="B145" i="1"/>
  <c r="F144" i="1"/>
  <c r="D144" i="1"/>
  <c r="C144" i="1"/>
  <c r="B144" i="1"/>
  <c r="F143" i="1"/>
  <c r="D143" i="1"/>
  <c r="C143" i="1"/>
  <c r="B143" i="1"/>
  <c r="F142" i="1"/>
  <c r="D142" i="1"/>
  <c r="C142" i="1"/>
  <c r="B142" i="1"/>
  <c r="F141" i="1"/>
  <c r="D141" i="1"/>
  <c r="C141" i="1"/>
  <c r="B141" i="1"/>
  <c r="F140" i="1"/>
  <c r="D140" i="1"/>
  <c r="C140" i="1"/>
  <c r="B140" i="1"/>
  <c r="F139" i="1"/>
  <c r="D139" i="1"/>
  <c r="C139" i="1"/>
  <c r="B139" i="1"/>
  <c r="F138" i="1"/>
  <c r="D138" i="1"/>
  <c r="C138" i="1"/>
  <c r="B138" i="1"/>
  <c r="F137" i="1"/>
  <c r="D137" i="1"/>
  <c r="C137" i="1"/>
  <c r="B137" i="1"/>
  <c r="F136" i="1"/>
  <c r="D136" i="1"/>
  <c r="C136" i="1"/>
  <c r="B136" i="1"/>
  <c r="F135" i="1"/>
  <c r="D135" i="1"/>
  <c r="C135" i="1"/>
  <c r="B135" i="1"/>
  <c r="F134" i="1"/>
  <c r="D134" i="1"/>
  <c r="C134" i="1"/>
  <c r="B134" i="1"/>
  <c r="F133" i="1"/>
  <c r="D133" i="1"/>
  <c r="C133" i="1"/>
  <c r="B133" i="1"/>
  <c r="F132" i="1"/>
  <c r="D132" i="1"/>
  <c r="C132" i="1"/>
  <c r="B132" i="1"/>
  <c r="F131" i="1"/>
  <c r="D131" i="1"/>
  <c r="C131" i="1"/>
  <c r="B131" i="1"/>
  <c r="F130" i="1"/>
  <c r="D130" i="1"/>
  <c r="C130" i="1"/>
  <c r="B130" i="1"/>
  <c r="F129" i="1"/>
  <c r="D129" i="1"/>
  <c r="C129" i="1"/>
  <c r="B129" i="1"/>
  <c r="F128" i="1"/>
  <c r="D128" i="1"/>
  <c r="C128" i="1"/>
  <c r="B128" i="1"/>
  <c r="F127" i="1"/>
  <c r="D127" i="1"/>
  <c r="C127" i="1"/>
  <c r="B127" i="1"/>
  <c r="F126" i="1"/>
  <c r="D126" i="1"/>
  <c r="C126" i="1"/>
  <c r="B126" i="1"/>
  <c r="F125" i="1"/>
  <c r="D125" i="1"/>
  <c r="C125" i="1"/>
  <c r="B125" i="1"/>
  <c r="F124" i="1"/>
  <c r="D124" i="1"/>
  <c r="C124" i="1"/>
  <c r="B124" i="1"/>
  <c r="F123" i="1"/>
  <c r="D123" i="1"/>
  <c r="C123" i="1"/>
  <c r="B123" i="1"/>
  <c r="F122" i="1"/>
  <c r="D122" i="1"/>
  <c r="C122" i="1"/>
  <c r="B122" i="1"/>
  <c r="F121" i="1"/>
  <c r="D121" i="1"/>
  <c r="C121" i="1"/>
  <c r="B121" i="1"/>
  <c r="F120" i="1"/>
  <c r="D120" i="1"/>
  <c r="C120" i="1"/>
  <c r="B120" i="1"/>
  <c r="F119" i="1"/>
  <c r="D119" i="1"/>
  <c r="C119" i="1"/>
  <c r="B119" i="1"/>
  <c r="F118" i="1"/>
  <c r="D118" i="1"/>
  <c r="C118" i="1"/>
  <c r="B118" i="1"/>
  <c r="F117" i="1"/>
  <c r="D117" i="1"/>
  <c r="C117" i="1"/>
  <c r="B117" i="1"/>
  <c r="F116" i="1"/>
  <c r="D116" i="1"/>
  <c r="C116" i="1"/>
  <c r="B116" i="1"/>
  <c r="F115" i="1"/>
  <c r="D115" i="1"/>
  <c r="C115" i="1"/>
  <c r="B115" i="1"/>
  <c r="F114" i="1"/>
  <c r="D114" i="1"/>
  <c r="C114" i="1"/>
  <c r="B114" i="1"/>
  <c r="F113" i="1"/>
  <c r="D113" i="1"/>
  <c r="C113" i="1"/>
  <c r="B113" i="1"/>
  <c r="F112" i="1"/>
  <c r="D112" i="1"/>
  <c r="C112" i="1"/>
  <c r="B112" i="1"/>
  <c r="F111" i="1"/>
  <c r="D111" i="1"/>
  <c r="C111" i="1"/>
  <c r="B111" i="1"/>
  <c r="F110" i="1"/>
  <c r="D110" i="1"/>
  <c r="C110" i="1"/>
  <c r="B110" i="1"/>
  <c r="F109" i="1"/>
  <c r="D109" i="1"/>
  <c r="C109" i="1"/>
  <c r="B109" i="1"/>
  <c r="F108" i="1"/>
  <c r="D108" i="1"/>
  <c r="C108" i="1"/>
  <c r="B108" i="1"/>
  <c r="F107" i="1"/>
  <c r="D107" i="1"/>
  <c r="C107" i="1"/>
  <c r="B107" i="1"/>
  <c r="F106" i="1"/>
  <c r="D106" i="1"/>
  <c r="C106" i="1"/>
  <c r="B106" i="1"/>
  <c r="F105" i="1"/>
  <c r="D105" i="1"/>
  <c r="C105" i="1"/>
  <c r="B105" i="1"/>
  <c r="F104" i="1"/>
  <c r="D104" i="1"/>
  <c r="C104" i="1"/>
  <c r="B104" i="1"/>
  <c r="F103" i="1"/>
  <c r="D103" i="1"/>
  <c r="C103" i="1"/>
  <c r="B103" i="1"/>
  <c r="F102" i="1"/>
  <c r="D102" i="1"/>
  <c r="C102" i="1"/>
  <c r="B102" i="1"/>
  <c r="F101" i="1"/>
  <c r="D101" i="1"/>
  <c r="C101" i="1"/>
  <c r="B101" i="1"/>
  <c r="F100" i="1"/>
  <c r="D100" i="1"/>
  <c r="C100" i="1"/>
  <c r="B100" i="1"/>
  <c r="F99" i="1"/>
  <c r="D99" i="1"/>
  <c r="C99" i="1"/>
  <c r="B99" i="1"/>
  <c r="F98" i="1"/>
  <c r="D98" i="1"/>
  <c r="C98" i="1"/>
  <c r="B98" i="1"/>
  <c r="F97" i="1"/>
  <c r="D97" i="1"/>
  <c r="C97" i="1"/>
  <c r="B97" i="1"/>
  <c r="F96" i="1"/>
  <c r="D96" i="1"/>
  <c r="C96" i="1"/>
  <c r="B96" i="1"/>
  <c r="F95" i="1"/>
  <c r="D95" i="1"/>
  <c r="C95" i="1"/>
  <c r="B95" i="1"/>
  <c r="F94" i="1"/>
  <c r="D94" i="1"/>
  <c r="C94" i="1"/>
  <c r="B94" i="1"/>
  <c r="F93" i="1"/>
  <c r="D93" i="1"/>
  <c r="C93" i="1"/>
  <c r="B93" i="1"/>
  <c r="F92" i="1"/>
  <c r="D92" i="1"/>
  <c r="C92" i="1"/>
  <c r="B92" i="1"/>
  <c r="F91" i="1"/>
  <c r="D91" i="1"/>
  <c r="C91" i="1"/>
  <c r="B91" i="1"/>
  <c r="F90" i="1"/>
  <c r="D90" i="1"/>
  <c r="C90" i="1"/>
  <c r="B90" i="1"/>
  <c r="F89" i="1"/>
  <c r="D89" i="1"/>
  <c r="C89" i="1"/>
  <c r="B89" i="1"/>
  <c r="F88" i="1"/>
  <c r="D88" i="1"/>
  <c r="C88" i="1"/>
  <c r="B88" i="1"/>
  <c r="F87" i="1"/>
  <c r="D87" i="1"/>
  <c r="C87" i="1"/>
  <c r="B87" i="1"/>
  <c r="F86" i="1"/>
  <c r="D86" i="1"/>
  <c r="C86" i="1"/>
  <c r="B86" i="1"/>
  <c r="F85" i="1"/>
  <c r="D85" i="1"/>
  <c r="C85" i="1"/>
  <c r="B85" i="1"/>
  <c r="F84" i="1"/>
  <c r="D84" i="1"/>
  <c r="C84" i="1"/>
  <c r="B84" i="1"/>
  <c r="F83" i="1"/>
  <c r="D83" i="1"/>
  <c r="C83" i="1"/>
  <c r="B83" i="1"/>
  <c r="F82" i="1"/>
  <c r="D82" i="1"/>
  <c r="C82" i="1"/>
  <c r="B82" i="1"/>
  <c r="F81" i="1"/>
  <c r="D81" i="1"/>
  <c r="C81" i="1"/>
  <c r="B81" i="1"/>
  <c r="D80" i="1"/>
  <c r="C80" i="1"/>
  <c r="B80" i="1"/>
  <c r="D79" i="1"/>
  <c r="C79" i="1"/>
  <c r="B79" i="1"/>
  <c r="D78" i="1"/>
  <c r="C78" i="1"/>
  <c r="B78" i="1"/>
  <c r="F77" i="1"/>
  <c r="D77" i="1"/>
  <c r="C77" i="1"/>
  <c r="B77" i="1"/>
  <c r="F76" i="1"/>
  <c r="D76" i="1"/>
  <c r="C76" i="1"/>
  <c r="B76" i="1"/>
  <c r="F75" i="1"/>
  <c r="D75" i="1"/>
  <c r="C75" i="1"/>
  <c r="B75" i="1"/>
  <c r="F74" i="1"/>
  <c r="D74" i="1"/>
  <c r="C74" i="1"/>
  <c r="B74" i="1"/>
  <c r="F73" i="1"/>
  <c r="D73" i="1"/>
  <c r="C73" i="1"/>
  <c r="B73" i="1"/>
  <c r="F72" i="1"/>
  <c r="D72" i="1"/>
  <c r="C72" i="1"/>
  <c r="B72" i="1"/>
  <c r="F71" i="1"/>
  <c r="D71" i="1"/>
  <c r="C71" i="1"/>
  <c r="B71" i="1"/>
  <c r="F70" i="1"/>
  <c r="D70" i="1"/>
  <c r="C70" i="1"/>
  <c r="B70" i="1"/>
  <c r="F69" i="1"/>
  <c r="D69" i="1"/>
  <c r="C69" i="1"/>
  <c r="B69" i="1"/>
  <c r="F68" i="1"/>
  <c r="D68" i="1"/>
  <c r="C68" i="1"/>
  <c r="B68" i="1"/>
  <c r="F67" i="1"/>
  <c r="D67" i="1"/>
  <c r="C67" i="1"/>
  <c r="B67" i="1"/>
  <c r="F66" i="1"/>
  <c r="D66" i="1"/>
  <c r="C66" i="1"/>
  <c r="B66" i="1"/>
  <c r="F65" i="1"/>
  <c r="D65" i="1"/>
  <c r="C65" i="1"/>
  <c r="B65" i="1"/>
  <c r="F64" i="1"/>
  <c r="D64" i="1"/>
  <c r="C64" i="1"/>
  <c r="B64" i="1"/>
  <c r="F63" i="1"/>
  <c r="D63" i="1"/>
  <c r="C63" i="1"/>
  <c r="B63" i="1"/>
  <c r="F62" i="1"/>
  <c r="D62" i="1"/>
  <c r="C62" i="1"/>
  <c r="B62" i="1"/>
  <c r="F61" i="1"/>
  <c r="D61" i="1"/>
  <c r="C61" i="1"/>
  <c r="B61" i="1"/>
  <c r="F60" i="1"/>
  <c r="D60" i="1"/>
  <c r="C60" i="1"/>
  <c r="B60" i="1"/>
  <c r="F59" i="1"/>
  <c r="D59" i="1"/>
  <c r="C59" i="1"/>
  <c r="B59" i="1"/>
  <c r="F58" i="1"/>
  <c r="D58" i="1"/>
  <c r="C58" i="1"/>
  <c r="B58" i="1"/>
  <c r="F57" i="1"/>
  <c r="D57" i="1"/>
  <c r="C57" i="1"/>
  <c r="B57" i="1"/>
  <c r="F56" i="1"/>
  <c r="D56" i="1"/>
  <c r="C56" i="1"/>
  <c r="B56" i="1"/>
  <c r="F55" i="1"/>
  <c r="D55" i="1"/>
  <c r="C55" i="1"/>
  <c r="B55" i="1"/>
  <c r="F54" i="1"/>
  <c r="D54" i="1"/>
  <c r="C54" i="1"/>
  <c r="B54" i="1"/>
  <c r="F53" i="1"/>
  <c r="D53" i="1"/>
  <c r="C53" i="1"/>
  <c r="B53" i="1"/>
  <c r="F52" i="1"/>
  <c r="D52" i="1"/>
  <c r="C52" i="1"/>
  <c r="B52" i="1"/>
  <c r="F51" i="1"/>
  <c r="D51" i="1"/>
  <c r="C51" i="1"/>
  <c r="B51" i="1"/>
  <c r="F50" i="1"/>
  <c r="D50" i="1"/>
  <c r="C50" i="1"/>
  <c r="B50" i="1"/>
  <c r="F49" i="1"/>
  <c r="D49" i="1"/>
  <c r="C49" i="1"/>
  <c r="B49" i="1"/>
  <c r="F48" i="1"/>
  <c r="D48" i="1"/>
  <c r="C48" i="1"/>
  <c r="B48" i="1"/>
  <c r="F47" i="1"/>
  <c r="D47" i="1"/>
  <c r="C47" i="1"/>
  <c r="B47" i="1"/>
  <c r="F46" i="1"/>
  <c r="D46" i="1"/>
  <c r="C46" i="1"/>
  <c r="B46" i="1"/>
  <c r="F45" i="1"/>
  <c r="D45" i="1"/>
  <c r="C45" i="1"/>
  <c r="B45" i="1"/>
  <c r="F44" i="1"/>
  <c r="D44" i="1"/>
  <c r="C44" i="1"/>
  <c r="B44" i="1"/>
  <c r="F43" i="1"/>
  <c r="D43" i="1"/>
  <c r="C43" i="1"/>
  <c r="B43" i="1"/>
  <c r="F42" i="1"/>
  <c r="D42" i="1"/>
  <c r="C42" i="1"/>
  <c r="B42" i="1"/>
  <c r="F41" i="1"/>
  <c r="D41" i="1"/>
  <c r="C41" i="1"/>
  <c r="B41" i="1"/>
  <c r="F40" i="1"/>
  <c r="D40" i="1"/>
  <c r="C40" i="1"/>
  <c r="B40" i="1"/>
  <c r="F39" i="1"/>
  <c r="D39" i="1"/>
  <c r="C39" i="1"/>
  <c r="B39" i="1"/>
  <c r="F38" i="1"/>
  <c r="D38" i="1"/>
  <c r="C38" i="1"/>
  <c r="B38" i="1"/>
  <c r="F37" i="1"/>
  <c r="D37" i="1"/>
  <c r="C37" i="1"/>
  <c r="B37" i="1"/>
  <c r="F36" i="1"/>
  <c r="D36" i="1"/>
  <c r="C36" i="1"/>
  <c r="B36" i="1"/>
  <c r="F35" i="1"/>
  <c r="D35" i="1"/>
  <c r="C35" i="1"/>
  <c r="B35" i="1"/>
  <c r="F34" i="1"/>
  <c r="D34" i="1"/>
  <c r="C34" i="1"/>
  <c r="B34" i="1"/>
  <c r="F33" i="1"/>
  <c r="D33" i="1"/>
  <c r="C33" i="1"/>
  <c r="B33" i="1"/>
  <c r="F32" i="1"/>
  <c r="D32" i="1"/>
  <c r="C32" i="1"/>
  <c r="B32" i="1"/>
  <c r="F31" i="1"/>
  <c r="D31" i="1"/>
  <c r="C31" i="1"/>
  <c r="B31" i="1"/>
  <c r="F30" i="1"/>
  <c r="D30" i="1"/>
  <c r="C30" i="1"/>
  <c r="B30" i="1"/>
  <c r="F29" i="1"/>
  <c r="D29" i="1"/>
  <c r="C29" i="1"/>
  <c r="B29" i="1"/>
  <c r="F28" i="1"/>
  <c r="D28" i="1"/>
  <c r="C28" i="1"/>
  <c r="B28" i="1"/>
  <c r="F27" i="1"/>
  <c r="D27" i="1"/>
  <c r="C27" i="1"/>
  <c r="B27" i="1"/>
  <c r="F26" i="1"/>
  <c r="D26" i="1"/>
  <c r="C26" i="1"/>
  <c r="B26" i="1"/>
  <c r="F25" i="1"/>
  <c r="D25" i="1"/>
  <c r="C25" i="1"/>
  <c r="B25" i="1"/>
  <c r="F24" i="1"/>
  <c r="D24" i="1"/>
  <c r="C24" i="1"/>
  <c r="B24" i="1"/>
  <c r="F23" i="1"/>
  <c r="D23" i="1"/>
  <c r="C23" i="1"/>
  <c r="B23" i="1"/>
  <c r="F22" i="1"/>
  <c r="D22" i="1"/>
  <c r="C22" i="1"/>
  <c r="B22" i="1"/>
  <c r="F21" i="1"/>
  <c r="D21" i="1"/>
  <c r="C21" i="1"/>
  <c r="B21" i="1"/>
  <c r="F20" i="1"/>
  <c r="D20" i="1"/>
  <c r="C20" i="1"/>
  <c r="B20" i="1"/>
  <c r="F19" i="1"/>
  <c r="D19" i="1"/>
  <c r="C19" i="1"/>
  <c r="B19" i="1"/>
  <c r="F18" i="1"/>
  <c r="D18" i="1"/>
  <c r="C18" i="1"/>
  <c r="B18" i="1"/>
  <c r="F17" i="1"/>
  <c r="D17" i="1"/>
  <c r="C17" i="1"/>
  <c r="B17" i="1"/>
  <c r="F16" i="1"/>
  <c r="D16" i="1"/>
  <c r="C16" i="1"/>
  <c r="B16" i="1"/>
  <c r="F15" i="1"/>
  <c r="D15" i="1"/>
  <c r="C15" i="1"/>
  <c r="B15" i="1"/>
  <c r="F14" i="1"/>
  <c r="D14" i="1"/>
  <c r="C14" i="1"/>
  <c r="B14" i="1"/>
  <c r="F13" i="1"/>
  <c r="D13" i="1"/>
  <c r="C13" i="1"/>
  <c r="B13" i="1"/>
  <c r="F12" i="1"/>
  <c r="D12" i="1"/>
  <c r="C12" i="1"/>
  <c r="B12" i="1"/>
  <c r="F11" i="1"/>
  <c r="D11" i="1"/>
  <c r="C11" i="1"/>
  <c r="B11" i="1"/>
  <c r="F10" i="1"/>
  <c r="D10" i="1"/>
  <c r="C10" i="1"/>
  <c r="B10" i="1"/>
  <c r="F9" i="1"/>
  <c r="D9" i="1"/>
  <c r="C9" i="1"/>
  <c r="B9" i="1"/>
  <c r="F8" i="1"/>
  <c r="D8" i="1"/>
  <c r="C8" i="1"/>
  <c r="B8" i="1"/>
  <c r="F7" i="1"/>
  <c r="D7" i="1"/>
  <c r="C7" i="1"/>
  <c r="B7" i="1"/>
  <c r="F6" i="1"/>
  <c r="D6" i="1"/>
  <c r="C6" i="1"/>
  <c r="B6" i="1"/>
  <c r="F5" i="1"/>
  <c r="D5" i="1"/>
  <c r="C5" i="1"/>
  <c r="B5" i="1"/>
  <c r="F4" i="1"/>
  <c r="D4" i="1"/>
  <c r="C4" i="1"/>
  <c r="B4" i="1"/>
  <c r="F3" i="1"/>
  <c r="B3" i="1"/>
  <c r="F101" i="3" l="1"/>
  <c r="C10" i="7"/>
  <c r="C10" i="8"/>
  <c r="B10" i="8" s="1"/>
  <c r="F15" i="3"/>
  <c r="C9" i="7"/>
  <c r="C11" i="7" s="1"/>
  <c r="C9" i="8"/>
  <c r="F47" i="3"/>
  <c r="G3" i="5"/>
  <c r="I3" i="5" s="1"/>
  <c r="D3" i="5"/>
  <c r="H3" i="5" s="1"/>
  <c r="J3" i="5" s="1"/>
  <c r="E15" i="5"/>
  <c r="C15" i="5"/>
  <c r="F14" i="5"/>
  <c r="D14" i="5"/>
  <c r="G13" i="5"/>
  <c r="I13" i="5" s="1"/>
  <c r="D13" i="5"/>
  <c r="F13" i="5"/>
  <c r="C9" i="9"/>
  <c r="B9" i="9"/>
  <c r="B10" i="9"/>
  <c r="C15" i="9"/>
  <c r="B22" i="9"/>
  <c r="E22" i="9" s="1"/>
  <c r="C21" i="10"/>
  <c r="C16" i="9"/>
  <c r="C22" i="10"/>
  <c r="B22" i="10"/>
  <c r="E22" i="10" s="1"/>
  <c r="B15" i="9"/>
  <c r="B21" i="10"/>
  <c r="B16" i="9"/>
  <c r="E16" i="9" s="1"/>
  <c r="C9" i="10"/>
  <c r="B16" i="10"/>
  <c r="E16" i="10" s="1"/>
  <c r="C21" i="9"/>
  <c r="C10" i="10"/>
  <c r="B15" i="10"/>
  <c r="C22" i="9"/>
  <c r="C15" i="10"/>
  <c r="B10" i="10"/>
  <c r="C10" i="9"/>
  <c r="B21" i="9"/>
  <c r="E21" i="9" s="1"/>
  <c r="C16" i="10"/>
  <c r="B9" i="10"/>
  <c r="E9" i="10" s="1"/>
  <c r="B22" i="8"/>
  <c r="E22" i="8" s="1"/>
  <c r="C22" i="8"/>
  <c r="B15" i="8"/>
  <c r="D15" i="8" s="1"/>
  <c r="B16" i="8"/>
  <c r="E16" i="8" s="1"/>
  <c r="B21" i="8"/>
  <c r="E21" i="8" s="1"/>
  <c r="C21" i="8"/>
  <c r="C15" i="8"/>
  <c r="C16" i="8"/>
  <c r="B16" i="7"/>
  <c r="D16" i="7" s="1"/>
  <c r="C22" i="7"/>
  <c r="C23" i="7" s="1"/>
  <c r="F6" i="5"/>
  <c r="H2" i="6" s="1"/>
  <c r="B9" i="7"/>
  <c r="E9" i="7" s="1"/>
  <c r="B10" i="7"/>
  <c r="D8" i="5"/>
  <c r="H8" i="5" s="1"/>
  <c r="J8" i="5" s="1"/>
  <c r="D6" i="5"/>
  <c r="D7" i="5"/>
  <c r="H4" i="6"/>
  <c r="H3" i="6"/>
  <c r="C15" i="7"/>
  <c r="B21" i="7"/>
  <c r="E21" i="7" s="1"/>
  <c r="C16" i="7"/>
  <c r="B22" i="7"/>
  <c r="D15" i="7"/>
  <c r="G10" i="5"/>
  <c r="I10" i="5" s="1"/>
  <c r="B5" i="6"/>
  <c r="G12" i="5"/>
  <c r="I12" i="5" s="1"/>
  <c r="H4" i="5"/>
  <c r="E33" i="5"/>
  <c r="G7" i="5"/>
  <c r="G6" i="5"/>
  <c r="C33" i="5"/>
  <c r="C41" i="5" s="1"/>
  <c r="B25" i="5"/>
  <c r="D25" i="5" s="1"/>
  <c r="H10" i="5"/>
  <c r="J10" i="5" s="1"/>
  <c r="G14" i="5"/>
  <c r="I14" i="5" s="1"/>
  <c r="G11" i="5"/>
  <c r="I11" i="5" s="1"/>
  <c r="G9" i="5"/>
  <c r="I9" i="5" s="1"/>
  <c r="H9" i="5"/>
  <c r="J9" i="5" s="1"/>
  <c r="G5" i="5"/>
  <c r="I5" i="5" s="1"/>
  <c r="H5" i="5"/>
  <c r="J5" i="5" s="1"/>
  <c r="G8" i="5"/>
  <c r="H12" i="5"/>
  <c r="J12" i="5" s="1"/>
  <c r="G4" i="5"/>
  <c r="H11" i="5"/>
  <c r="J11" i="5" s="1"/>
  <c r="J4" i="5" l="1"/>
  <c r="D15" i="5"/>
  <c r="H14" i="5"/>
  <c r="J14" i="5" s="1"/>
  <c r="I4" i="5"/>
  <c r="G15" i="5"/>
  <c r="F15" i="5"/>
  <c r="H13" i="5"/>
  <c r="J13" i="5" s="1"/>
  <c r="E23" i="9"/>
  <c r="C23" i="9"/>
  <c r="B11" i="10"/>
  <c r="E11" i="10" s="1"/>
  <c r="C11" i="9"/>
  <c r="D16" i="10"/>
  <c r="D16" i="9"/>
  <c r="C23" i="8"/>
  <c r="C17" i="9"/>
  <c r="E9" i="9"/>
  <c r="D9" i="9"/>
  <c r="B11" i="9"/>
  <c r="D21" i="9"/>
  <c r="D22" i="9"/>
  <c r="D22" i="10"/>
  <c r="E21" i="10"/>
  <c r="E23" i="10" s="1"/>
  <c r="D21" i="10"/>
  <c r="B23" i="10"/>
  <c r="F5" i="10" s="1"/>
  <c r="E15" i="10"/>
  <c r="E17" i="10" s="1"/>
  <c r="D15" i="10"/>
  <c r="B17" i="10"/>
  <c r="F4" i="10" s="1"/>
  <c r="E15" i="9"/>
  <c r="E17" i="9" s="1"/>
  <c r="D15" i="9"/>
  <c r="D9" i="10"/>
  <c r="E10" i="9"/>
  <c r="D10" i="9"/>
  <c r="B23" i="9"/>
  <c r="D10" i="10"/>
  <c r="E10" i="10"/>
  <c r="C17" i="10"/>
  <c r="C11" i="10"/>
  <c r="C23" i="10"/>
  <c r="B17" i="9"/>
  <c r="E15" i="8"/>
  <c r="E17" i="8" s="1"/>
  <c r="E23" i="8"/>
  <c r="D22" i="8"/>
  <c r="C11" i="8"/>
  <c r="B9" i="8"/>
  <c r="D9" i="8" s="1"/>
  <c r="D10" i="8"/>
  <c r="B23" i="8"/>
  <c r="H5" i="8" s="1"/>
  <c r="D16" i="8"/>
  <c r="D17" i="8" s="1"/>
  <c r="C17" i="8"/>
  <c r="D21" i="8"/>
  <c r="B17" i="8"/>
  <c r="H4" i="8" s="1"/>
  <c r="E16" i="7"/>
  <c r="E17" i="7" s="1"/>
  <c r="I2" i="4"/>
  <c r="J2" i="4"/>
  <c r="D17" i="7"/>
  <c r="B17" i="7"/>
  <c r="F4" i="7" s="1"/>
  <c r="B11" i="7"/>
  <c r="F3" i="7" s="1"/>
  <c r="D9" i="7"/>
  <c r="F4" i="6"/>
  <c r="C17" i="7"/>
  <c r="E10" i="7"/>
  <c r="D10" i="7"/>
  <c r="D21" i="7"/>
  <c r="B23" i="7"/>
  <c r="F5" i="7" s="1"/>
  <c r="E22" i="7"/>
  <c r="E23" i="7" s="1"/>
  <c r="D22" i="7"/>
  <c r="I7" i="5"/>
  <c r="C3" i="6"/>
  <c r="I6" i="5"/>
  <c r="C2" i="6"/>
  <c r="H6" i="5"/>
  <c r="J6" i="5" s="1"/>
  <c r="F2" i="6"/>
  <c r="I8" i="5"/>
  <c r="C4" i="6"/>
  <c r="H7" i="5"/>
  <c r="J7" i="5" s="1"/>
  <c r="F3" i="6"/>
  <c r="C24" i="5"/>
  <c r="D24" i="5" s="1"/>
  <c r="D26" i="5" s="1"/>
  <c r="I15" i="5" l="1"/>
  <c r="H15" i="5"/>
  <c r="J15" i="5"/>
  <c r="F3" i="10"/>
  <c r="D23" i="10"/>
  <c r="I9" i="9"/>
  <c r="J9" i="9" s="1"/>
  <c r="D23" i="9"/>
  <c r="D17" i="9"/>
  <c r="D17" i="10"/>
  <c r="F4" i="9"/>
  <c r="H4" i="9"/>
  <c r="G4" i="9"/>
  <c r="D11" i="10"/>
  <c r="H5" i="9"/>
  <c r="G5" i="9"/>
  <c r="F5" i="9"/>
  <c r="F3" i="9"/>
  <c r="H3" i="9"/>
  <c r="G3" i="9"/>
  <c r="E11" i="9"/>
  <c r="H10" i="8"/>
  <c r="I10" i="8" s="1"/>
  <c r="D11" i="9"/>
  <c r="I9" i="10"/>
  <c r="J9" i="10" s="1"/>
  <c r="D23" i="8"/>
  <c r="D11" i="8"/>
  <c r="B11" i="8"/>
  <c r="D11" i="7"/>
  <c r="J5" i="4"/>
  <c r="J4" i="4"/>
  <c r="E11" i="7"/>
  <c r="D23" i="7"/>
  <c r="D2" i="6"/>
  <c r="E2" i="6" s="1"/>
  <c r="C13" i="4"/>
  <c r="B14" i="4"/>
  <c r="C14" i="4" s="1"/>
  <c r="H3" i="8" l="1"/>
  <c r="E11" i="8"/>
  <c r="E10" i="8"/>
  <c r="E9" i="8"/>
  <c r="H11" i="8"/>
  <c r="H12" i="8" s="1"/>
  <c r="H13" i="8" s="1"/>
  <c r="J6" i="4"/>
  <c r="G2" i="6"/>
  <c r="I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C24" authorId="0" shapeId="0" xr:uid="{5599E975-88E8-4523-BCC3-73704B60A90B}">
      <text>
        <r>
          <rPr>
            <b/>
            <sz val="9"/>
            <color indexed="81"/>
            <rFont val="Tahoma"/>
            <family val="2"/>
          </rPr>
          <t xml:space="preserve">COST PENGELUARAN /6 BULAN
</t>
        </r>
      </text>
    </comment>
  </commentList>
</comments>
</file>

<file path=xl/sharedStrings.xml><?xml version="1.0" encoding="utf-8"?>
<sst xmlns="http://schemas.openxmlformats.org/spreadsheetml/2006/main" count="2445" uniqueCount="172">
  <si>
    <t>HOST LIVE</t>
  </si>
  <si>
    <t>DATE</t>
  </si>
  <si>
    <t>DAY</t>
  </si>
  <si>
    <t>WEEK</t>
  </si>
  <si>
    <t>MONTH</t>
  </si>
  <si>
    <t>J1</t>
  </si>
  <si>
    <t>REINA</t>
  </si>
  <si>
    <t>J2</t>
  </si>
  <si>
    <t>EGA</t>
  </si>
  <si>
    <t>J3</t>
  </si>
  <si>
    <t>J4</t>
  </si>
  <si>
    <t>J5</t>
  </si>
  <si>
    <t>KETERANGAN</t>
  </si>
  <si>
    <t>TOTALAN PEMBAYARAN UPAH KINI GROUP</t>
  </si>
  <si>
    <t>(HOST LIVE)</t>
  </si>
  <si>
    <t>s/d</t>
  </si>
  <si>
    <t>Periode        :</t>
  </si>
  <si>
    <t>(Hari kerja)</t>
  </si>
  <si>
    <t>Gajih Pokok:</t>
  </si>
  <si>
    <t>/Hari</t>
  </si>
  <si>
    <t>Total hari kerja</t>
  </si>
  <si>
    <t>Total Pembayaran</t>
  </si>
  <si>
    <t>NAMA KARYAWAN</t>
  </si>
  <si>
    <t>EGA SILVIA YUNIAR</t>
  </si>
  <si>
    <t>REINA DWI MAHARANI</t>
  </si>
  <si>
    <t>KODE KET</t>
  </si>
  <si>
    <t>(blank)</t>
  </si>
  <si>
    <t xml:space="preserve"> </t>
  </si>
  <si>
    <t>Count of DATE</t>
  </si>
  <si>
    <t>=</t>
  </si>
  <si>
    <t>Ijin/Sakit/Alfa</t>
  </si>
  <si>
    <t>NAMA      :</t>
  </si>
  <si>
    <t>GAJIHAN</t>
  </si>
  <si>
    <t>IJIN 1</t>
  </si>
  <si>
    <t>BIAYA OPERASIONAL</t>
  </si>
  <si>
    <t xml:space="preserve">AIR + KEAMANAN </t>
  </si>
  <si>
    <t>LISTRIK</t>
  </si>
  <si>
    <t>MAKAN &amp; MINUM</t>
  </si>
  <si>
    <t>GAJIH</t>
  </si>
  <si>
    <t>SAMPLE</t>
  </si>
  <si>
    <t>TOTALAN</t>
  </si>
  <si>
    <t>KOMISI AFFILATE</t>
  </si>
  <si>
    <t>TOTALAN PCS (1 BULAN)</t>
  </si>
  <si>
    <t>TOTALAN PCS (1 HARI)</t>
  </si>
  <si>
    <t>SESI 1</t>
  </si>
  <si>
    <t>SESI 2</t>
  </si>
  <si>
    <t>SESI 3</t>
  </si>
  <si>
    <t>Sum of SESI 1</t>
  </si>
  <si>
    <t>Sum of SESI 2</t>
  </si>
  <si>
    <t>Sum of SESI 3</t>
  </si>
  <si>
    <t>January</t>
  </si>
  <si>
    <t>February</t>
  </si>
  <si>
    <t>March</t>
  </si>
  <si>
    <t>April</t>
  </si>
  <si>
    <t>May</t>
  </si>
  <si>
    <t>June</t>
  </si>
  <si>
    <t>July</t>
  </si>
  <si>
    <t>August</t>
  </si>
  <si>
    <t>September</t>
  </si>
  <si>
    <t>October</t>
  </si>
  <si>
    <t>November</t>
  </si>
  <si>
    <t>December</t>
  </si>
  <si>
    <t>TARGET BULANAN</t>
  </si>
  <si>
    <t>JANUARY</t>
  </si>
  <si>
    <t>FEBRUARY</t>
  </si>
  <si>
    <t>MARCH</t>
  </si>
  <si>
    <t>APRIL</t>
  </si>
  <si>
    <t>MAY</t>
  </si>
  <si>
    <t>JUNE</t>
  </si>
  <si>
    <t>JULY</t>
  </si>
  <si>
    <t>AUGUST</t>
  </si>
  <si>
    <t>SEPTEMBER</t>
  </si>
  <si>
    <t>OCTOBER</t>
  </si>
  <si>
    <t>NOVEMBER</t>
  </si>
  <si>
    <t>DECEMBER</t>
  </si>
  <si>
    <t>TARGET</t>
  </si>
  <si>
    <t>TOTAL</t>
  </si>
  <si>
    <t>%</t>
  </si>
  <si>
    <t>GRAND TOTAL</t>
  </si>
  <si>
    <t>GRAND %</t>
  </si>
  <si>
    <t>- TARGET</t>
  </si>
  <si>
    <t>-%</t>
  </si>
  <si>
    <t>/ORG</t>
  </si>
  <si>
    <t>TOTAL TARGET</t>
  </si>
  <si>
    <t xml:space="preserve">TARGET / HARI </t>
  </si>
  <si>
    <t>PERHITUNGAN BONUS</t>
  </si>
  <si>
    <t>1133 X 6 BULAN</t>
  </si>
  <si>
    <t>KOMISI AFFILIATE</t>
  </si>
  <si>
    <t>PCS</t>
  </si>
  <si>
    <t>TARGET 6 BULAN</t>
  </si>
  <si>
    <t>BONUS 2%</t>
  </si>
  <si>
    <t>(KEUNTUNGAN)</t>
  </si>
  <si>
    <t>(GRAND KEUNTUNGAN)</t>
  </si>
  <si>
    <t>SEMISAL DALAM 6 BULAN TERJUAL</t>
  </si>
  <si>
    <t>KOMISI AFFILIATE (5000)</t>
  </si>
  <si>
    <t>CONTOH KASUS</t>
  </si>
  <si>
    <t>HITUNGAN THR LAMA KERJA / 12 BULAN X GAJIH POKOK</t>
  </si>
  <si>
    <t>BONUS AKHIR TAHUN (BAT)</t>
  </si>
  <si>
    <t>TARGET 1 TAHUN</t>
  </si>
  <si>
    <t>BONUS 1%</t>
  </si>
  <si>
    <t>KHUSUS BULAN APARIL MEI JUNI (3 BULAN)</t>
  </si>
  <si>
    <t>BONUS 1,5%</t>
  </si>
  <si>
    <t>j2</t>
  </si>
  <si>
    <t>LEVEL UP TARGET</t>
  </si>
  <si>
    <t>PENCAPAIAN</t>
  </si>
  <si>
    <t>KOMISI</t>
  </si>
  <si>
    <t>TOTAL CASH IN</t>
  </si>
  <si>
    <t>TUJUAN KINI HOME</t>
  </si>
  <si>
    <t>KRITERIA</t>
  </si>
  <si>
    <t>JUMLAH</t>
  </si>
  <si>
    <t>TARGET PENJUALAN</t>
  </si>
  <si>
    <t>TARGET PCS</t>
  </si>
  <si>
    <t>KALKULASI BONUS DENGAN KETENTUAN</t>
  </si>
  <si>
    <t>STAF NAME</t>
  </si>
  <si>
    <t>TOTAL PENJUALAN</t>
  </si>
  <si>
    <t>TARGET PRODUK</t>
  </si>
  <si>
    <t>BONUS</t>
  </si>
  <si>
    <t>SELAMA 3 BULAN</t>
  </si>
  <si>
    <t>MERAH</t>
  </si>
  <si>
    <t>IKLAN</t>
  </si>
  <si>
    <t>VT</t>
  </si>
  <si>
    <t>MEI</t>
  </si>
  <si>
    <t>JUNI</t>
  </si>
  <si>
    <t>Sum of VT</t>
  </si>
  <si>
    <t>target</t>
  </si>
  <si>
    <t>juni</t>
  </si>
  <si>
    <t>april</t>
  </si>
  <si>
    <t>mei</t>
  </si>
  <si>
    <t>KEUNTUNGAN 25%</t>
  </si>
  <si>
    <t>60 PCS</t>
  </si>
  <si>
    <t>30PCS</t>
  </si>
  <si>
    <t>total</t>
  </si>
  <si>
    <t>bonus</t>
  </si>
  <si>
    <t>KOTOR</t>
  </si>
  <si>
    <t>BERSIH</t>
  </si>
  <si>
    <t>j1</t>
  </si>
  <si>
    <t>UP TARGET JADI 3%</t>
  </si>
  <si>
    <t>pencapaian 1/2 dari target</t>
  </si>
  <si>
    <t>1/2 HARI</t>
  </si>
  <si>
    <t>LEMBUR</t>
  </si>
  <si>
    <t>j3</t>
  </si>
  <si>
    <t>UP TARGET</t>
  </si>
  <si>
    <t>TIDAK CAPAI TARGET</t>
  </si>
  <si>
    <t>Basil</t>
  </si>
  <si>
    <t>uptarget</t>
  </si>
  <si>
    <t>+1 jam</t>
  </si>
  <si>
    <t>2 jam</t>
  </si>
  <si>
    <t>1/2 hari</t>
  </si>
  <si>
    <t>Tunjangan makan</t>
  </si>
  <si>
    <t>Bruto</t>
  </si>
  <si>
    <t>/</t>
  </si>
  <si>
    <t>Lembur jam</t>
  </si>
  <si>
    <t>Bonus</t>
  </si>
  <si>
    <t>1. Gajih merupakan bayaran harian di 25 Hari kerja.</t>
  </si>
  <si>
    <t>2. Jika berhalangan hadir (ijin/sakit) akan di potong sesuai upah harian.</t>
  </si>
  <si>
    <t>Notes:</t>
  </si>
  <si>
    <t>4. Thr mengikuti Gapok.</t>
  </si>
  <si>
    <t>j5</t>
  </si>
  <si>
    <t>GEFIRA SITI NURHALIJAH</t>
  </si>
  <si>
    <t>GEFIRA</t>
  </si>
  <si>
    <t>EKI</t>
  </si>
  <si>
    <t>REVKI FIRDAUS</t>
  </si>
  <si>
    <t>GUDANG</t>
  </si>
  <si>
    <t>Sum of LEMBUR</t>
  </si>
  <si>
    <t>Jumlah jam</t>
  </si>
  <si>
    <t>lembur</t>
  </si>
  <si>
    <t>RADIT</t>
  </si>
  <si>
    <t>SELAMA 1 BULAN</t>
  </si>
  <si>
    <t>(M)</t>
  </si>
  <si>
    <t>Tunjangan transport</t>
  </si>
  <si>
    <t>done</t>
  </si>
  <si>
    <t>3. Lembur di hitung sesuai dengan upah harian/per jam.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</si>
</sst>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Rp&quot;* #,##0.00_-;\-&quot;Rp&quot;* #,##0.00_-;_-&quot;Rp&quot;* &quot;-&quot;??_-;_-@_-"/>
    <numFmt numFmtId="164" formatCode="[$-13809]dd/mm/yy;@"/>
    <numFmt numFmtId="165" formatCode="_-&quot;Rp&quot;* #,##0_-;\-&quot;Rp&quot;* #,##0_-;_-&quot;Rp&quot;* &quot;-&quot;??_-;_-@_-"/>
    <numFmt numFmtId="166" formatCode="0.0%"/>
    <numFmt numFmtId="167" formatCode="_-&quot;Rp&quot;* #,##0.0_-;\-&quot;Rp&quot;* #,##0.0_-;_-&quot;Rp&quot;* &quot;-&quot;?_-;_-@_-"/>
  </numFmts>
  <fonts count="20" x14ac:knownFonts="1">
    <font>
      <sz val="11"/>
      <color theme="1"/>
      <name val="Calibri"/>
      <family val="2"/>
      <charset val="1"/>
      <scheme val="minor"/>
    </font>
    <font>
      <sz val="11"/>
      <color theme="1"/>
      <name val="Calibri"/>
      <family val="2"/>
      <scheme val="minor"/>
    </font>
    <font>
      <sz val="72"/>
      <color theme="1"/>
      <name val="Calibri"/>
      <family val="2"/>
      <scheme val="minor"/>
    </font>
    <font>
      <b/>
      <sz val="11"/>
      <color theme="1"/>
      <name val="Calibri"/>
      <family val="2"/>
      <scheme val="minor"/>
    </font>
    <font>
      <b/>
      <sz val="11"/>
      <color rgb="FFFF0000"/>
      <name val="Calibri"/>
      <family val="2"/>
      <scheme val="minor"/>
    </font>
    <font>
      <sz val="8"/>
      <color theme="1"/>
      <name val="Calibri"/>
      <family val="2"/>
      <charset val="1"/>
      <scheme val="minor"/>
    </font>
    <font>
      <sz val="11"/>
      <color theme="1"/>
      <name val="Calibri"/>
      <family val="2"/>
      <charset val="1"/>
      <scheme val="minor"/>
    </font>
    <font>
      <sz val="8"/>
      <name val="Calibri"/>
      <family val="2"/>
      <charset val="1"/>
      <scheme val="minor"/>
    </font>
    <font>
      <sz val="11"/>
      <color rgb="FFFF0000"/>
      <name val="Calibri"/>
      <family val="2"/>
      <charset val="1"/>
      <scheme val="minor"/>
    </font>
    <font>
      <b/>
      <sz val="9"/>
      <color indexed="81"/>
      <name val="Tahoma"/>
      <family val="2"/>
    </font>
    <font>
      <sz val="11"/>
      <name val="Calibri"/>
      <family val="2"/>
      <charset val="1"/>
      <scheme val="minor"/>
    </font>
    <font>
      <b/>
      <sz val="11"/>
      <name val="Calibri"/>
      <family val="2"/>
      <scheme val="minor"/>
    </font>
    <font>
      <u val="singleAccounting"/>
      <sz val="8"/>
      <color theme="1"/>
      <name val="Calibri"/>
      <family val="2"/>
      <charset val="1"/>
      <scheme val="minor"/>
    </font>
    <font>
      <sz val="14"/>
      <color theme="1"/>
      <name val="Calibri"/>
      <family val="2"/>
      <charset val="1"/>
      <scheme val="minor"/>
    </font>
    <font>
      <b/>
      <sz val="14"/>
      <color theme="1"/>
      <name val="Calibri"/>
      <family val="2"/>
      <scheme val="minor"/>
    </font>
    <font>
      <b/>
      <u val="singleAccounting"/>
      <sz val="14"/>
      <color theme="1"/>
      <name val="Calibri"/>
      <family val="2"/>
      <scheme val="minor"/>
    </font>
    <font>
      <b/>
      <sz val="9"/>
      <color theme="1"/>
      <name val="Calibri"/>
      <family val="2"/>
      <scheme val="minor"/>
    </font>
    <font>
      <sz val="10"/>
      <color theme="1"/>
      <name val="Calibri"/>
      <family val="2"/>
      <scheme val="minor"/>
    </font>
    <font>
      <sz val="8"/>
      <color rgb="FFFF0000"/>
      <name val="Calibri"/>
      <family val="2"/>
      <charset val="1"/>
      <scheme val="minor"/>
    </font>
    <font>
      <u val="singleAccounting"/>
      <sz val="8"/>
      <color rgb="FFFF0000"/>
      <name val="Calibri"/>
      <family val="2"/>
      <charset val="1"/>
      <scheme val="minor"/>
    </font>
  </fonts>
  <fills count="12">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0000"/>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9"/>
        <bgColor indexed="64"/>
      </patternFill>
    </fill>
    <fill>
      <patternFill patternType="solid">
        <fgColor rgb="FF92D050"/>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9" fontId="6" fillId="0" borderId="0" applyFont="0" applyFill="0" applyBorder="0" applyAlignment="0" applyProtection="0"/>
  </cellStyleXfs>
  <cellXfs count="127">
    <xf numFmtId="0" fontId="0" fillId="0" borderId="0" xfId="0"/>
    <xf numFmtId="0" fontId="3" fillId="2" borderId="2" xfId="0" applyFont="1" applyFill="1" applyBorder="1" applyAlignment="1">
      <alignment horizontal="center"/>
    </xf>
    <xf numFmtId="164" fontId="0" fillId="0" borderId="2" xfId="0" applyNumberFormat="1" applyBorder="1" applyAlignment="1">
      <alignment horizontal="center"/>
    </xf>
    <xf numFmtId="0" fontId="0" fillId="0" borderId="2" xfId="0" applyBorder="1" applyAlignment="1">
      <alignment horizontal="center"/>
    </xf>
    <xf numFmtId="0" fontId="0" fillId="3" borderId="0" xfId="0" applyFill="1"/>
    <xf numFmtId="0" fontId="0" fillId="4" borderId="0" xfId="0" applyFill="1"/>
    <xf numFmtId="0" fontId="0" fillId="5" borderId="0" xfId="0" applyFill="1"/>
    <xf numFmtId="0" fontId="0" fillId="6" borderId="2" xfId="0" applyFill="1" applyBorder="1" applyAlignment="1">
      <alignment horizontal="center"/>
    </xf>
    <xf numFmtId="0" fontId="3" fillId="7" borderId="0" xfId="0" applyFont="1" applyFill="1" applyAlignment="1">
      <alignment horizontal="center" vertical="center"/>
    </xf>
    <xf numFmtId="0" fontId="0" fillId="7" borderId="0" xfId="0" applyFill="1" applyAlignment="1">
      <alignment horizontal="center" vertical="center"/>
    </xf>
    <xf numFmtId="0" fontId="0" fillId="6" borderId="0" xfId="0" applyFill="1"/>
    <xf numFmtId="0" fontId="0" fillId="7" borderId="0" xfId="0" applyFill="1"/>
    <xf numFmtId="0" fontId="0" fillId="0" borderId="2" xfId="0" applyBorder="1"/>
    <xf numFmtId="0" fontId="0" fillId="0" borderId="0" xfId="0" pivotButton="1"/>
    <xf numFmtId="0" fontId="0" fillId="8" borderId="3" xfId="0" applyFill="1" applyBorder="1"/>
    <xf numFmtId="0" fontId="0" fillId="8" borderId="4" xfId="0" applyFill="1" applyBorder="1"/>
    <xf numFmtId="14" fontId="0" fillId="8" borderId="4" xfId="0" applyNumberFormat="1" applyFill="1" applyBorder="1"/>
    <xf numFmtId="14" fontId="0" fillId="8" borderId="5" xfId="0" applyNumberFormat="1" applyFill="1" applyBorder="1"/>
    <xf numFmtId="0" fontId="0" fillId="8" borderId="6" xfId="0" applyFill="1" applyBorder="1"/>
    <xf numFmtId="0" fontId="0" fillId="8" borderId="7" xfId="0" applyFill="1" applyBorder="1"/>
    <xf numFmtId="0" fontId="0" fillId="8" borderId="8" xfId="0" applyFill="1" applyBorder="1"/>
    <xf numFmtId="0" fontId="0" fillId="8" borderId="9" xfId="0" applyFill="1" applyBorder="1"/>
    <xf numFmtId="165" fontId="0" fillId="8" borderId="9" xfId="0" applyNumberFormat="1" applyFill="1" applyBorder="1"/>
    <xf numFmtId="0" fontId="0" fillId="8" borderId="10" xfId="0" applyFill="1" applyBorder="1"/>
    <xf numFmtId="0" fontId="5" fillId="8" borderId="7" xfId="0" applyFont="1" applyFill="1" applyBorder="1" applyAlignment="1">
      <alignment horizontal="left"/>
    </xf>
    <xf numFmtId="165" fontId="0" fillId="0" borderId="0" xfId="0" applyNumberFormat="1"/>
    <xf numFmtId="0" fontId="0" fillId="2" borderId="0" xfId="0" applyFill="1"/>
    <xf numFmtId="0" fontId="3" fillId="2" borderId="0" xfId="0" applyFont="1" applyFill="1" applyAlignment="1">
      <alignment horizontal="center"/>
    </xf>
    <xf numFmtId="0" fontId="0" fillId="0" borderId="0" xfId="0" quotePrefix="1"/>
    <xf numFmtId="9" fontId="0" fillId="0" borderId="2" xfId="1" applyFont="1" applyBorder="1" applyAlignment="1">
      <alignment horizontal="center"/>
    </xf>
    <xf numFmtId="9" fontId="0" fillId="0" borderId="2" xfId="0" applyNumberFormat="1" applyBorder="1" applyAlignment="1">
      <alignment horizontal="center"/>
    </xf>
    <xf numFmtId="0" fontId="0" fillId="0" borderId="2" xfId="1" applyNumberFormat="1" applyFont="1" applyBorder="1" applyAlignment="1">
      <alignment horizontal="center"/>
    </xf>
    <xf numFmtId="0" fontId="0" fillId="9" borderId="2" xfId="0" applyFill="1" applyBorder="1" applyAlignment="1">
      <alignment horizontal="center"/>
    </xf>
    <xf numFmtId="0" fontId="0" fillId="9" borderId="2" xfId="0" quotePrefix="1" applyFill="1" applyBorder="1" applyAlignment="1">
      <alignment horizontal="center"/>
    </xf>
    <xf numFmtId="165" fontId="8" fillId="0" borderId="0" xfId="0" applyNumberFormat="1" applyFont="1"/>
    <xf numFmtId="0" fontId="8" fillId="0" borderId="0" xfId="0" applyFont="1"/>
    <xf numFmtId="0" fontId="0" fillId="9" borderId="2" xfId="0" applyFill="1" applyBorder="1" applyAlignment="1">
      <alignment horizontal="left"/>
    </xf>
    <xf numFmtId="10" fontId="0" fillId="0" borderId="0" xfId="0" applyNumberFormat="1"/>
    <xf numFmtId="165" fontId="3" fillId="2" borderId="0" xfId="0" applyNumberFormat="1" applyFont="1" applyFill="1"/>
    <xf numFmtId="0" fontId="0" fillId="10" borderId="2" xfId="0" applyFill="1" applyBorder="1" applyAlignment="1">
      <alignment horizontal="center"/>
    </xf>
    <xf numFmtId="9" fontId="0" fillId="0" borderId="0" xfId="1" applyFont="1"/>
    <xf numFmtId="1" fontId="0" fillId="0" borderId="0" xfId="1" applyNumberFormat="1" applyFont="1"/>
    <xf numFmtId="1" fontId="0" fillId="0" borderId="0" xfId="0" applyNumberFormat="1"/>
    <xf numFmtId="9" fontId="0" fillId="0" borderId="0" xfId="0" applyNumberFormat="1"/>
    <xf numFmtId="165" fontId="0" fillId="0" borderId="2" xfId="0" applyNumberFormat="1" applyBorder="1"/>
    <xf numFmtId="166" fontId="0" fillId="0" borderId="2" xfId="0" applyNumberFormat="1" applyBorder="1"/>
    <xf numFmtId="165" fontId="0" fillId="0" borderId="2" xfId="0" applyNumberFormat="1" applyBorder="1" applyAlignment="1">
      <alignment horizontal="center"/>
    </xf>
    <xf numFmtId="0" fontId="0" fillId="10" borderId="2" xfId="0" applyFill="1" applyBorder="1"/>
    <xf numFmtId="9" fontId="0" fillId="10" borderId="2" xfId="1" applyFont="1" applyFill="1" applyBorder="1" applyAlignment="1">
      <alignment horizontal="center"/>
    </xf>
    <xf numFmtId="167" fontId="0" fillId="0" borderId="0" xfId="0" applyNumberFormat="1"/>
    <xf numFmtId="9" fontId="0" fillId="0" borderId="2" xfId="1" applyFont="1" applyFill="1" applyBorder="1" applyAlignment="1">
      <alignment horizontal="center"/>
    </xf>
    <xf numFmtId="9" fontId="0" fillId="0" borderId="2" xfId="1" applyFont="1" applyBorder="1"/>
    <xf numFmtId="165" fontId="3" fillId="0" borderId="2" xfId="0" applyNumberFormat="1" applyFont="1" applyBorder="1"/>
    <xf numFmtId="165" fontId="0" fillId="0" borderId="0" xfId="0" applyNumberFormat="1" applyAlignment="1">
      <alignment horizontal="center"/>
    </xf>
    <xf numFmtId="2" fontId="0" fillId="0" borderId="0" xfId="0" applyNumberFormat="1"/>
    <xf numFmtId="167" fontId="0" fillId="0" borderId="0" xfId="0" applyNumberFormat="1" applyAlignment="1">
      <alignment horizontal="left"/>
    </xf>
    <xf numFmtId="165" fontId="0" fillId="11" borderId="0" xfId="0" applyNumberFormat="1" applyFill="1" applyAlignment="1">
      <alignment horizontal="center"/>
    </xf>
    <xf numFmtId="165" fontId="0" fillId="2" borderId="0" xfId="0" applyNumberFormat="1" applyFill="1"/>
    <xf numFmtId="166" fontId="0" fillId="2" borderId="0" xfId="0" applyNumberFormat="1" applyFill="1"/>
    <xf numFmtId="0" fontId="0" fillId="0" borderId="0" xfId="0" applyAlignment="1">
      <alignment horizontal="right"/>
    </xf>
    <xf numFmtId="0" fontId="0" fillId="0" borderId="0" xfId="0" applyAlignment="1">
      <alignment horizontal="center"/>
    </xf>
    <xf numFmtId="0" fontId="0" fillId="10" borderId="14" xfId="0" applyFill="1" applyBorder="1" applyAlignment="1">
      <alignment horizontal="center"/>
    </xf>
    <xf numFmtId="0" fontId="4" fillId="0" borderId="0" xfId="0" applyFont="1"/>
    <xf numFmtId="165" fontId="0" fillId="2" borderId="0" xfId="0" applyNumberFormat="1" applyFill="1" applyAlignment="1">
      <alignment horizontal="center"/>
    </xf>
    <xf numFmtId="0" fontId="0" fillId="2" borderId="0" xfId="0" quotePrefix="1" applyFill="1"/>
    <xf numFmtId="44" fontId="0" fillId="0" borderId="0" xfId="0" applyNumberFormat="1"/>
    <xf numFmtId="165" fontId="0" fillId="8" borderId="7" xfId="0" applyNumberFormat="1" applyFill="1" applyBorder="1"/>
    <xf numFmtId="0" fontId="0" fillId="8" borderId="0" xfId="0" applyFill="1"/>
    <xf numFmtId="0" fontId="5" fillId="8" borderId="0" xfId="0" applyFont="1" applyFill="1" applyAlignment="1">
      <alignment horizontal="left"/>
    </xf>
    <xf numFmtId="165" fontId="0" fillId="8" borderId="0" xfId="0" applyNumberFormat="1" applyFill="1"/>
    <xf numFmtId="165" fontId="5" fillId="8" borderId="0" xfId="0" applyNumberFormat="1" applyFont="1" applyFill="1" applyAlignment="1">
      <alignment horizontal="left"/>
    </xf>
    <xf numFmtId="0" fontId="3" fillId="8" borderId="0" xfId="0" applyFont="1" applyFill="1" applyAlignment="1">
      <alignment horizontal="right"/>
    </xf>
    <xf numFmtId="0" fontId="0" fillId="8" borderId="0" xfId="0" quotePrefix="1" applyFill="1"/>
    <xf numFmtId="0" fontId="0" fillId="8" borderId="0" xfId="0" applyFill="1" applyAlignment="1">
      <alignment horizontal="right"/>
    </xf>
    <xf numFmtId="165" fontId="0" fillId="8" borderId="0" xfId="0" applyNumberFormat="1" applyFill="1" applyAlignment="1">
      <alignment horizontal="right"/>
    </xf>
    <xf numFmtId="165" fontId="0" fillId="8" borderId="0" xfId="0" quotePrefix="1" applyNumberFormat="1" applyFill="1"/>
    <xf numFmtId="0" fontId="8" fillId="8" borderId="0" xfId="0" applyFont="1" applyFill="1"/>
    <xf numFmtId="0" fontId="3" fillId="8" borderId="9" xfId="0" applyFont="1" applyFill="1" applyBorder="1" applyAlignment="1">
      <alignment horizontal="right"/>
    </xf>
    <xf numFmtId="0" fontId="8" fillId="8" borderId="9" xfId="0" applyFont="1" applyFill="1" applyBorder="1"/>
    <xf numFmtId="165" fontId="0" fillId="8" borderId="9" xfId="0" quotePrefix="1" applyNumberFormat="1" applyFill="1" applyBorder="1"/>
    <xf numFmtId="165" fontId="10" fillId="8" borderId="9" xfId="0" applyNumberFormat="1" applyFont="1" applyFill="1" applyBorder="1"/>
    <xf numFmtId="0" fontId="0" fillId="0" borderId="15" xfId="0" applyBorder="1" applyAlignment="1">
      <alignment horizontal="center"/>
    </xf>
    <xf numFmtId="9" fontId="0" fillId="0" borderId="15" xfId="1" applyFont="1" applyFill="1" applyBorder="1" applyAlignment="1">
      <alignment horizontal="center"/>
    </xf>
    <xf numFmtId="9" fontId="0" fillId="0" borderId="15" xfId="0" applyNumberFormat="1" applyBorder="1" applyAlignment="1">
      <alignment horizontal="center"/>
    </xf>
    <xf numFmtId="0" fontId="0" fillId="0" borderId="15" xfId="1" applyNumberFormat="1" applyFont="1" applyBorder="1" applyAlignment="1">
      <alignment horizontal="center"/>
    </xf>
    <xf numFmtId="0" fontId="11" fillId="0" borderId="16" xfId="0" applyFont="1" applyBorder="1" applyAlignment="1">
      <alignment horizontal="center"/>
    </xf>
    <xf numFmtId="0" fontId="3" fillId="0" borderId="17" xfId="0" applyFont="1" applyBorder="1" applyAlignment="1">
      <alignment horizontal="center"/>
    </xf>
    <xf numFmtId="9" fontId="3" fillId="0" borderId="17" xfId="1" applyFont="1" applyBorder="1" applyAlignment="1">
      <alignment horizontal="center"/>
    </xf>
    <xf numFmtId="0" fontId="4" fillId="0" borderId="17" xfId="0" applyFont="1" applyBorder="1" applyAlignment="1">
      <alignment horizontal="center"/>
    </xf>
    <xf numFmtId="9" fontId="4" fillId="0" borderId="18" xfId="1" applyFont="1" applyBorder="1" applyAlignment="1">
      <alignment horizontal="center"/>
    </xf>
    <xf numFmtId="165" fontId="12" fillId="8" borderId="0" xfId="0" applyNumberFormat="1" applyFont="1" applyFill="1" applyAlignment="1">
      <alignment horizontal="left"/>
    </xf>
    <xf numFmtId="0" fontId="5" fillId="8" borderId="0" xfId="0" quotePrefix="1" applyFont="1" applyFill="1" applyAlignment="1">
      <alignment horizontal="left"/>
    </xf>
    <xf numFmtId="0" fontId="5" fillId="8" borderId="7" xfId="0" quotePrefix="1" applyFont="1" applyFill="1" applyBorder="1" applyAlignment="1">
      <alignment horizontal="left"/>
    </xf>
    <xf numFmtId="165" fontId="10" fillId="8" borderId="0" xfId="0" applyNumberFormat="1" applyFont="1" applyFill="1"/>
    <xf numFmtId="0" fontId="13" fillId="8" borderId="0" xfId="0" applyFont="1" applyFill="1"/>
    <xf numFmtId="0" fontId="14" fillId="8" borderId="6" xfId="0" applyFont="1" applyFill="1" applyBorder="1"/>
    <xf numFmtId="0" fontId="1" fillId="8" borderId="0" xfId="0" applyFont="1" applyFill="1"/>
    <xf numFmtId="165" fontId="15" fillId="8" borderId="0" xfId="0" applyNumberFormat="1" applyFont="1" applyFill="1"/>
    <xf numFmtId="0" fontId="16" fillId="8" borderId="6" xfId="0" applyFont="1" applyFill="1" applyBorder="1" applyAlignment="1">
      <alignment horizontal="left" vertical="center" wrapText="1"/>
    </xf>
    <xf numFmtId="0" fontId="17" fillId="8" borderId="6" xfId="0" applyFont="1" applyFill="1" applyBorder="1" applyAlignment="1">
      <alignment vertical="top"/>
    </xf>
    <xf numFmtId="0" fontId="0" fillId="8" borderId="8" xfId="0" applyFill="1" applyBorder="1" applyAlignment="1">
      <alignment vertical="top"/>
    </xf>
    <xf numFmtId="0" fontId="0" fillId="0" borderId="2" xfId="1" applyNumberFormat="1" applyFont="1" applyFill="1" applyBorder="1" applyAlignment="1">
      <alignment horizontal="center"/>
    </xf>
    <xf numFmtId="10" fontId="0" fillId="0" borderId="2" xfId="0" applyNumberFormat="1" applyBorder="1" applyAlignment="1">
      <alignment horizontal="center"/>
    </xf>
    <xf numFmtId="0" fontId="0" fillId="0" borderId="6" xfId="0" applyBorder="1"/>
    <xf numFmtId="0" fontId="0" fillId="8" borderId="9" xfId="0" applyFill="1" applyBorder="1" applyAlignment="1">
      <alignment horizontal="right"/>
    </xf>
    <xf numFmtId="0" fontId="0" fillId="2" borderId="0" xfId="0" applyFill="1" applyAlignment="1">
      <alignment horizontal="center" vertical="center"/>
    </xf>
    <xf numFmtId="17" fontId="0" fillId="8" borderId="6" xfId="0" applyNumberFormat="1" applyFill="1" applyBorder="1"/>
    <xf numFmtId="1" fontId="0" fillId="8" borderId="7" xfId="0" applyNumberFormat="1" applyFill="1" applyBorder="1" applyAlignment="1">
      <alignment horizontal="left"/>
    </xf>
    <xf numFmtId="0" fontId="0" fillId="8" borderId="0" xfId="0" applyFill="1" applyAlignment="1">
      <alignment horizontal="left"/>
    </xf>
    <xf numFmtId="164" fontId="0" fillId="2" borderId="2" xfId="0" applyNumberFormat="1" applyFill="1" applyBorder="1" applyAlignment="1">
      <alignment horizontal="center"/>
    </xf>
    <xf numFmtId="0" fontId="0" fillId="2" borderId="2" xfId="0" applyFill="1" applyBorder="1" applyAlignment="1">
      <alignment horizontal="center"/>
    </xf>
    <xf numFmtId="0" fontId="0" fillId="2" borderId="2" xfId="1" applyNumberFormat="1" applyFont="1" applyFill="1" applyBorder="1" applyAlignment="1">
      <alignment horizontal="center"/>
    </xf>
    <xf numFmtId="0" fontId="3" fillId="8" borderId="0" xfId="0" applyFont="1" applyFill="1" applyAlignment="1">
      <alignment horizontal="center"/>
    </xf>
    <xf numFmtId="165" fontId="18" fillId="8" borderId="0" xfId="0" applyNumberFormat="1" applyFont="1" applyFill="1" applyAlignment="1">
      <alignment horizontal="left"/>
    </xf>
    <xf numFmtId="165" fontId="19" fillId="8" borderId="0" xfId="0" applyNumberFormat="1" applyFont="1" applyFill="1" applyAlignment="1">
      <alignment horizontal="left"/>
    </xf>
    <xf numFmtId="0" fontId="2" fillId="0" borderId="1" xfId="0" applyFont="1" applyBorder="1" applyAlignment="1">
      <alignment horizontal="center" vertical="center"/>
    </xf>
    <xf numFmtId="0" fontId="3" fillId="2" borderId="0" xfId="0" applyFont="1" applyFill="1" applyAlignment="1">
      <alignment horizontal="center"/>
    </xf>
    <xf numFmtId="0" fontId="3" fillId="2" borderId="0" xfId="0" applyFont="1" applyFill="1" applyAlignment="1">
      <alignment horizontal="left"/>
    </xf>
    <xf numFmtId="0" fontId="0" fillId="9" borderId="2" xfId="0" quotePrefix="1" applyFill="1" applyBorder="1" applyAlignment="1">
      <alignment horizontal="center"/>
    </xf>
    <xf numFmtId="0" fontId="0" fillId="9" borderId="11" xfId="0" applyFill="1" applyBorder="1" applyAlignment="1">
      <alignment horizontal="center" vertical="center"/>
    </xf>
    <xf numFmtId="0" fontId="0" fillId="9" borderId="12" xfId="0" applyFill="1" applyBorder="1" applyAlignment="1">
      <alignment horizontal="center" vertical="center"/>
    </xf>
    <xf numFmtId="165" fontId="0" fillId="0" borderId="0" xfId="0" applyNumberFormat="1" applyAlignment="1">
      <alignment horizontal="center"/>
    </xf>
    <xf numFmtId="0" fontId="0" fillId="0" borderId="0" xfId="0" applyAlignment="1">
      <alignment horizontal="center"/>
    </xf>
    <xf numFmtId="0" fontId="0" fillId="10" borderId="12" xfId="0" applyFill="1" applyBorder="1" applyAlignment="1">
      <alignment horizontal="center"/>
    </xf>
    <xf numFmtId="0" fontId="0" fillId="10" borderId="1" xfId="0" applyFill="1" applyBorder="1" applyAlignment="1">
      <alignment horizontal="center"/>
    </xf>
    <xf numFmtId="0" fontId="0" fillId="0" borderId="13" xfId="0" applyBorder="1" applyAlignment="1">
      <alignment horizontal="right"/>
    </xf>
    <xf numFmtId="0" fontId="0" fillId="0" borderId="0" xfId="0" applyNumberFormat="1"/>
  </cellXfs>
  <cellStyles count="2">
    <cellStyle name="Normal" xfId="0" builtinId="0"/>
    <cellStyle name="Percent" xfId="1" builtinId="5"/>
  </cellStyles>
  <dxfs count="38">
    <dxf>
      <fill>
        <patternFill>
          <bgColor rgb="FF92D05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5700"/>
      </font>
      <fill>
        <patternFill>
          <bgColor rgb="FFFFEB9C"/>
        </patternFill>
      </fill>
    </dxf>
    <dxf>
      <font>
        <color rgb="FF9C0006"/>
      </font>
    </dxf>
    <dxf>
      <font>
        <color rgb="FF9C0006"/>
      </font>
      <fill>
        <patternFill>
          <bgColor rgb="FFFFC7CE"/>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8.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5.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4.xml"/><Relationship Id="rId27" Type="http://schemas.openxmlformats.org/officeDocument/2006/relationships/theme" Target="theme/theme1.xml"/><Relationship Id="rId30"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hyperlink" Target="#rumus!A1"/></Relationships>
</file>

<file path=xl/drawings/_rels/drawing2.xml.rels><?xml version="1.0" encoding="UTF-8" standalone="yes"?>
<Relationships xmlns="http://schemas.openxmlformats.org/package/2006/relationships"><Relationship Id="rId1" Type="http://schemas.openxmlformats.org/officeDocument/2006/relationships/hyperlink" Target="#rumus!A1"/></Relationships>
</file>

<file path=xl/drawings/_rels/drawing3.xml.rels><?xml version="1.0" encoding="UTF-8" standalone="yes"?>
<Relationships xmlns="http://schemas.openxmlformats.org/package/2006/relationships"><Relationship Id="rId1" Type="http://schemas.openxmlformats.org/officeDocument/2006/relationships/hyperlink" Target="#rumus!A1"/></Relationships>
</file>

<file path=xl/drawings/_rels/drawing4.xml.rels><?xml version="1.0" encoding="UTF-8" standalone="yes"?>
<Relationships xmlns="http://schemas.openxmlformats.org/package/2006/relationships"><Relationship Id="rId1" Type="http://schemas.openxmlformats.org/officeDocument/2006/relationships/hyperlink" Target="#rumus!A1"/></Relationships>
</file>

<file path=xl/drawings/drawing1.xml><?xml version="1.0" encoding="utf-8"?>
<xdr:wsDr xmlns:xdr="http://schemas.openxmlformats.org/drawingml/2006/spreadsheetDrawing" xmlns:a="http://schemas.openxmlformats.org/drawingml/2006/main">
  <xdr:twoCellAnchor>
    <xdr:from>
      <xdr:col>13</xdr:col>
      <xdr:colOff>206314</xdr:colOff>
      <xdr:row>0</xdr:row>
      <xdr:rowOff>266269</xdr:rowOff>
    </xdr:from>
    <xdr:to>
      <xdr:col>15</xdr:col>
      <xdr:colOff>117031</xdr:colOff>
      <xdr:row>0</xdr:row>
      <xdr:rowOff>563449</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CB0923FD-1F53-462E-9736-449D661DC27D}"/>
            </a:ext>
          </a:extLst>
        </xdr:cNvPr>
        <xdr:cNvSpPr/>
      </xdr:nvSpPr>
      <xdr:spPr>
        <a:xfrm>
          <a:off x="6237616" y="266269"/>
          <a:ext cx="1132792" cy="297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266700</xdr:colOff>
      <xdr:row>0</xdr:row>
      <xdr:rowOff>312420</xdr:rowOff>
    </xdr:from>
    <xdr:to>
      <xdr:col>15</xdr:col>
      <xdr:colOff>365760</xdr:colOff>
      <xdr:row>0</xdr:row>
      <xdr:rowOff>609600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A2DD9EC-695A-461B-9C68-05C47916B5CD}"/>
            </a:ext>
          </a:extLst>
        </xdr:cNvPr>
        <xdr:cNvSpPr/>
      </xdr:nvSpPr>
      <xdr:spPr>
        <a:xfrm>
          <a:off x="6477000" y="312420"/>
          <a:ext cx="1318260" cy="297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t>BACK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266700</xdr:colOff>
      <xdr:row>0</xdr:row>
      <xdr:rowOff>312420</xdr:rowOff>
    </xdr:from>
    <xdr:to>
      <xdr:col>12</xdr:col>
      <xdr:colOff>365760</xdr:colOff>
      <xdr:row>0</xdr:row>
      <xdr:rowOff>609600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BA1C921-9063-459C-9DC7-FA8446C001A9}"/>
            </a:ext>
          </a:extLst>
        </xdr:cNvPr>
        <xdr:cNvSpPr/>
      </xdr:nvSpPr>
      <xdr:spPr>
        <a:xfrm>
          <a:off x="8432800" y="312420"/>
          <a:ext cx="1318260" cy="297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t>BACK</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266700</xdr:colOff>
      <xdr:row>0</xdr:row>
      <xdr:rowOff>312420</xdr:rowOff>
    </xdr:from>
    <xdr:to>
      <xdr:col>12</xdr:col>
      <xdr:colOff>365760</xdr:colOff>
      <xdr:row>0</xdr:row>
      <xdr:rowOff>609600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AF134BA3-A2CD-4E05-8616-E44411DAB8EF}"/>
            </a:ext>
          </a:extLst>
        </xdr:cNvPr>
        <xdr:cNvSpPr/>
      </xdr:nvSpPr>
      <xdr:spPr>
        <a:xfrm>
          <a:off x="7327900" y="312420"/>
          <a:ext cx="1318260" cy="297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t>BACK</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20050</xdr:colOff>
      <xdr:row>8</xdr:row>
      <xdr:rowOff>51933</xdr:rowOff>
    </xdr:from>
    <xdr:to>
      <xdr:col>18</xdr:col>
      <xdr:colOff>865968</xdr:colOff>
      <xdr:row>20</xdr:row>
      <xdr:rowOff>177299</xdr:rowOff>
    </xdr:to>
    <mc:AlternateContent xmlns:mc="http://schemas.openxmlformats.org/markup-compatibility/2006" xmlns:a14="http://schemas.microsoft.com/office/drawing/2010/main">
      <mc:Choice Requires="a14">
        <xdr:graphicFrame macro="">
          <xdr:nvGraphicFramePr>
            <xdr:cNvPr id="6" name="DATE">
              <a:extLst>
                <a:ext uri="{FF2B5EF4-FFF2-40B4-BE49-F238E27FC236}">
                  <a16:creationId xmlns:a16="http://schemas.microsoft.com/office/drawing/2014/main" id="{385276FA-2168-D3DC-1C4F-C7ECA3CF9E8C}"/>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7531193" y="1331004"/>
              <a:ext cx="5535847" cy="235693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118300</xdr:colOff>
      <xdr:row>30</xdr:row>
      <xdr:rowOff>15380</xdr:rowOff>
    </xdr:from>
    <xdr:to>
      <xdr:col>18</xdr:col>
      <xdr:colOff>208125</xdr:colOff>
      <xdr:row>44</xdr:row>
      <xdr:rowOff>144410</xdr:rowOff>
    </xdr:to>
    <mc:AlternateContent xmlns:mc="http://schemas.openxmlformats.org/markup-compatibility/2006" xmlns:a14="http://schemas.microsoft.com/office/drawing/2010/main">
      <mc:Choice Requires="a14">
        <xdr:graphicFrame macro="">
          <xdr:nvGraphicFramePr>
            <xdr:cNvPr id="7" name="DATE 1">
              <a:extLst>
                <a:ext uri="{FF2B5EF4-FFF2-40B4-BE49-F238E27FC236}">
                  <a16:creationId xmlns:a16="http://schemas.microsoft.com/office/drawing/2014/main" id="{8A5C3A65-196A-946D-EEB2-BFFD7A007417}"/>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7729229" y="5313094"/>
              <a:ext cx="4779754" cy="268717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190075</xdr:colOff>
      <xdr:row>30</xdr:row>
      <xdr:rowOff>68070</xdr:rowOff>
    </xdr:from>
    <xdr:to>
      <xdr:col>20</xdr:col>
      <xdr:colOff>126820</xdr:colOff>
      <xdr:row>43</xdr:row>
      <xdr:rowOff>143308</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369DE667-E15A-DBAE-8EAD-C4DF757418F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645146" y="5184356"/>
              <a:ext cx="1841745" cy="245195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863</xdr:colOff>
      <xdr:row>8</xdr:row>
      <xdr:rowOff>28466</xdr:rowOff>
    </xdr:from>
    <xdr:to>
      <xdr:col>21</xdr:col>
      <xdr:colOff>232785</xdr:colOff>
      <xdr:row>21</xdr:row>
      <xdr:rowOff>97220</xdr:rowOff>
    </xdr:to>
    <mc:AlternateContent xmlns:mc="http://schemas.openxmlformats.org/markup-compatibility/2006" xmlns:a14="http://schemas.microsoft.com/office/drawing/2010/main">
      <mc:Choice Requires="a14">
        <xdr:graphicFrame macro="">
          <xdr:nvGraphicFramePr>
            <xdr:cNvPr id="10" name="MONTH 1">
              <a:extLst>
                <a:ext uri="{FF2B5EF4-FFF2-40B4-BE49-F238E27FC236}">
                  <a16:creationId xmlns:a16="http://schemas.microsoft.com/office/drawing/2014/main" id="{70CD3C90-0487-AC2F-70BB-63269CA2525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372149" y="1307537"/>
              <a:ext cx="1828494" cy="249082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408213</xdr:colOff>
      <xdr:row>67</xdr:row>
      <xdr:rowOff>89807</xdr:rowOff>
    </xdr:from>
    <xdr:to>
      <xdr:col>20</xdr:col>
      <xdr:colOff>18142</xdr:colOff>
      <xdr:row>78</xdr:row>
      <xdr:rowOff>63500</xdr:rowOff>
    </xdr:to>
    <mc:AlternateContent xmlns:mc="http://schemas.openxmlformats.org/markup-compatibility/2006" xmlns:a14="http://schemas.microsoft.com/office/drawing/2010/main">
      <mc:Choice Requires="a14">
        <xdr:graphicFrame macro="">
          <xdr:nvGraphicFramePr>
            <xdr:cNvPr id="2" name="DATE 2">
              <a:extLst>
                <a:ext uri="{FF2B5EF4-FFF2-40B4-BE49-F238E27FC236}">
                  <a16:creationId xmlns:a16="http://schemas.microsoft.com/office/drawing/2014/main" id="{96194538-362D-62FF-A699-46BB7EFFA2C1}"/>
                </a:ext>
              </a:extLst>
            </xdr:cNvPr>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8273142" y="12318093"/>
              <a:ext cx="6204858" cy="24320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81643</xdr:colOff>
      <xdr:row>67</xdr:row>
      <xdr:rowOff>99785</xdr:rowOff>
    </xdr:from>
    <xdr:to>
      <xdr:col>24</xdr:col>
      <xdr:colOff>87086</xdr:colOff>
      <xdr:row>78</xdr:row>
      <xdr:rowOff>165553</xdr:rowOff>
    </xdr:to>
    <mc:AlternateContent xmlns:mc="http://schemas.openxmlformats.org/markup-compatibility/2006" xmlns:a14="http://schemas.microsoft.com/office/drawing/2010/main">
      <mc:Choice Requires="a14">
        <xdr:graphicFrame macro="">
          <xdr:nvGraphicFramePr>
            <xdr:cNvPr id="3" name="MONTH 2">
              <a:extLst>
                <a:ext uri="{FF2B5EF4-FFF2-40B4-BE49-F238E27FC236}">
                  <a16:creationId xmlns:a16="http://schemas.microsoft.com/office/drawing/2014/main" id="{59302E13-CF16-D531-B050-9AD6773B7556}"/>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4768286" y="12328071"/>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348343</xdr:colOff>
      <xdr:row>93</xdr:row>
      <xdr:rowOff>64407</xdr:rowOff>
    </xdr:from>
    <xdr:to>
      <xdr:col>19</xdr:col>
      <xdr:colOff>716643</xdr:colOff>
      <xdr:row>105</xdr:row>
      <xdr:rowOff>181429</xdr:rowOff>
    </xdr:to>
    <mc:AlternateContent xmlns:mc="http://schemas.openxmlformats.org/markup-compatibility/2006" xmlns:a14="http://schemas.microsoft.com/office/drawing/2010/main">
      <mc:Choice Requires="a14">
        <xdr:graphicFrame macro="">
          <xdr:nvGraphicFramePr>
            <xdr:cNvPr id="8" name="DATE 3">
              <a:extLst>
                <a:ext uri="{FF2B5EF4-FFF2-40B4-BE49-F238E27FC236}">
                  <a16:creationId xmlns:a16="http://schemas.microsoft.com/office/drawing/2014/main" id="{B8A56835-39D6-A5EE-47B7-C54C5F83DDBF}"/>
                </a:ext>
              </a:extLst>
            </xdr:cNvPr>
            <xdr:cNvGraphicFramePr/>
          </xdr:nvGraphicFramePr>
          <xdr:xfrm>
            <a:off x="0" y="0"/>
            <a:ext cx="0" cy="0"/>
          </xdr:xfrm>
          <a:graphic>
            <a:graphicData uri="http://schemas.microsoft.com/office/drawing/2010/slicer">
              <sle:slicer xmlns:sle="http://schemas.microsoft.com/office/drawing/2010/slicer" name="DATE 3"/>
            </a:graphicData>
          </a:graphic>
        </xdr:graphicFrame>
      </mc:Choice>
      <mc:Fallback xmlns="">
        <xdr:sp macro="" textlink="">
          <xdr:nvSpPr>
            <xdr:cNvPr id="0" name=""/>
            <xdr:cNvSpPr>
              <a:spLocks noTextEdit="1"/>
            </xdr:cNvSpPr>
          </xdr:nvSpPr>
          <xdr:spPr>
            <a:xfrm>
              <a:off x="7687129" y="17590407"/>
              <a:ext cx="6582228" cy="275680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44450</xdr:colOff>
      <xdr:row>93</xdr:row>
      <xdr:rowOff>114300</xdr:rowOff>
    </xdr:from>
    <xdr:to>
      <xdr:col>23</xdr:col>
      <xdr:colOff>49893</xdr:colOff>
      <xdr:row>104</xdr:row>
      <xdr:rowOff>270783</xdr:rowOff>
    </xdr:to>
    <mc:AlternateContent xmlns:mc="http://schemas.openxmlformats.org/markup-compatibility/2006" xmlns:a14="http://schemas.microsoft.com/office/drawing/2010/main">
      <mc:Choice Requires="a14">
        <xdr:graphicFrame macro="">
          <xdr:nvGraphicFramePr>
            <xdr:cNvPr id="11" name="MONTH 3">
              <a:extLst>
                <a:ext uri="{FF2B5EF4-FFF2-40B4-BE49-F238E27FC236}">
                  <a16:creationId xmlns:a16="http://schemas.microsoft.com/office/drawing/2014/main" id="{91203549-5387-84A3-E1C3-CB56569A2EB1}"/>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4585950" y="1764030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4.277519328702" createdVersion="8" refreshedVersion="8" minRefreshableVersion="3" recordCount="228" xr:uid="{8BB76322-E4C7-4C75-9A87-5E747B63B799}">
  <cacheSource type="worksheet">
    <worksheetSource ref="A2:H230" sheet="RADIT"/>
  </cacheSource>
  <cacheFields count="8">
    <cacheField name="DATE" numFmtId="164">
      <sharedItems containsSemiMixedTypes="0" containsNonDate="0" containsDate="1" containsString="0" minDate="2026-04-01T00:00:00" maxDate="2026-11-15T00:00:00" count="228">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sharedItems>
    </cacheField>
    <cacheField name="DAY" numFmtId="0">
      <sharedItems/>
    </cacheField>
    <cacheField name="WEEK" numFmtId="0">
      <sharedItems containsSemiMixedTypes="0" containsString="0" containsNumber="1" containsInteger="1" minValue="14" maxValue="46"/>
    </cacheField>
    <cacheField name="MONTH" numFmtId="0">
      <sharedItems count="8">
        <s v="April"/>
        <s v="May"/>
        <s v="June"/>
        <s v="July"/>
        <s v="August"/>
        <s v="September"/>
        <s v="October"/>
        <s v="November"/>
      </sharedItems>
    </cacheField>
    <cacheField name="KODE KET" numFmtId="0">
      <sharedItems containsBlank="1" count="4">
        <s v="J1"/>
        <m/>
        <s v="J2"/>
        <s v="j3"/>
      </sharedItems>
    </cacheField>
    <cacheField name="KETERANGAN" numFmtId="0">
      <sharedItems count="4">
        <s v="Total hari kerja"/>
        <s v=" "/>
        <s v="Ijin/Sakit/Alfa"/>
        <s v="MERAH"/>
      </sharedItems>
    </cacheField>
    <cacheField name="NAMA KARYAWAN" numFmtId="0">
      <sharedItems count="1">
        <s v="RADIT"/>
      </sharedItems>
    </cacheField>
    <cacheField name="LEMBUR" numFmtId="0">
      <sharedItems containsString="0" containsBlank="1" containsNumber="1" minValue="0" maxValue="5"/>
    </cacheField>
  </cacheFields>
  <extLst>
    <ext xmlns:x14="http://schemas.microsoft.com/office/spreadsheetml/2009/9/main" uri="{725AE2AE-9491-48be-B2B4-4EB974FC3084}">
      <x14:pivotCacheDefinition pivotCacheId="16035283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4.277519791664" createdVersion="8" refreshedVersion="8" minRefreshableVersion="3" recordCount="316" xr:uid="{364D9F54-DE88-4E2F-A829-F083D6E38CF5}">
  <cacheSource type="worksheet">
    <worksheetSource ref="A2:G318" sheet="GEFIRA"/>
  </cacheSource>
  <cacheFields count="7">
    <cacheField name="DATE" numFmtId="164">
      <sharedItems containsSemiMixedTypes="0" containsNonDate="0" containsDate="1" containsString="0" minDate="2026-01-03T00:00:00" maxDate="2026-11-15T00:00:00" count="316">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sharedItems>
    </cacheField>
    <cacheField name="DAY" numFmtId="0">
      <sharedItems/>
    </cacheField>
    <cacheField name="WEEK" numFmtId="0">
      <sharedItems containsSemiMixedTypes="0" containsString="0" containsNumber="1" containsInteger="1" minValue="1" maxValue="46"/>
    </cacheField>
    <cacheField name="MONTH" numFmtId="0">
      <sharedItems count="21">
        <s v="January"/>
        <s v="February"/>
        <s v="March"/>
        <s v="April"/>
        <s v="May"/>
        <s v="June"/>
        <s v="July"/>
        <s v="August"/>
        <s v="September"/>
        <s v="October"/>
        <s v="November"/>
        <s v="December" u="1"/>
        <s v="Agustus" u="1"/>
        <s v="Februari" u="1"/>
        <s v="Oktober" u="1"/>
        <s v="Juli" u="1"/>
        <s v="Januari" u="1"/>
        <s v="Mei" u="1"/>
        <s v="Juni" u="1"/>
        <s v="Desember" u="1"/>
        <s v="Maret" u="1"/>
      </sharedItems>
    </cacheField>
    <cacheField name="KODE KET" numFmtId="0">
      <sharedItems containsBlank="1" count="6">
        <s v="j1"/>
        <m/>
        <s v="j2"/>
        <s v="j5"/>
        <s v="j3"/>
        <s v="J4" u="1"/>
      </sharedItems>
    </cacheField>
    <cacheField name="KETERANGAN" numFmtId="0">
      <sharedItems count="8">
        <s v="Total hari kerja"/>
        <s v=" "/>
        <s v="Ijin/Sakit/Alfa"/>
        <s v="1/2 HARI"/>
        <s v="MERAH"/>
        <s v="LEMBUR" u="1"/>
        <s v="MASUK" u="1"/>
        <s v="SAKIT" u="1"/>
      </sharedItems>
    </cacheField>
    <cacheField name="NAMA KARYAWAN" numFmtId="0">
      <sharedItems count="2">
        <s v="REINA DWI MAHARANI"/>
        <s v="GEFIRA SITI NURHALIJAH"/>
      </sharedItems>
    </cacheField>
  </cacheFields>
  <extLst>
    <ext xmlns:x14="http://schemas.microsoft.com/office/spreadsheetml/2009/9/main" uri="{725AE2AE-9491-48be-B2B4-4EB974FC3084}">
      <x14:pivotCacheDefinition pivotCacheId="128162079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4.277520023148" createdVersion="8" refreshedVersion="8" minRefreshableVersion="3" recordCount="347" xr:uid="{767ECDD5-527F-47D0-8058-1105D645BCDB}">
  <cacheSource type="worksheet">
    <worksheetSource ref="A2:G349" sheet="EGA"/>
  </cacheSource>
  <cacheFields count="7">
    <cacheField name="DATE" numFmtId="164">
      <sharedItems containsSemiMixedTypes="0" containsNonDate="0" containsDate="1" containsString="0" minDate="2026-01-03T00:00:00" maxDate="2026-12-16T00:00:00" count="347">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sharedItems>
    </cacheField>
    <cacheField name="DAY" numFmtId="0">
      <sharedItems/>
    </cacheField>
    <cacheField name="WEEK" numFmtId="0">
      <sharedItems containsSemiMixedTypes="0" containsString="0" containsNumber="1" containsInteger="1" minValue="1" maxValue="51"/>
    </cacheField>
    <cacheField name="MONTH" numFmtId="0">
      <sharedItems count="21">
        <s v="January"/>
        <s v="February"/>
        <s v="March"/>
        <s v="April"/>
        <s v="May"/>
        <s v="June"/>
        <s v="July"/>
        <s v="August"/>
        <s v="September"/>
        <s v="October"/>
        <s v="November"/>
        <s v="December"/>
        <s v="Agustus" u="1"/>
        <s v="Februari" u="1"/>
        <s v="Oktober" u="1"/>
        <s v="Juli" u="1"/>
        <s v="Januari" u="1"/>
        <s v="Mei" u="1"/>
        <s v="Juni" u="1"/>
        <s v="Desember" u="1"/>
        <s v="Maret" u="1"/>
      </sharedItems>
    </cacheField>
    <cacheField name="KODE KET" numFmtId="0">
      <sharedItems containsBlank="1" count="6">
        <s v="j1"/>
        <m/>
        <s v="j2"/>
        <s v="j3"/>
        <s v="j5"/>
        <s v="j4" u="1"/>
      </sharedItems>
    </cacheField>
    <cacheField name="KETERANGAN" numFmtId="0">
      <sharedItems containsBlank="1" count="10">
        <s v="Total hari kerja"/>
        <s v=" "/>
        <s v="Ijin/Sakit/Alfa"/>
        <s v="MERAH"/>
        <s v="1/2 HARI"/>
        <m/>
        <s v="LEMBUR" u="1"/>
        <s v="MASUK" u="1"/>
        <s v="SAKIT" u="1"/>
        <s v="IJIN" u="1"/>
      </sharedItems>
    </cacheField>
    <cacheField name="NAMA KARYAWAN" numFmtId="0">
      <sharedItems count="1">
        <s v="EGA SILVIA YUNIAR"/>
      </sharedItems>
    </cacheField>
  </cacheFields>
  <extLst>
    <ext xmlns:x14="http://schemas.microsoft.com/office/spreadsheetml/2009/9/main" uri="{725AE2AE-9491-48be-B2B4-4EB974FC3084}">
      <x14:pivotCacheDefinition pivotCacheId="132343903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4.277520370371" createdVersion="8" refreshedVersion="8" minRefreshableVersion="3" recordCount="347" xr:uid="{A15F1268-94B1-49DF-B69B-1901E7AAF730}">
  <cacheSource type="worksheet">
    <worksheetSource ref="A2:K349" sheet="EGA"/>
  </cacheSource>
  <cacheFields count="11">
    <cacheField name="DATE" numFmtId="164">
      <sharedItems containsSemiMixedTypes="0" containsNonDate="0" containsDate="1" containsString="0" minDate="2026-01-03T00:00:00" maxDate="2026-12-16T00:00:00"/>
    </cacheField>
    <cacheField name="DAY" numFmtId="0">
      <sharedItems/>
    </cacheField>
    <cacheField name="WEEK" numFmtId="0">
      <sharedItems containsSemiMixedTypes="0" containsString="0" containsNumber="1" containsInteger="1" minValue="1" maxValue="51"/>
    </cacheField>
    <cacheField name="MONTH" numFmtId="0">
      <sharedItems count="12">
        <s v="January"/>
        <s v="February"/>
        <s v="March"/>
        <s v="April"/>
        <s v="May"/>
        <s v="June"/>
        <s v="July"/>
        <s v="August"/>
        <s v="September"/>
        <s v="October"/>
        <s v="November"/>
        <s v="December"/>
      </sharedItems>
    </cacheField>
    <cacheField name="KODE KET" numFmtId="0">
      <sharedItems containsBlank="1"/>
    </cacheField>
    <cacheField name="KETERANGAN" numFmtId="0">
      <sharedItems containsBlank="1"/>
    </cacheField>
    <cacheField name="NAMA KARYAWAN" numFmtId="0">
      <sharedItems count="1">
        <s v="EGA SILVIA YUNIAR"/>
      </sharedItems>
    </cacheField>
    <cacheField name="SESI 1" numFmtId="0">
      <sharedItems containsString="0" containsBlank="1" containsNumber="1" containsInteger="1" minValue="0" maxValue="114"/>
    </cacheField>
    <cacheField name="SESI 2" numFmtId="0">
      <sharedItems containsString="0" containsBlank="1" containsNumber="1" containsInteger="1" minValue="1" maxValue="33"/>
    </cacheField>
    <cacheField name="SESI 3" numFmtId="0">
      <sharedItems containsString="0" containsBlank="1" containsNumber="1" containsInteger="1" minValue="1" maxValue="12"/>
    </cacheField>
    <cacheField name="VT"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4.27752048611" createdVersion="8" refreshedVersion="8" minRefreshableVersion="3" recordCount="316" xr:uid="{B6BA85C3-3F06-46A2-913D-82FB465B9B17}">
  <cacheSource type="worksheet">
    <worksheetSource ref="A2:K318" sheet="GEFIRA"/>
  </cacheSource>
  <cacheFields count="11">
    <cacheField name="DATE" numFmtId="164">
      <sharedItems containsSemiMixedTypes="0" containsNonDate="0" containsDate="1" containsString="0" minDate="2026-01-03T00:00:00" maxDate="2026-11-15T00:00:00"/>
    </cacheField>
    <cacheField name="DAY" numFmtId="0">
      <sharedItems/>
    </cacheField>
    <cacheField name="WEEK" numFmtId="0">
      <sharedItems containsSemiMixedTypes="0" containsString="0" containsNumber="1" containsInteger="1" minValue="1" maxValue="46"/>
    </cacheField>
    <cacheField name="MONTH" numFmtId="0">
      <sharedItems count="12">
        <s v="January"/>
        <s v="February"/>
        <s v="March"/>
        <s v="April"/>
        <s v="May"/>
        <s v="June"/>
        <s v="July"/>
        <s v="August"/>
        <s v="September"/>
        <s v="October"/>
        <s v="November"/>
        <s v="December" u="1"/>
      </sharedItems>
    </cacheField>
    <cacheField name="KODE KET" numFmtId="0">
      <sharedItems containsBlank="1"/>
    </cacheField>
    <cacheField name="KETERANGAN" numFmtId="0">
      <sharedItems/>
    </cacheField>
    <cacheField name="NAMA KARYAWAN" numFmtId="0">
      <sharedItems count="2">
        <s v="REINA DWI MAHARANI"/>
        <s v="GEFIRA SITI NURHALIJAH"/>
      </sharedItems>
    </cacheField>
    <cacheField name="SESI 1" numFmtId="0">
      <sharedItems containsString="0" containsBlank="1" containsNumber="1" containsInteger="1" minValue="0" maxValue="55"/>
    </cacheField>
    <cacheField name="SESI 2" numFmtId="0">
      <sharedItems containsString="0" containsBlank="1" containsNumber="1" containsInteger="1" minValue="1" maxValue="33"/>
    </cacheField>
    <cacheField name="SESI 3" numFmtId="0">
      <sharedItems containsString="0" containsBlank="1" containsNumber="1" containsInteger="1" minValue="1" maxValue="28"/>
    </cacheField>
    <cacheField name="VT"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4.277520717595" createdVersion="8" refreshedVersion="8" minRefreshableVersion="3" recordCount="287" xr:uid="{EADE2CE5-1B2A-4B83-9275-96AA199D4213}">
  <cacheSource type="worksheet">
    <worksheetSource ref="A2:H289" sheet="EKI"/>
  </cacheSource>
  <cacheFields count="8">
    <cacheField name="DATE" numFmtId="164">
      <sharedItems containsSemiMixedTypes="0" containsNonDate="0" containsDate="1" containsString="0" minDate="2026-02-01T00:00:00" maxDate="2026-11-15T00:00:00" count="287">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sharedItems>
    </cacheField>
    <cacheField name="DAY" numFmtId="0">
      <sharedItems/>
    </cacheField>
    <cacheField name="WEEK" numFmtId="0">
      <sharedItems containsSemiMixedTypes="0" containsString="0" containsNumber="1" containsInteger="1" minValue="6" maxValue="46"/>
    </cacheField>
    <cacheField name="MONTH" numFmtId="0">
      <sharedItems count="10">
        <s v="February"/>
        <s v="March"/>
        <s v="April"/>
        <s v="May"/>
        <s v="June"/>
        <s v="July"/>
        <s v="August"/>
        <s v="September"/>
        <s v="October"/>
        <s v="November"/>
      </sharedItems>
    </cacheField>
    <cacheField name="KODE KET" numFmtId="0">
      <sharedItems containsBlank="1" count="5">
        <m/>
        <s v="J1"/>
        <s v="j3"/>
        <s v="J5" u="1"/>
        <s v="J2" u="1"/>
      </sharedItems>
    </cacheField>
    <cacheField name="KETERANGAN" numFmtId="0">
      <sharedItems count="5">
        <s v=" "/>
        <s v="Total hari kerja"/>
        <s v="MERAH"/>
        <s v="1/2 HARI" u="1"/>
        <s v="Ijin/Sakit/Alfa" u="1"/>
      </sharedItems>
    </cacheField>
    <cacheField name="NAMA KARYAWAN" numFmtId="0">
      <sharedItems count="1">
        <s v="REVKI FIRDAUS"/>
      </sharedItems>
    </cacheField>
    <cacheField name="LEMBUR" numFmtId="0">
      <sharedItems containsString="0" containsBlank="1" containsNumber="1" minValue="0" maxValue="5"/>
    </cacheField>
  </cacheFields>
  <extLst>
    <ext xmlns:x14="http://schemas.microsoft.com/office/spreadsheetml/2009/9/main" uri="{725AE2AE-9491-48be-B2B4-4EB974FC3084}">
      <x14:pivotCacheDefinition pivotCacheId="890354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8">
  <r>
    <x v="0"/>
    <s v="Wed"/>
    <n v="14"/>
    <x v="0"/>
    <x v="0"/>
    <x v="0"/>
    <x v="0"/>
    <n v="3"/>
  </r>
  <r>
    <x v="1"/>
    <s v="Thu"/>
    <n v="14"/>
    <x v="0"/>
    <x v="0"/>
    <x v="0"/>
    <x v="0"/>
    <n v="2"/>
  </r>
  <r>
    <x v="2"/>
    <s v="Fri"/>
    <n v="14"/>
    <x v="0"/>
    <x v="0"/>
    <x v="0"/>
    <x v="0"/>
    <n v="5"/>
  </r>
  <r>
    <x v="3"/>
    <s v="Sat"/>
    <n v="14"/>
    <x v="0"/>
    <x v="0"/>
    <x v="0"/>
    <x v="0"/>
    <n v="5"/>
  </r>
  <r>
    <x v="4"/>
    <s v="Sun"/>
    <n v="15"/>
    <x v="0"/>
    <x v="1"/>
    <x v="1"/>
    <x v="0"/>
    <m/>
  </r>
  <r>
    <x v="5"/>
    <s v="Mon"/>
    <n v="15"/>
    <x v="0"/>
    <x v="0"/>
    <x v="0"/>
    <x v="0"/>
    <n v="5"/>
  </r>
  <r>
    <x v="6"/>
    <s v="Tue"/>
    <n v="15"/>
    <x v="0"/>
    <x v="0"/>
    <x v="0"/>
    <x v="0"/>
    <n v="5"/>
  </r>
  <r>
    <x v="7"/>
    <s v="Wed"/>
    <n v="15"/>
    <x v="0"/>
    <x v="0"/>
    <x v="0"/>
    <x v="0"/>
    <n v="5"/>
  </r>
  <r>
    <x v="8"/>
    <s v="Thu"/>
    <n v="15"/>
    <x v="0"/>
    <x v="0"/>
    <x v="0"/>
    <x v="0"/>
    <n v="5"/>
  </r>
  <r>
    <x v="9"/>
    <s v="Fri"/>
    <n v="15"/>
    <x v="0"/>
    <x v="2"/>
    <x v="2"/>
    <x v="0"/>
    <m/>
  </r>
  <r>
    <x v="10"/>
    <s v="Sat"/>
    <n v="15"/>
    <x v="0"/>
    <x v="0"/>
    <x v="0"/>
    <x v="0"/>
    <n v="4.5"/>
  </r>
  <r>
    <x v="11"/>
    <s v="Sun"/>
    <n v="16"/>
    <x v="0"/>
    <x v="1"/>
    <x v="1"/>
    <x v="0"/>
    <m/>
  </r>
  <r>
    <x v="12"/>
    <s v="Mon"/>
    <n v="16"/>
    <x v="0"/>
    <x v="0"/>
    <x v="0"/>
    <x v="0"/>
    <n v="5"/>
  </r>
  <r>
    <x v="13"/>
    <s v="Tue"/>
    <n v="16"/>
    <x v="0"/>
    <x v="0"/>
    <x v="0"/>
    <x v="0"/>
    <n v="5"/>
  </r>
  <r>
    <x v="14"/>
    <s v="Wed"/>
    <n v="16"/>
    <x v="0"/>
    <x v="0"/>
    <x v="0"/>
    <x v="0"/>
    <n v="5"/>
  </r>
  <r>
    <x v="15"/>
    <s v="Thu"/>
    <n v="16"/>
    <x v="0"/>
    <x v="0"/>
    <x v="0"/>
    <x v="0"/>
    <n v="5"/>
  </r>
  <r>
    <x v="16"/>
    <s v="Fri"/>
    <n v="16"/>
    <x v="0"/>
    <x v="0"/>
    <x v="0"/>
    <x v="0"/>
    <n v="4"/>
  </r>
  <r>
    <x v="17"/>
    <s v="Sat"/>
    <n v="16"/>
    <x v="0"/>
    <x v="0"/>
    <x v="0"/>
    <x v="0"/>
    <n v="3"/>
  </r>
  <r>
    <x v="18"/>
    <s v="Sun"/>
    <n v="17"/>
    <x v="0"/>
    <x v="1"/>
    <x v="1"/>
    <x v="0"/>
    <m/>
  </r>
  <r>
    <x v="19"/>
    <s v="Mon"/>
    <n v="17"/>
    <x v="0"/>
    <x v="0"/>
    <x v="0"/>
    <x v="0"/>
    <n v="2.5"/>
  </r>
  <r>
    <x v="20"/>
    <s v="Tue"/>
    <n v="17"/>
    <x v="0"/>
    <x v="0"/>
    <x v="0"/>
    <x v="0"/>
    <n v="2.5"/>
  </r>
  <r>
    <x v="21"/>
    <s v="Wed"/>
    <n v="17"/>
    <x v="0"/>
    <x v="0"/>
    <x v="0"/>
    <x v="0"/>
    <n v="2.5"/>
  </r>
  <r>
    <x v="22"/>
    <s v="Thu"/>
    <n v="17"/>
    <x v="0"/>
    <x v="0"/>
    <x v="0"/>
    <x v="0"/>
    <n v="2.5"/>
  </r>
  <r>
    <x v="23"/>
    <s v="Fri"/>
    <n v="17"/>
    <x v="0"/>
    <x v="0"/>
    <x v="0"/>
    <x v="0"/>
    <n v="3"/>
  </r>
  <r>
    <x v="24"/>
    <s v="Sat"/>
    <n v="17"/>
    <x v="0"/>
    <x v="0"/>
    <x v="0"/>
    <x v="0"/>
    <n v="1.5"/>
  </r>
  <r>
    <x v="25"/>
    <s v="Sun"/>
    <n v="18"/>
    <x v="0"/>
    <x v="1"/>
    <x v="1"/>
    <x v="0"/>
    <m/>
  </r>
  <r>
    <x v="26"/>
    <s v="Mon"/>
    <n v="18"/>
    <x v="0"/>
    <x v="0"/>
    <x v="0"/>
    <x v="0"/>
    <n v="0.5"/>
  </r>
  <r>
    <x v="27"/>
    <s v="Tue"/>
    <n v="18"/>
    <x v="0"/>
    <x v="0"/>
    <x v="0"/>
    <x v="0"/>
    <n v="1"/>
  </r>
  <r>
    <x v="28"/>
    <s v="Wed"/>
    <n v="18"/>
    <x v="0"/>
    <x v="0"/>
    <x v="0"/>
    <x v="0"/>
    <n v="1"/>
  </r>
  <r>
    <x v="29"/>
    <s v="Thu"/>
    <n v="18"/>
    <x v="0"/>
    <x v="0"/>
    <x v="0"/>
    <x v="0"/>
    <n v="2.5"/>
  </r>
  <r>
    <x v="30"/>
    <s v="Fri"/>
    <n v="18"/>
    <x v="1"/>
    <x v="0"/>
    <x v="0"/>
    <x v="0"/>
    <n v="2"/>
  </r>
  <r>
    <x v="31"/>
    <s v="Sat"/>
    <n v="18"/>
    <x v="1"/>
    <x v="0"/>
    <x v="0"/>
    <x v="0"/>
    <n v="2.5"/>
  </r>
  <r>
    <x v="32"/>
    <s v="Sun"/>
    <n v="19"/>
    <x v="1"/>
    <x v="1"/>
    <x v="1"/>
    <x v="0"/>
    <m/>
  </r>
  <r>
    <x v="33"/>
    <s v="Mon"/>
    <n v="19"/>
    <x v="1"/>
    <x v="0"/>
    <x v="0"/>
    <x v="0"/>
    <n v="3"/>
  </r>
  <r>
    <x v="34"/>
    <s v="Tue"/>
    <n v="19"/>
    <x v="1"/>
    <x v="0"/>
    <x v="0"/>
    <x v="0"/>
    <n v="3.5"/>
  </r>
  <r>
    <x v="35"/>
    <s v="Wed"/>
    <n v="19"/>
    <x v="1"/>
    <x v="0"/>
    <x v="0"/>
    <x v="0"/>
    <n v="2"/>
  </r>
  <r>
    <x v="36"/>
    <s v="Thu"/>
    <n v="19"/>
    <x v="1"/>
    <x v="0"/>
    <x v="0"/>
    <x v="0"/>
    <n v="2"/>
  </r>
  <r>
    <x v="37"/>
    <s v="Fri"/>
    <n v="19"/>
    <x v="1"/>
    <x v="0"/>
    <x v="0"/>
    <x v="0"/>
    <n v="1"/>
  </r>
  <r>
    <x v="38"/>
    <s v="Sat"/>
    <n v="19"/>
    <x v="1"/>
    <x v="0"/>
    <x v="0"/>
    <x v="0"/>
    <n v="2"/>
  </r>
  <r>
    <x v="39"/>
    <s v="Sun"/>
    <n v="20"/>
    <x v="1"/>
    <x v="1"/>
    <x v="1"/>
    <x v="0"/>
    <m/>
  </r>
  <r>
    <x v="40"/>
    <s v="Mon"/>
    <n v="20"/>
    <x v="1"/>
    <x v="0"/>
    <x v="0"/>
    <x v="0"/>
    <n v="2"/>
  </r>
  <r>
    <x v="41"/>
    <s v="Tue"/>
    <n v="20"/>
    <x v="1"/>
    <x v="0"/>
    <x v="0"/>
    <x v="0"/>
    <n v="2"/>
  </r>
  <r>
    <x v="42"/>
    <s v="Wed"/>
    <n v="20"/>
    <x v="1"/>
    <x v="0"/>
    <x v="0"/>
    <x v="0"/>
    <n v="1"/>
  </r>
  <r>
    <x v="43"/>
    <s v="Thu"/>
    <n v="20"/>
    <x v="1"/>
    <x v="0"/>
    <x v="0"/>
    <x v="0"/>
    <n v="2"/>
  </r>
  <r>
    <x v="44"/>
    <s v="Fri"/>
    <n v="20"/>
    <x v="1"/>
    <x v="0"/>
    <x v="0"/>
    <x v="0"/>
    <n v="2"/>
  </r>
  <r>
    <x v="45"/>
    <s v="Sat"/>
    <n v="20"/>
    <x v="1"/>
    <x v="0"/>
    <x v="0"/>
    <x v="0"/>
    <n v="1"/>
  </r>
  <r>
    <x v="46"/>
    <s v="Sun"/>
    <n v="21"/>
    <x v="1"/>
    <x v="1"/>
    <x v="1"/>
    <x v="0"/>
    <m/>
  </r>
  <r>
    <x v="47"/>
    <s v="Mon"/>
    <n v="21"/>
    <x v="1"/>
    <x v="0"/>
    <x v="0"/>
    <x v="0"/>
    <n v="2"/>
  </r>
  <r>
    <x v="48"/>
    <s v="Tue"/>
    <n v="21"/>
    <x v="1"/>
    <x v="0"/>
    <x v="0"/>
    <x v="0"/>
    <n v="2"/>
  </r>
  <r>
    <x v="49"/>
    <s v="Wed"/>
    <n v="21"/>
    <x v="1"/>
    <x v="0"/>
    <x v="0"/>
    <x v="0"/>
    <n v="1.5"/>
  </r>
  <r>
    <x v="50"/>
    <s v="Thu"/>
    <n v="21"/>
    <x v="1"/>
    <x v="0"/>
    <x v="0"/>
    <x v="0"/>
    <n v="2"/>
  </r>
  <r>
    <x v="51"/>
    <s v="Fri"/>
    <n v="21"/>
    <x v="1"/>
    <x v="0"/>
    <x v="0"/>
    <x v="0"/>
    <n v="1"/>
  </r>
  <r>
    <x v="52"/>
    <s v="Sat"/>
    <n v="21"/>
    <x v="1"/>
    <x v="0"/>
    <x v="0"/>
    <x v="0"/>
    <n v="1"/>
  </r>
  <r>
    <x v="53"/>
    <s v="Sun"/>
    <n v="22"/>
    <x v="1"/>
    <x v="1"/>
    <x v="1"/>
    <x v="0"/>
    <m/>
  </r>
  <r>
    <x v="54"/>
    <s v="Mon"/>
    <n v="22"/>
    <x v="1"/>
    <x v="0"/>
    <x v="0"/>
    <x v="0"/>
    <n v="3.5"/>
  </r>
  <r>
    <x v="55"/>
    <s v="Tue"/>
    <n v="22"/>
    <x v="1"/>
    <x v="0"/>
    <x v="0"/>
    <x v="0"/>
    <n v="1"/>
  </r>
  <r>
    <x v="56"/>
    <s v="Wed"/>
    <n v="22"/>
    <x v="1"/>
    <x v="3"/>
    <x v="3"/>
    <x v="0"/>
    <m/>
  </r>
  <r>
    <x v="57"/>
    <s v="Thu"/>
    <n v="22"/>
    <x v="1"/>
    <x v="0"/>
    <x v="0"/>
    <x v="0"/>
    <n v="2"/>
  </r>
  <r>
    <x v="58"/>
    <s v="Fri"/>
    <n v="22"/>
    <x v="1"/>
    <x v="0"/>
    <x v="0"/>
    <x v="0"/>
    <n v="2"/>
  </r>
  <r>
    <x v="59"/>
    <s v="Sat"/>
    <n v="22"/>
    <x v="1"/>
    <x v="0"/>
    <x v="0"/>
    <x v="0"/>
    <m/>
  </r>
  <r>
    <x v="60"/>
    <s v="Sun"/>
    <n v="23"/>
    <x v="1"/>
    <x v="1"/>
    <x v="1"/>
    <x v="0"/>
    <m/>
  </r>
  <r>
    <x v="61"/>
    <s v="Mon"/>
    <n v="23"/>
    <x v="2"/>
    <x v="0"/>
    <x v="0"/>
    <x v="0"/>
    <n v="4"/>
  </r>
  <r>
    <x v="62"/>
    <s v="Tue"/>
    <n v="23"/>
    <x v="2"/>
    <x v="0"/>
    <x v="0"/>
    <x v="0"/>
    <n v="1"/>
  </r>
  <r>
    <x v="63"/>
    <s v="Wed"/>
    <n v="23"/>
    <x v="2"/>
    <x v="0"/>
    <x v="0"/>
    <x v="0"/>
    <n v="1"/>
  </r>
  <r>
    <x v="64"/>
    <s v="Thu"/>
    <n v="23"/>
    <x v="2"/>
    <x v="0"/>
    <x v="0"/>
    <x v="0"/>
    <n v="2.5"/>
  </r>
  <r>
    <x v="65"/>
    <s v="Fri"/>
    <n v="23"/>
    <x v="2"/>
    <x v="0"/>
    <x v="0"/>
    <x v="0"/>
    <n v="2"/>
  </r>
  <r>
    <x v="66"/>
    <s v="Sat"/>
    <n v="23"/>
    <x v="2"/>
    <x v="0"/>
    <x v="0"/>
    <x v="0"/>
    <n v="3"/>
  </r>
  <r>
    <x v="67"/>
    <s v="Sun"/>
    <n v="24"/>
    <x v="2"/>
    <x v="1"/>
    <x v="1"/>
    <x v="0"/>
    <m/>
  </r>
  <r>
    <x v="68"/>
    <s v="Mon"/>
    <n v="24"/>
    <x v="2"/>
    <x v="0"/>
    <x v="0"/>
    <x v="0"/>
    <n v="4.5"/>
  </r>
  <r>
    <x v="69"/>
    <s v="Tue"/>
    <n v="24"/>
    <x v="2"/>
    <x v="0"/>
    <x v="0"/>
    <x v="0"/>
    <n v="3"/>
  </r>
  <r>
    <x v="70"/>
    <s v="Wed"/>
    <n v="24"/>
    <x v="2"/>
    <x v="0"/>
    <x v="0"/>
    <x v="0"/>
    <n v="1"/>
  </r>
  <r>
    <x v="71"/>
    <s v="Thu"/>
    <n v="24"/>
    <x v="2"/>
    <x v="0"/>
    <x v="0"/>
    <x v="0"/>
    <n v="2"/>
  </r>
  <r>
    <x v="72"/>
    <s v="Fri"/>
    <n v="24"/>
    <x v="2"/>
    <x v="0"/>
    <x v="0"/>
    <x v="0"/>
    <n v="4"/>
  </r>
  <r>
    <x v="73"/>
    <s v="Sat"/>
    <n v="24"/>
    <x v="2"/>
    <x v="0"/>
    <x v="0"/>
    <x v="0"/>
    <n v="1.5"/>
  </r>
  <r>
    <x v="74"/>
    <s v="Sun"/>
    <n v="25"/>
    <x v="2"/>
    <x v="1"/>
    <x v="1"/>
    <x v="0"/>
    <m/>
  </r>
  <r>
    <x v="75"/>
    <s v="Mon"/>
    <n v="25"/>
    <x v="2"/>
    <x v="0"/>
    <x v="0"/>
    <x v="0"/>
    <n v="3.5"/>
  </r>
  <r>
    <x v="76"/>
    <s v="Tue"/>
    <n v="25"/>
    <x v="2"/>
    <x v="0"/>
    <x v="0"/>
    <x v="0"/>
    <n v="1"/>
  </r>
  <r>
    <x v="77"/>
    <s v="Wed"/>
    <n v="25"/>
    <x v="2"/>
    <x v="0"/>
    <x v="0"/>
    <x v="0"/>
    <n v="0"/>
  </r>
  <r>
    <x v="78"/>
    <s v="Thu"/>
    <n v="25"/>
    <x v="2"/>
    <x v="0"/>
    <x v="0"/>
    <x v="0"/>
    <n v="1"/>
  </r>
  <r>
    <x v="79"/>
    <s v="Fri"/>
    <n v="25"/>
    <x v="2"/>
    <x v="0"/>
    <x v="0"/>
    <x v="0"/>
    <n v="1"/>
  </r>
  <r>
    <x v="80"/>
    <s v="Sat"/>
    <n v="25"/>
    <x v="2"/>
    <x v="0"/>
    <x v="0"/>
    <x v="0"/>
    <n v="1.5"/>
  </r>
  <r>
    <x v="81"/>
    <s v="Sun"/>
    <n v="26"/>
    <x v="2"/>
    <x v="1"/>
    <x v="1"/>
    <x v="0"/>
    <m/>
  </r>
  <r>
    <x v="82"/>
    <s v="Mon"/>
    <n v="26"/>
    <x v="2"/>
    <x v="0"/>
    <x v="0"/>
    <x v="0"/>
    <n v="1"/>
  </r>
  <r>
    <x v="83"/>
    <s v="Tue"/>
    <n v="26"/>
    <x v="2"/>
    <x v="0"/>
    <x v="0"/>
    <x v="0"/>
    <n v="1.5"/>
  </r>
  <r>
    <x v="84"/>
    <s v="Wed"/>
    <n v="26"/>
    <x v="2"/>
    <x v="0"/>
    <x v="0"/>
    <x v="0"/>
    <n v="0"/>
  </r>
  <r>
    <x v="85"/>
    <s v="Thu"/>
    <n v="26"/>
    <x v="2"/>
    <x v="0"/>
    <x v="0"/>
    <x v="0"/>
    <n v="0"/>
  </r>
  <r>
    <x v="86"/>
    <s v="Fri"/>
    <n v="26"/>
    <x v="2"/>
    <x v="0"/>
    <x v="0"/>
    <x v="0"/>
    <n v="0"/>
  </r>
  <r>
    <x v="87"/>
    <s v="Sat"/>
    <n v="26"/>
    <x v="2"/>
    <x v="0"/>
    <x v="0"/>
    <x v="0"/>
    <n v="1"/>
  </r>
  <r>
    <x v="88"/>
    <s v="Sun"/>
    <n v="27"/>
    <x v="2"/>
    <x v="1"/>
    <x v="1"/>
    <x v="0"/>
    <n v="0"/>
  </r>
  <r>
    <x v="89"/>
    <s v="Mon"/>
    <n v="27"/>
    <x v="2"/>
    <x v="0"/>
    <x v="0"/>
    <x v="0"/>
    <n v="1"/>
  </r>
  <r>
    <x v="90"/>
    <s v="Tue"/>
    <n v="27"/>
    <x v="2"/>
    <x v="0"/>
    <x v="0"/>
    <x v="0"/>
    <m/>
  </r>
  <r>
    <x v="91"/>
    <s v="Wed"/>
    <n v="27"/>
    <x v="3"/>
    <x v="1"/>
    <x v="1"/>
    <x v="0"/>
    <m/>
  </r>
  <r>
    <x v="92"/>
    <s v="Thu"/>
    <n v="27"/>
    <x v="3"/>
    <x v="1"/>
    <x v="1"/>
    <x v="0"/>
    <m/>
  </r>
  <r>
    <x v="93"/>
    <s v="Fri"/>
    <n v="27"/>
    <x v="3"/>
    <x v="1"/>
    <x v="1"/>
    <x v="0"/>
    <m/>
  </r>
  <r>
    <x v="94"/>
    <s v="Sat"/>
    <n v="27"/>
    <x v="3"/>
    <x v="1"/>
    <x v="1"/>
    <x v="0"/>
    <m/>
  </r>
  <r>
    <x v="95"/>
    <s v="Sun"/>
    <n v="28"/>
    <x v="3"/>
    <x v="1"/>
    <x v="1"/>
    <x v="0"/>
    <m/>
  </r>
  <r>
    <x v="96"/>
    <s v="Mon"/>
    <n v="28"/>
    <x v="3"/>
    <x v="1"/>
    <x v="1"/>
    <x v="0"/>
    <m/>
  </r>
  <r>
    <x v="97"/>
    <s v="Tue"/>
    <n v="28"/>
    <x v="3"/>
    <x v="1"/>
    <x v="1"/>
    <x v="0"/>
    <m/>
  </r>
  <r>
    <x v="98"/>
    <s v="Wed"/>
    <n v="28"/>
    <x v="3"/>
    <x v="1"/>
    <x v="1"/>
    <x v="0"/>
    <m/>
  </r>
  <r>
    <x v="99"/>
    <s v="Thu"/>
    <n v="28"/>
    <x v="3"/>
    <x v="1"/>
    <x v="1"/>
    <x v="0"/>
    <m/>
  </r>
  <r>
    <x v="100"/>
    <s v="Fri"/>
    <n v="28"/>
    <x v="3"/>
    <x v="1"/>
    <x v="1"/>
    <x v="0"/>
    <m/>
  </r>
  <r>
    <x v="101"/>
    <s v="Sat"/>
    <n v="28"/>
    <x v="3"/>
    <x v="1"/>
    <x v="1"/>
    <x v="0"/>
    <m/>
  </r>
  <r>
    <x v="102"/>
    <s v="Sun"/>
    <n v="29"/>
    <x v="3"/>
    <x v="1"/>
    <x v="1"/>
    <x v="0"/>
    <m/>
  </r>
  <r>
    <x v="103"/>
    <s v="Mon"/>
    <n v="29"/>
    <x v="3"/>
    <x v="1"/>
    <x v="1"/>
    <x v="0"/>
    <m/>
  </r>
  <r>
    <x v="104"/>
    <s v="Tue"/>
    <n v="29"/>
    <x v="3"/>
    <x v="1"/>
    <x v="1"/>
    <x v="0"/>
    <m/>
  </r>
  <r>
    <x v="105"/>
    <s v="Wed"/>
    <n v="29"/>
    <x v="3"/>
    <x v="1"/>
    <x v="1"/>
    <x v="0"/>
    <m/>
  </r>
  <r>
    <x v="106"/>
    <s v="Thu"/>
    <n v="29"/>
    <x v="3"/>
    <x v="1"/>
    <x v="1"/>
    <x v="0"/>
    <m/>
  </r>
  <r>
    <x v="107"/>
    <s v="Fri"/>
    <n v="29"/>
    <x v="3"/>
    <x v="1"/>
    <x v="1"/>
    <x v="0"/>
    <m/>
  </r>
  <r>
    <x v="108"/>
    <s v="Sat"/>
    <n v="29"/>
    <x v="3"/>
    <x v="1"/>
    <x v="1"/>
    <x v="0"/>
    <m/>
  </r>
  <r>
    <x v="109"/>
    <s v="Sun"/>
    <n v="30"/>
    <x v="3"/>
    <x v="1"/>
    <x v="1"/>
    <x v="0"/>
    <m/>
  </r>
  <r>
    <x v="110"/>
    <s v="Mon"/>
    <n v="30"/>
    <x v="3"/>
    <x v="1"/>
    <x v="1"/>
    <x v="0"/>
    <m/>
  </r>
  <r>
    <x v="111"/>
    <s v="Tue"/>
    <n v="30"/>
    <x v="3"/>
    <x v="1"/>
    <x v="1"/>
    <x v="0"/>
    <m/>
  </r>
  <r>
    <x v="112"/>
    <s v="Wed"/>
    <n v="30"/>
    <x v="3"/>
    <x v="1"/>
    <x v="1"/>
    <x v="0"/>
    <m/>
  </r>
  <r>
    <x v="113"/>
    <s v="Thu"/>
    <n v="30"/>
    <x v="3"/>
    <x v="1"/>
    <x v="1"/>
    <x v="0"/>
    <m/>
  </r>
  <r>
    <x v="114"/>
    <s v="Fri"/>
    <n v="30"/>
    <x v="3"/>
    <x v="1"/>
    <x v="1"/>
    <x v="0"/>
    <m/>
  </r>
  <r>
    <x v="115"/>
    <s v="Sat"/>
    <n v="30"/>
    <x v="3"/>
    <x v="1"/>
    <x v="1"/>
    <x v="0"/>
    <m/>
  </r>
  <r>
    <x v="116"/>
    <s v="Sun"/>
    <n v="31"/>
    <x v="3"/>
    <x v="1"/>
    <x v="1"/>
    <x v="0"/>
    <m/>
  </r>
  <r>
    <x v="117"/>
    <s v="Mon"/>
    <n v="31"/>
    <x v="3"/>
    <x v="1"/>
    <x v="1"/>
    <x v="0"/>
    <m/>
  </r>
  <r>
    <x v="118"/>
    <s v="Tue"/>
    <n v="31"/>
    <x v="3"/>
    <x v="1"/>
    <x v="1"/>
    <x v="0"/>
    <m/>
  </r>
  <r>
    <x v="119"/>
    <s v="Wed"/>
    <n v="31"/>
    <x v="3"/>
    <x v="1"/>
    <x v="1"/>
    <x v="0"/>
    <m/>
  </r>
  <r>
    <x v="120"/>
    <s v="Thu"/>
    <n v="31"/>
    <x v="3"/>
    <x v="1"/>
    <x v="1"/>
    <x v="0"/>
    <m/>
  </r>
  <r>
    <x v="121"/>
    <s v="Fri"/>
    <n v="31"/>
    <x v="3"/>
    <x v="1"/>
    <x v="1"/>
    <x v="0"/>
    <m/>
  </r>
  <r>
    <x v="122"/>
    <s v="Sat"/>
    <n v="31"/>
    <x v="4"/>
    <x v="1"/>
    <x v="1"/>
    <x v="0"/>
    <m/>
  </r>
  <r>
    <x v="123"/>
    <s v="Sun"/>
    <n v="32"/>
    <x v="4"/>
    <x v="1"/>
    <x v="1"/>
    <x v="0"/>
    <m/>
  </r>
  <r>
    <x v="124"/>
    <s v="Mon"/>
    <n v="32"/>
    <x v="4"/>
    <x v="1"/>
    <x v="1"/>
    <x v="0"/>
    <m/>
  </r>
  <r>
    <x v="125"/>
    <s v="Tue"/>
    <n v="32"/>
    <x v="4"/>
    <x v="1"/>
    <x v="1"/>
    <x v="0"/>
    <m/>
  </r>
  <r>
    <x v="126"/>
    <s v="Wed"/>
    <n v="32"/>
    <x v="4"/>
    <x v="1"/>
    <x v="1"/>
    <x v="0"/>
    <m/>
  </r>
  <r>
    <x v="127"/>
    <s v="Thu"/>
    <n v="32"/>
    <x v="4"/>
    <x v="1"/>
    <x v="1"/>
    <x v="0"/>
    <m/>
  </r>
  <r>
    <x v="128"/>
    <s v="Fri"/>
    <n v="32"/>
    <x v="4"/>
    <x v="1"/>
    <x v="1"/>
    <x v="0"/>
    <m/>
  </r>
  <r>
    <x v="129"/>
    <s v="Sat"/>
    <n v="32"/>
    <x v="4"/>
    <x v="1"/>
    <x v="1"/>
    <x v="0"/>
    <m/>
  </r>
  <r>
    <x v="130"/>
    <s v="Sun"/>
    <n v="33"/>
    <x v="4"/>
    <x v="1"/>
    <x v="1"/>
    <x v="0"/>
    <m/>
  </r>
  <r>
    <x v="131"/>
    <s v="Mon"/>
    <n v="33"/>
    <x v="4"/>
    <x v="1"/>
    <x v="1"/>
    <x v="0"/>
    <m/>
  </r>
  <r>
    <x v="132"/>
    <s v="Tue"/>
    <n v="33"/>
    <x v="4"/>
    <x v="1"/>
    <x v="1"/>
    <x v="0"/>
    <m/>
  </r>
  <r>
    <x v="133"/>
    <s v="Wed"/>
    <n v="33"/>
    <x v="4"/>
    <x v="1"/>
    <x v="1"/>
    <x v="0"/>
    <m/>
  </r>
  <r>
    <x v="134"/>
    <s v="Thu"/>
    <n v="33"/>
    <x v="4"/>
    <x v="1"/>
    <x v="1"/>
    <x v="0"/>
    <m/>
  </r>
  <r>
    <x v="135"/>
    <s v="Fri"/>
    <n v="33"/>
    <x v="4"/>
    <x v="1"/>
    <x v="1"/>
    <x v="0"/>
    <m/>
  </r>
  <r>
    <x v="136"/>
    <s v="Sat"/>
    <n v="33"/>
    <x v="4"/>
    <x v="1"/>
    <x v="1"/>
    <x v="0"/>
    <m/>
  </r>
  <r>
    <x v="137"/>
    <s v="Sun"/>
    <n v="34"/>
    <x v="4"/>
    <x v="1"/>
    <x v="1"/>
    <x v="0"/>
    <m/>
  </r>
  <r>
    <x v="138"/>
    <s v="Mon"/>
    <n v="34"/>
    <x v="4"/>
    <x v="1"/>
    <x v="1"/>
    <x v="0"/>
    <m/>
  </r>
  <r>
    <x v="139"/>
    <s v="Tue"/>
    <n v="34"/>
    <x v="4"/>
    <x v="1"/>
    <x v="1"/>
    <x v="0"/>
    <m/>
  </r>
  <r>
    <x v="140"/>
    <s v="Wed"/>
    <n v="34"/>
    <x v="4"/>
    <x v="1"/>
    <x v="1"/>
    <x v="0"/>
    <m/>
  </r>
  <r>
    <x v="141"/>
    <s v="Thu"/>
    <n v="34"/>
    <x v="4"/>
    <x v="1"/>
    <x v="1"/>
    <x v="0"/>
    <m/>
  </r>
  <r>
    <x v="142"/>
    <s v="Fri"/>
    <n v="34"/>
    <x v="4"/>
    <x v="1"/>
    <x v="1"/>
    <x v="0"/>
    <m/>
  </r>
  <r>
    <x v="143"/>
    <s v="Sat"/>
    <n v="34"/>
    <x v="4"/>
    <x v="1"/>
    <x v="1"/>
    <x v="0"/>
    <m/>
  </r>
  <r>
    <x v="144"/>
    <s v="Sun"/>
    <n v="35"/>
    <x v="4"/>
    <x v="1"/>
    <x v="1"/>
    <x v="0"/>
    <m/>
  </r>
  <r>
    <x v="145"/>
    <s v="Mon"/>
    <n v="35"/>
    <x v="4"/>
    <x v="1"/>
    <x v="1"/>
    <x v="0"/>
    <m/>
  </r>
  <r>
    <x v="146"/>
    <s v="Tue"/>
    <n v="35"/>
    <x v="4"/>
    <x v="1"/>
    <x v="1"/>
    <x v="0"/>
    <m/>
  </r>
  <r>
    <x v="147"/>
    <s v="Wed"/>
    <n v="35"/>
    <x v="4"/>
    <x v="1"/>
    <x v="1"/>
    <x v="0"/>
    <m/>
  </r>
  <r>
    <x v="148"/>
    <s v="Thu"/>
    <n v="35"/>
    <x v="4"/>
    <x v="1"/>
    <x v="1"/>
    <x v="0"/>
    <m/>
  </r>
  <r>
    <x v="149"/>
    <s v="Fri"/>
    <n v="35"/>
    <x v="4"/>
    <x v="1"/>
    <x v="1"/>
    <x v="0"/>
    <m/>
  </r>
  <r>
    <x v="150"/>
    <s v="Sat"/>
    <n v="35"/>
    <x v="4"/>
    <x v="1"/>
    <x v="1"/>
    <x v="0"/>
    <m/>
  </r>
  <r>
    <x v="151"/>
    <s v="Sun"/>
    <n v="36"/>
    <x v="4"/>
    <x v="1"/>
    <x v="1"/>
    <x v="0"/>
    <m/>
  </r>
  <r>
    <x v="152"/>
    <s v="Mon"/>
    <n v="36"/>
    <x v="4"/>
    <x v="1"/>
    <x v="1"/>
    <x v="0"/>
    <m/>
  </r>
  <r>
    <x v="153"/>
    <s v="Tue"/>
    <n v="36"/>
    <x v="5"/>
    <x v="1"/>
    <x v="1"/>
    <x v="0"/>
    <m/>
  </r>
  <r>
    <x v="154"/>
    <s v="Wed"/>
    <n v="36"/>
    <x v="5"/>
    <x v="1"/>
    <x v="1"/>
    <x v="0"/>
    <m/>
  </r>
  <r>
    <x v="155"/>
    <s v="Thu"/>
    <n v="36"/>
    <x v="5"/>
    <x v="1"/>
    <x v="1"/>
    <x v="0"/>
    <m/>
  </r>
  <r>
    <x v="156"/>
    <s v="Fri"/>
    <n v="36"/>
    <x v="5"/>
    <x v="1"/>
    <x v="1"/>
    <x v="0"/>
    <m/>
  </r>
  <r>
    <x v="157"/>
    <s v="Sat"/>
    <n v="36"/>
    <x v="5"/>
    <x v="1"/>
    <x v="1"/>
    <x v="0"/>
    <m/>
  </r>
  <r>
    <x v="158"/>
    <s v="Sun"/>
    <n v="37"/>
    <x v="5"/>
    <x v="1"/>
    <x v="1"/>
    <x v="0"/>
    <m/>
  </r>
  <r>
    <x v="159"/>
    <s v="Mon"/>
    <n v="37"/>
    <x v="5"/>
    <x v="1"/>
    <x v="1"/>
    <x v="0"/>
    <m/>
  </r>
  <r>
    <x v="160"/>
    <s v="Tue"/>
    <n v="37"/>
    <x v="5"/>
    <x v="1"/>
    <x v="1"/>
    <x v="0"/>
    <m/>
  </r>
  <r>
    <x v="161"/>
    <s v="Wed"/>
    <n v="37"/>
    <x v="5"/>
    <x v="1"/>
    <x v="1"/>
    <x v="0"/>
    <m/>
  </r>
  <r>
    <x v="162"/>
    <s v="Thu"/>
    <n v="37"/>
    <x v="5"/>
    <x v="1"/>
    <x v="1"/>
    <x v="0"/>
    <m/>
  </r>
  <r>
    <x v="163"/>
    <s v="Fri"/>
    <n v="37"/>
    <x v="5"/>
    <x v="1"/>
    <x v="1"/>
    <x v="0"/>
    <m/>
  </r>
  <r>
    <x v="164"/>
    <s v="Sat"/>
    <n v="37"/>
    <x v="5"/>
    <x v="1"/>
    <x v="1"/>
    <x v="0"/>
    <m/>
  </r>
  <r>
    <x v="165"/>
    <s v="Sun"/>
    <n v="38"/>
    <x v="5"/>
    <x v="1"/>
    <x v="1"/>
    <x v="0"/>
    <m/>
  </r>
  <r>
    <x v="166"/>
    <s v="Mon"/>
    <n v="38"/>
    <x v="5"/>
    <x v="1"/>
    <x v="1"/>
    <x v="0"/>
    <m/>
  </r>
  <r>
    <x v="167"/>
    <s v="Tue"/>
    <n v="38"/>
    <x v="5"/>
    <x v="1"/>
    <x v="1"/>
    <x v="0"/>
    <m/>
  </r>
  <r>
    <x v="168"/>
    <s v="Wed"/>
    <n v="38"/>
    <x v="5"/>
    <x v="1"/>
    <x v="1"/>
    <x v="0"/>
    <m/>
  </r>
  <r>
    <x v="169"/>
    <s v="Thu"/>
    <n v="38"/>
    <x v="5"/>
    <x v="1"/>
    <x v="1"/>
    <x v="0"/>
    <m/>
  </r>
  <r>
    <x v="170"/>
    <s v="Fri"/>
    <n v="38"/>
    <x v="5"/>
    <x v="1"/>
    <x v="1"/>
    <x v="0"/>
    <m/>
  </r>
  <r>
    <x v="171"/>
    <s v="Sat"/>
    <n v="38"/>
    <x v="5"/>
    <x v="1"/>
    <x v="1"/>
    <x v="0"/>
    <m/>
  </r>
  <r>
    <x v="172"/>
    <s v="Sun"/>
    <n v="39"/>
    <x v="5"/>
    <x v="1"/>
    <x v="1"/>
    <x v="0"/>
    <m/>
  </r>
  <r>
    <x v="173"/>
    <s v="Mon"/>
    <n v="39"/>
    <x v="5"/>
    <x v="1"/>
    <x v="1"/>
    <x v="0"/>
    <m/>
  </r>
  <r>
    <x v="174"/>
    <s v="Tue"/>
    <n v="39"/>
    <x v="5"/>
    <x v="1"/>
    <x v="1"/>
    <x v="0"/>
    <m/>
  </r>
  <r>
    <x v="175"/>
    <s v="Wed"/>
    <n v="39"/>
    <x v="5"/>
    <x v="1"/>
    <x v="1"/>
    <x v="0"/>
    <m/>
  </r>
  <r>
    <x v="176"/>
    <s v="Thu"/>
    <n v="39"/>
    <x v="5"/>
    <x v="1"/>
    <x v="1"/>
    <x v="0"/>
    <m/>
  </r>
  <r>
    <x v="177"/>
    <s v="Fri"/>
    <n v="39"/>
    <x v="5"/>
    <x v="1"/>
    <x v="1"/>
    <x v="0"/>
    <m/>
  </r>
  <r>
    <x v="178"/>
    <s v="Sat"/>
    <n v="39"/>
    <x v="5"/>
    <x v="1"/>
    <x v="1"/>
    <x v="0"/>
    <m/>
  </r>
  <r>
    <x v="179"/>
    <s v="Sun"/>
    <n v="40"/>
    <x v="5"/>
    <x v="1"/>
    <x v="1"/>
    <x v="0"/>
    <m/>
  </r>
  <r>
    <x v="180"/>
    <s v="Mon"/>
    <n v="40"/>
    <x v="5"/>
    <x v="1"/>
    <x v="1"/>
    <x v="0"/>
    <m/>
  </r>
  <r>
    <x v="181"/>
    <s v="Tue"/>
    <n v="40"/>
    <x v="5"/>
    <x v="1"/>
    <x v="1"/>
    <x v="0"/>
    <m/>
  </r>
  <r>
    <x v="182"/>
    <s v="Wed"/>
    <n v="40"/>
    <x v="5"/>
    <x v="1"/>
    <x v="1"/>
    <x v="0"/>
    <m/>
  </r>
  <r>
    <x v="183"/>
    <s v="Thu"/>
    <n v="40"/>
    <x v="6"/>
    <x v="1"/>
    <x v="1"/>
    <x v="0"/>
    <m/>
  </r>
  <r>
    <x v="184"/>
    <s v="Fri"/>
    <n v="40"/>
    <x v="6"/>
    <x v="1"/>
    <x v="1"/>
    <x v="0"/>
    <m/>
  </r>
  <r>
    <x v="185"/>
    <s v="Sat"/>
    <n v="40"/>
    <x v="6"/>
    <x v="1"/>
    <x v="1"/>
    <x v="0"/>
    <m/>
  </r>
  <r>
    <x v="186"/>
    <s v="Sun"/>
    <n v="41"/>
    <x v="6"/>
    <x v="1"/>
    <x v="1"/>
    <x v="0"/>
    <m/>
  </r>
  <r>
    <x v="187"/>
    <s v="Mon"/>
    <n v="41"/>
    <x v="6"/>
    <x v="1"/>
    <x v="1"/>
    <x v="0"/>
    <m/>
  </r>
  <r>
    <x v="188"/>
    <s v="Tue"/>
    <n v="41"/>
    <x v="6"/>
    <x v="1"/>
    <x v="1"/>
    <x v="0"/>
    <m/>
  </r>
  <r>
    <x v="189"/>
    <s v="Wed"/>
    <n v="41"/>
    <x v="6"/>
    <x v="1"/>
    <x v="1"/>
    <x v="0"/>
    <m/>
  </r>
  <r>
    <x v="190"/>
    <s v="Thu"/>
    <n v="41"/>
    <x v="6"/>
    <x v="1"/>
    <x v="1"/>
    <x v="0"/>
    <m/>
  </r>
  <r>
    <x v="191"/>
    <s v="Fri"/>
    <n v="41"/>
    <x v="6"/>
    <x v="1"/>
    <x v="1"/>
    <x v="0"/>
    <m/>
  </r>
  <r>
    <x v="192"/>
    <s v="Sat"/>
    <n v="41"/>
    <x v="6"/>
    <x v="1"/>
    <x v="1"/>
    <x v="0"/>
    <m/>
  </r>
  <r>
    <x v="193"/>
    <s v="Sun"/>
    <n v="42"/>
    <x v="6"/>
    <x v="1"/>
    <x v="1"/>
    <x v="0"/>
    <m/>
  </r>
  <r>
    <x v="194"/>
    <s v="Mon"/>
    <n v="42"/>
    <x v="6"/>
    <x v="1"/>
    <x v="1"/>
    <x v="0"/>
    <m/>
  </r>
  <r>
    <x v="195"/>
    <s v="Tue"/>
    <n v="42"/>
    <x v="6"/>
    <x v="1"/>
    <x v="1"/>
    <x v="0"/>
    <m/>
  </r>
  <r>
    <x v="196"/>
    <s v="Wed"/>
    <n v="42"/>
    <x v="6"/>
    <x v="1"/>
    <x v="1"/>
    <x v="0"/>
    <m/>
  </r>
  <r>
    <x v="197"/>
    <s v="Thu"/>
    <n v="42"/>
    <x v="6"/>
    <x v="1"/>
    <x v="1"/>
    <x v="0"/>
    <m/>
  </r>
  <r>
    <x v="198"/>
    <s v="Fri"/>
    <n v="42"/>
    <x v="6"/>
    <x v="1"/>
    <x v="1"/>
    <x v="0"/>
    <m/>
  </r>
  <r>
    <x v="199"/>
    <s v="Sat"/>
    <n v="42"/>
    <x v="6"/>
    <x v="1"/>
    <x v="1"/>
    <x v="0"/>
    <m/>
  </r>
  <r>
    <x v="200"/>
    <s v="Sun"/>
    <n v="43"/>
    <x v="6"/>
    <x v="1"/>
    <x v="1"/>
    <x v="0"/>
    <m/>
  </r>
  <r>
    <x v="201"/>
    <s v="Mon"/>
    <n v="43"/>
    <x v="6"/>
    <x v="1"/>
    <x v="1"/>
    <x v="0"/>
    <m/>
  </r>
  <r>
    <x v="202"/>
    <s v="Tue"/>
    <n v="43"/>
    <x v="6"/>
    <x v="1"/>
    <x v="1"/>
    <x v="0"/>
    <m/>
  </r>
  <r>
    <x v="203"/>
    <s v="Wed"/>
    <n v="43"/>
    <x v="6"/>
    <x v="1"/>
    <x v="1"/>
    <x v="0"/>
    <m/>
  </r>
  <r>
    <x v="204"/>
    <s v="Thu"/>
    <n v="43"/>
    <x v="6"/>
    <x v="1"/>
    <x v="1"/>
    <x v="0"/>
    <m/>
  </r>
  <r>
    <x v="205"/>
    <s v="Fri"/>
    <n v="43"/>
    <x v="6"/>
    <x v="1"/>
    <x v="1"/>
    <x v="0"/>
    <m/>
  </r>
  <r>
    <x v="206"/>
    <s v="Sat"/>
    <n v="43"/>
    <x v="6"/>
    <x v="1"/>
    <x v="1"/>
    <x v="0"/>
    <m/>
  </r>
  <r>
    <x v="207"/>
    <s v="Sun"/>
    <n v="44"/>
    <x v="6"/>
    <x v="1"/>
    <x v="1"/>
    <x v="0"/>
    <m/>
  </r>
  <r>
    <x v="208"/>
    <s v="Mon"/>
    <n v="44"/>
    <x v="6"/>
    <x v="1"/>
    <x v="1"/>
    <x v="0"/>
    <m/>
  </r>
  <r>
    <x v="209"/>
    <s v="Tue"/>
    <n v="44"/>
    <x v="6"/>
    <x v="1"/>
    <x v="1"/>
    <x v="0"/>
    <m/>
  </r>
  <r>
    <x v="210"/>
    <s v="Wed"/>
    <n v="44"/>
    <x v="6"/>
    <x v="1"/>
    <x v="1"/>
    <x v="0"/>
    <m/>
  </r>
  <r>
    <x v="211"/>
    <s v="Thu"/>
    <n v="44"/>
    <x v="6"/>
    <x v="1"/>
    <x v="1"/>
    <x v="0"/>
    <m/>
  </r>
  <r>
    <x v="212"/>
    <s v="Fri"/>
    <n v="44"/>
    <x v="6"/>
    <x v="1"/>
    <x v="1"/>
    <x v="0"/>
    <m/>
  </r>
  <r>
    <x v="213"/>
    <s v="Sat"/>
    <n v="44"/>
    <x v="6"/>
    <x v="1"/>
    <x v="1"/>
    <x v="0"/>
    <m/>
  </r>
  <r>
    <x v="214"/>
    <s v="Sun"/>
    <n v="45"/>
    <x v="7"/>
    <x v="1"/>
    <x v="1"/>
    <x v="0"/>
    <m/>
  </r>
  <r>
    <x v="215"/>
    <s v="Mon"/>
    <n v="45"/>
    <x v="7"/>
    <x v="1"/>
    <x v="1"/>
    <x v="0"/>
    <m/>
  </r>
  <r>
    <x v="216"/>
    <s v="Tue"/>
    <n v="45"/>
    <x v="7"/>
    <x v="1"/>
    <x v="1"/>
    <x v="0"/>
    <m/>
  </r>
  <r>
    <x v="217"/>
    <s v="Wed"/>
    <n v="45"/>
    <x v="7"/>
    <x v="1"/>
    <x v="1"/>
    <x v="0"/>
    <m/>
  </r>
  <r>
    <x v="218"/>
    <s v="Thu"/>
    <n v="45"/>
    <x v="7"/>
    <x v="1"/>
    <x v="1"/>
    <x v="0"/>
    <m/>
  </r>
  <r>
    <x v="219"/>
    <s v="Fri"/>
    <n v="45"/>
    <x v="7"/>
    <x v="1"/>
    <x v="1"/>
    <x v="0"/>
    <m/>
  </r>
  <r>
    <x v="220"/>
    <s v="Sat"/>
    <n v="45"/>
    <x v="7"/>
    <x v="1"/>
    <x v="1"/>
    <x v="0"/>
    <m/>
  </r>
  <r>
    <x v="221"/>
    <s v="Sun"/>
    <n v="46"/>
    <x v="7"/>
    <x v="1"/>
    <x v="1"/>
    <x v="0"/>
    <m/>
  </r>
  <r>
    <x v="222"/>
    <s v="Mon"/>
    <n v="46"/>
    <x v="7"/>
    <x v="1"/>
    <x v="1"/>
    <x v="0"/>
    <m/>
  </r>
  <r>
    <x v="223"/>
    <s v="Tue"/>
    <n v="46"/>
    <x v="7"/>
    <x v="1"/>
    <x v="1"/>
    <x v="0"/>
    <m/>
  </r>
  <r>
    <x v="224"/>
    <s v="Wed"/>
    <n v="46"/>
    <x v="7"/>
    <x v="1"/>
    <x v="1"/>
    <x v="0"/>
    <m/>
  </r>
  <r>
    <x v="225"/>
    <s v="Thu"/>
    <n v="46"/>
    <x v="7"/>
    <x v="1"/>
    <x v="1"/>
    <x v="0"/>
    <m/>
  </r>
  <r>
    <x v="226"/>
    <s v="Fri"/>
    <n v="46"/>
    <x v="7"/>
    <x v="1"/>
    <x v="1"/>
    <x v="0"/>
    <m/>
  </r>
  <r>
    <x v="227"/>
    <s v="Sat"/>
    <n v="46"/>
    <x v="7"/>
    <x v="1"/>
    <x v="1"/>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x v="0"/>
    <s v="Sat"/>
    <n v="1"/>
    <x v="0"/>
    <x v="0"/>
    <x v="0"/>
    <x v="0"/>
  </r>
  <r>
    <x v="1"/>
    <s v="Sun"/>
    <n v="2"/>
    <x v="0"/>
    <x v="1"/>
    <x v="1"/>
    <x v="0"/>
  </r>
  <r>
    <x v="2"/>
    <s v="Mon"/>
    <n v="2"/>
    <x v="0"/>
    <x v="0"/>
    <x v="0"/>
    <x v="0"/>
  </r>
  <r>
    <x v="3"/>
    <s v="Tue"/>
    <n v="2"/>
    <x v="0"/>
    <x v="0"/>
    <x v="0"/>
    <x v="0"/>
  </r>
  <r>
    <x v="4"/>
    <s v="Wed"/>
    <n v="2"/>
    <x v="0"/>
    <x v="0"/>
    <x v="0"/>
    <x v="0"/>
  </r>
  <r>
    <x v="5"/>
    <s v="Thu"/>
    <n v="2"/>
    <x v="0"/>
    <x v="0"/>
    <x v="0"/>
    <x v="0"/>
  </r>
  <r>
    <x v="6"/>
    <s v="Fri"/>
    <n v="2"/>
    <x v="0"/>
    <x v="2"/>
    <x v="2"/>
    <x v="0"/>
  </r>
  <r>
    <x v="7"/>
    <s v="Sat"/>
    <n v="2"/>
    <x v="0"/>
    <x v="0"/>
    <x v="0"/>
    <x v="0"/>
  </r>
  <r>
    <x v="8"/>
    <s v="Sun"/>
    <n v="3"/>
    <x v="0"/>
    <x v="1"/>
    <x v="1"/>
    <x v="0"/>
  </r>
  <r>
    <x v="9"/>
    <s v="Mon"/>
    <n v="3"/>
    <x v="0"/>
    <x v="0"/>
    <x v="0"/>
    <x v="0"/>
  </r>
  <r>
    <x v="10"/>
    <s v="Tue"/>
    <n v="3"/>
    <x v="0"/>
    <x v="0"/>
    <x v="0"/>
    <x v="0"/>
  </r>
  <r>
    <x v="11"/>
    <s v="Wed"/>
    <n v="3"/>
    <x v="0"/>
    <x v="0"/>
    <x v="0"/>
    <x v="0"/>
  </r>
  <r>
    <x v="12"/>
    <s v="Thu"/>
    <n v="3"/>
    <x v="0"/>
    <x v="0"/>
    <x v="0"/>
    <x v="0"/>
  </r>
  <r>
    <x v="13"/>
    <s v="Fri"/>
    <n v="3"/>
    <x v="0"/>
    <x v="0"/>
    <x v="0"/>
    <x v="0"/>
  </r>
  <r>
    <x v="14"/>
    <s v="Sat"/>
    <n v="3"/>
    <x v="0"/>
    <x v="2"/>
    <x v="2"/>
    <x v="0"/>
  </r>
  <r>
    <x v="15"/>
    <s v="Sun"/>
    <n v="4"/>
    <x v="0"/>
    <x v="1"/>
    <x v="1"/>
    <x v="0"/>
  </r>
  <r>
    <x v="16"/>
    <s v="Mon"/>
    <n v="4"/>
    <x v="0"/>
    <x v="0"/>
    <x v="0"/>
    <x v="0"/>
  </r>
  <r>
    <x v="17"/>
    <s v="Tue"/>
    <n v="4"/>
    <x v="0"/>
    <x v="0"/>
    <x v="0"/>
    <x v="0"/>
  </r>
  <r>
    <x v="18"/>
    <s v="Wed"/>
    <n v="4"/>
    <x v="0"/>
    <x v="1"/>
    <x v="1"/>
    <x v="0"/>
  </r>
  <r>
    <x v="19"/>
    <s v="Thu"/>
    <n v="4"/>
    <x v="0"/>
    <x v="1"/>
    <x v="1"/>
    <x v="0"/>
  </r>
  <r>
    <x v="20"/>
    <s v="Fri"/>
    <n v="4"/>
    <x v="0"/>
    <x v="1"/>
    <x v="1"/>
    <x v="0"/>
  </r>
  <r>
    <x v="21"/>
    <s v="Sat"/>
    <n v="4"/>
    <x v="0"/>
    <x v="1"/>
    <x v="1"/>
    <x v="0"/>
  </r>
  <r>
    <x v="22"/>
    <s v="Sun"/>
    <n v="5"/>
    <x v="0"/>
    <x v="1"/>
    <x v="1"/>
    <x v="0"/>
  </r>
  <r>
    <x v="23"/>
    <s v="Mon"/>
    <n v="5"/>
    <x v="0"/>
    <x v="0"/>
    <x v="0"/>
    <x v="1"/>
  </r>
  <r>
    <x v="24"/>
    <s v="Tue"/>
    <n v="5"/>
    <x v="0"/>
    <x v="0"/>
    <x v="0"/>
    <x v="1"/>
  </r>
  <r>
    <x v="25"/>
    <s v="Wed"/>
    <n v="5"/>
    <x v="0"/>
    <x v="0"/>
    <x v="0"/>
    <x v="1"/>
  </r>
  <r>
    <x v="26"/>
    <s v="Thu"/>
    <n v="5"/>
    <x v="0"/>
    <x v="2"/>
    <x v="2"/>
    <x v="1"/>
  </r>
  <r>
    <x v="27"/>
    <s v="Fri"/>
    <n v="5"/>
    <x v="0"/>
    <x v="0"/>
    <x v="0"/>
    <x v="1"/>
  </r>
  <r>
    <x v="28"/>
    <s v="Sat"/>
    <n v="5"/>
    <x v="0"/>
    <x v="0"/>
    <x v="0"/>
    <x v="1"/>
  </r>
  <r>
    <x v="29"/>
    <s v="Sun"/>
    <n v="6"/>
    <x v="1"/>
    <x v="1"/>
    <x v="1"/>
    <x v="1"/>
  </r>
  <r>
    <x v="30"/>
    <s v="Mon"/>
    <n v="6"/>
    <x v="1"/>
    <x v="0"/>
    <x v="0"/>
    <x v="1"/>
  </r>
  <r>
    <x v="31"/>
    <s v="Tue"/>
    <n v="6"/>
    <x v="1"/>
    <x v="0"/>
    <x v="0"/>
    <x v="1"/>
  </r>
  <r>
    <x v="32"/>
    <s v="Wed"/>
    <n v="6"/>
    <x v="1"/>
    <x v="0"/>
    <x v="0"/>
    <x v="1"/>
  </r>
  <r>
    <x v="33"/>
    <s v="Thu"/>
    <n v="6"/>
    <x v="1"/>
    <x v="0"/>
    <x v="0"/>
    <x v="1"/>
  </r>
  <r>
    <x v="34"/>
    <s v="Fri"/>
    <n v="6"/>
    <x v="1"/>
    <x v="0"/>
    <x v="0"/>
    <x v="1"/>
  </r>
  <r>
    <x v="35"/>
    <s v="Sat"/>
    <n v="6"/>
    <x v="1"/>
    <x v="0"/>
    <x v="0"/>
    <x v="1"/>
  </r>
  <r>
    <x v="36"/>
    <s v="Sun"/>
    <n v="7"/>
    <x v="1"/>
    <x v="1"/>
    <x v="1"/>
    <x v="1"/>
  </r>
  <r>
    <x v="37"/>
    <s v="Mon"/>
    <n v="7"/>
    <x v="1"/>
    <x v="0"/>
    <x v="0"/>
    <x v="1"/>
  </r>
  <r>
    <x v="38"/>
    <s v="Tue"/>
    <n v="7"/>
    <x v="1"/>
    <x v="0"/>
    <x v="0"/>
    <x v="1"/>
  </r>
  <r>
    <x v="39"/>
    <s v="Wed"/>
    <n v="7"/>
    <x v="1"/>
    <x v="0"/>
    <x v="0"/>
    <x v="1"/>
  </r>
  <r>
    <x v="40"/>
    <s v="Thu"/>
    <n v="7"/>
    <x v="1"/>
    <x v="0"/>
    <x v="0"/>
    <x v="1"/>
  </r>
  <r>
    <x v="41"/>
    <s v="Fri"/>
    <n v="7"/>
    <x v="1"/>
    <x v="0"/>
    <x v="0"/>
    <x v="1"/>
  </r>
  <r>
    <x v="42"/>
    <s v="Sat"/>
    <n v="7"/>
    <x v="1"/>
    <x v="0"/>
    <x v="0"/>
    <x v="1"/>
  </r>
  <r>
    <x v="43"/>
    <s v="Sun"/>
    <n v="8"/>
    <x v="1"/>
    <x v="1"/>
    <x v="1"/>
    <x v="1"/>
  </r>
  <r>
    <x v="44"/>
    <s v="Mon"/>
    <n v="8"/>
    <x v="1"/>
    <x v="0"/>
    <x v="0"/>
    <x v="1"/>
  </r>
  <r>
    <x v="45"/>
    <s v="Tue"/>
    <n v="8"/>
    <x v="1"/>
    <x v="0"/>
    <x v="0"/>
    <x v="1"/>
  </r>
  <r>
    <x v="46"/>
    <s v="Wed"/>
    <n v="8"/>
    <x v="1"/>
    <x v="0"/>
    <x v="0"/>
    <x v="1"/>
  </r>
  <r>
    <x v="47"/>
    <s v="Thu"/>
    <n v="8"/>
    <x v="1"/>
    <x v="0"/>
    <x v="0"/>
    <x v="1"/>
  </r>
  <r>
    <x v="48"/>
    <s v="Fri"/>
    <n v="8"/>
    <x v="1"/>
    <x v="0"/>
    <x v="0"/>
    <x v="1"/>
  </r>
  <r>
    <x v="49"/>
    <s v="Sat"/>
    <n v="8"/>
    <x v="1"/>
    <x v="0"/>
    <x v="0"/>
    <x v="1"/>
  </r>
  <r>
    <x v="50"/>
    <s v="Sun"/>
    <n v="9"/>
    <x v="1"/>
    <x v="1"/>
    <x v="1"/>
    <x v="1"/>
  </r>
  <r>
    <x v="51"/>
    <s v="Mon"/>
    <n v="9"/>
    <x v="1"/>
    <x v="0"/>
    <x v="0"/>
    <x v="1"/>
  </r>
  <r>
    <x v="52"/>
    <s v="Tue"/>
    <n v="9"/>
    <x v="1"/>
    <x v="0"/>
    <x v="0"/>
    <x v="1"/>
  </r>
  <r>
    <x v="53"/>
    <s v="Wed"/>
    <n v="9"/>
    <x v="1"/>
    <x v="0"/>
    <x v="0"/>
    <x v="1"/>
  </r>
  <r>
    <x v="54"/>
    <s v="Thu"/>
    <n v="9"/>
    <x v="1"/>
    <x v="0"/>
    <x v="0"/>
    <x v="1"/>
  </r>
  <r>
    <x v="55"/>
    <s v="Fri"/>
    <n v="9"/>
    <x v="1"/>
    <x v="0"/>
    <x v="0"/>
    <x v="1"/>
  </r>
  <r>
    <x v="56"/>
    <s v="Sat"/>
    <n v="9"/>
    <x v="1"/>
    <x v="0"/>
    <x v="0"/>
    <x v="1"/>
  </r>
  <r>
    <x v="57"/>
    <s v="Sun"/>
    <n v="10"/>
    <x v="2"/>
    <x v="1"/>
    <x v="1"/>
    <x v="1"/>
  </r>
  <r>
    <x v="58"/>
    <s v="Mon"/>
    <n v="10"/>
    <x v="2"/>
    <x v="2"/>
    <x v="2"/>
    <x v="1"/>
  </r>
  <r>
    <x v="59"/>
    <s v="Tue"/>
    <n v="10"/>
    <x v="2"/>
    <x v="0"/>
    <x v="0"/>
    <x v="1"/>
  </r>
  <r>
    <x v="60"/>
    <s v="Wed"/>
    <n v="10"/>
    <x v="2"/>
    <x v="0"/>
    <x v="0"/>
    <x v="1"/>
  </r>
  <r>
    <x v="61"/>
    <s v="Thu"/>
    <n v="10"/>
    <x v="2"/>
    <x v="0"/>
    <x v="0"/>
    <x v="1"/>
  </r>
  <r>
    <x v="62"/>
    <s v="Fri"/>
    <n v="10"/>
    <x v="2"/>
    <x v="0"/>
    <x v="0"/>
    <x v="1"/>
  </r>
  <r>
    <x v="63"/>
    <s v="Sat"/>
    <n v="10"/>
    <x v="2"/>
    <x v="0"/>
    <x v="0"/>
    <x v="1"/>
  </r>
  <r>
    <x v="64"/>
    <s v="Sun"/>
    <n v="11"/>
    <x v="2"/>
    <x v="1"/>
    <x v="1"/>
    <x v="1"/>
  </r>
  <r>
    <x v="65"/>
    <s v="Mon"/>
    <n v="11"/>
    <x v="2"/>
    <x v="0"/>
    <x v="0"/>
    <x v="1"/>
  </r>
  <r>
    <x v="66"/>
    <s v="Tue"/>
    <n v="11"/>
    <x v="2"/>
    <x v="0"/>
    <x v="0"/>
    <x v="1"/>
  </r>
  <r>
    <x v="67"/>
    <s v="Wed"/>
    <n v="11"/>
    <x v="2"/>
    <x v="0"/>
    <x v="0"/>
    <x v="1"/>
  </r>
  <r>
    <x v="68"/>
    <s v="Thu"/>
    <n v="11"/>
    <x v="2"/>
    <x v="0"/>
    <x v="0"/>
    <x v="1"/>
  </r>
  <r>
    <x v="69"/>
    <s v="Fri"/>
    <n v="11"/>
    <x v="2"/>
    <x v="0"/>
    <x v="0"/>
    <x v="1"/>
  </r>
  <r>
    <x v="70"/>
    <s v="Sat"/>
    <n v="11"/>
    <x v="2"/>
    <x v="0"/>
    <x v="0"/>
    <x v="1"/>
  </r>
  <r>
    <x v="71"/>
    <s v="Sun"/>
    <n v="12"/>
    <x v="2"/>
    <x v="1"/>
    <x v="1"/>
    <x v="1"/>
  </r>
  <r>
    <x v="72"/>
    <s v="Mon"/>
    <n v="12"/>
    <x v="2"/>
    <x v="0"/>
    <x v="0"/>
    <x v="1"/>
  </r>
  <r>
    <x v="73"/>
    <s v="Tue"/>
    <n v="12"/>
    <x v="2"/>
    <x v="0"/>
    <x v="0"/>
    <x v="1"/>
  </r>
  <r>
    <x v="74"/>
    <s v="Wed"/>
    <n v="12"/>
    <x v="2"/>
    <x v="0"/>
    <x v="0"/>
    <x v="1"/>
  </r>
  <r>
    <x v="75"/>
    <s v="Thu"/>
    <n v="12"/>
    <x v="2"/>
    <x v="1"/>
    <x v="1"/>
    <x v="1"/>
  </r>
  <r>
    <x v="76"/>
    <s v="Fri"/>
    <n v="12"/>
    <x v="2"/>
    <x v="1"/>
    <x v="1"/>
    <x v="1"/>
  </r>
  <r>
    <x v="77"/>
    <s v="Sat"/>
    <n v="12"/>
    <x v="2"/>
    <x v="1"/>
    <x v="1"/>
    <x v="1"/>
  </r>
  <r>
    <x v="78"/>
    <s v="Sun"/>
    <n v="13"/>
    <x v="2"/>
    <x v="1"/>
    <x v="1"/>
    <x v="1"/>
  </r>
  <r>
    <x v="79"/>
    <s v="Mon"/>
    <n v="13"/>
    <x v="2"/>
    <x v="1"/>
    <x v="1"/>
    <x v="1"/>
  </r>
  <r>
    <x v="80"/>
    <s v="Tue"/>
    <n v="13"/>
    <x v="2"/>
    <x v="1"/>
    <x v="1"/>
    <x v="1"/>
  </r>
  <r>
    <x v="81"/>
    <s v="Wed"/>
    <n v="13"/>
    <x v="2"/>
    <x v="1"/>
    <x v="1"/>
    <x v="1"/>
  </r>
  <r>
    <x v="82"/>
    <s v="Thu"/>
    <n v="13"/>
    <x v="2"/>
    <x v="1"/>
    <x v="1"/>
    <x v="1"/>
  </r>
  <r>
    <x v="83"/>
    <s v="Fri"/>
    <n v="13"/>
    <x v="2"/>
    <x v="1"/>
    <x v="1"/>
    <x v="1"/>
  </r>
  <r>
    <x v="84"/>
    <s v="Sat"/>
    <n v="13"/>
    <x v="2"/>
    <x v="1"/>
    <x v="1"/>
    <x v="1"/>
  </r>
  <r>
    <x v="85"/>
    <s v="Sun"/>
    <n v="14"/>
    <x v="2"/>
    <x v="1"/>
    <x v="1"/>
    <x v="1"/>
  </r>
  <r>
    <x v="86"/>
    <s v="Mon"/>
    <n v="14"/>
    <x v="2"/>
    <x v="0"/>
    <x v="0"/>
    <x v="1"/>
  </r>
  <r>
    <x v="87"/>
    <s v="Tue"/>
    <n v="14"/>
    <x v="2"/>
    <x v="0"/>
    <x v="0"/>
    <x v="1"/>
  </r>
  <r>
    <x v="88"/>
    <s v="Wed"/>
    <n v="14"/>
    <x v="3"/>
    <x v="0"/>
    <x v="0"/>
    <x v="1"/>
  </r>
  <r>
    <x v="89"/>
    <s v="Thu"/>
    <n v="14"/>
    <x v="3"/>
    <x v="0"/>
    <x v="0"/>
    <x v="1"/>
  </r>
  <r>
    <x v="90"/>
    <s v="Fri"/>
    <n v="14"/>
    <x v="3"/>
    <x v="0"/>
    <x v="0"/>
    <x v="1"/>
  </r>
  <r>
    <x v="91"/>
    <s v="Sat"/>
    <n v="14"/>
    <x v="3"/>
    <x v="0"/>
    <x v="0"/>
    <x v="1"/>
  </r>
  <r>
    <x v="92"/>
    <s v="Sun"/>
    <n v="15"/>
    <x v="3"/>
    <x v="1"/>
    <x v="1"/>
    <x v="1"/>
  </r>
  <r>
    <x v="93"/>
    <s v="Mon"/>
    <n v="15"/>
    <x v="3"/>
    <x v="0"/>
    <x v="0"/>
    <x v="1"/>
  </r>
  <r>
    <x v="94"/>
    <s v="Tue"/>
    <n v="15"/>
    <x v="3"/>
    <x v="0"/>
    <x v="0"/>
    <x v="1"/>
  </r>
  <r>
    <x v="95"/>
    <s v="Wed"/>
    <n v="15"/>
    <x v="3"/>
    <x v="0"/>
    <x v="0"/>
    <x v="1"/>
  </r>
  <r>
    <x v="96"/>
    <s v="Thu"/>
    <n v="15"/>
    <x v="3"/>
    <x v="0"/>
    <x v="0"/>
    <x v="1"/>
  </r>
  <r>
    <x v="97"/>
    <s v="Fri"/>
    <n v="15"/>
    <x v="3"/>
    <x v="0"/>
    <x v="0"/>
    <x v="1"/>
  </r>
  <r>
    <x v="98"/>
    <s v="Sat"/>
    <n v="15"/>
    <x v="3"/>
    <x v="3"/>
    <x v="3"/>
    <x v="1"/>
  </r>
  <r>
    <x v="99"/>
    <s v="Sun"/>
    <n v="16"/>
    <x v="3"/>
    <x v="1"/>
    <x v="1"/>
    <x v="1"/>
  </r>
  <r>
    <x v="100"/>
    <s v="Mon"/>
    <n v="16"/>
    <x v="3"/>
    <x v="0"/>
    <x v="0"/>
    <x v="1"/>
  </r>
  <r>
    <x v="101"/>
    <s v="Tue"/>
    <n v="16"/>
    <x v="3"/>
    <x v="0"/>
    <x v="0"/>
    <x v="1"/>
  </r>
  <r>
    <x v="102"/>
    <s v="Wed"/>
    <n v="16"/>
    <x v="3"/>
    <x v="0"/>
    <x v="0"/>
    <x v="1"/>
  </r>
  <r>
    <x v="103"/>
    <s v="Thu"/>
    <n v="16"/>
    <x v="3"/>
    <x v="0"/>
    <x v="0"/>
    <x v="1"/>
  </r>
  <r>
    <x v="104"/>
    <s v="Fri"/>
    <n v="16"/>
    <x v="3"/>
    <x v="0"/>
    <x v="0"/>
    <x v="1"/>
  </r>
  <r>
    <x v="105"/>
    <s v="Sat"/>
    <n v="16"/>
    <x v="3"/>
    <x v="0"/>
    <x v="0"/>
    <x v="1"/>
  </r>
  <r>
    <x v="106"/>
    <s v="Sun"/>
    <n v="17"/>
    <x v="3"/>
    <x v="1"/>
    <x v="1"/>
    <x v="1"/>
  </r>
  <r>
    <x v="107"/>
    <s v="Mon"/>
    <n v="17"/>
    <x v="3"/>
    <x v="0"/>
    <x v="0"/>
    <x v="1"/>
  </r>
  <r>
    <x v="108"/>
    <s v="Tue"/>
    <n v="17"/>
    <x v="3"/>
    <x v="0"/>
    <x v="0"/>
    <x v="1"/>
  </r>
  <r>
    <x v="109"/>
    <s v="Wed"/>
    <n v="17"/>
    <x v="3"/>
    <x v="0"/>
    <x v="0"/>
    <x v="1"/>
  </r>
  <r>
    <x v="110"/>
    <s v="Thu"/>
    <n v="17"/>
    <x v="3"/>
    <x v="0"/>
    <x v="0"/>
    <x v="1"/>
  </r>
  <r>
    <x v="111"/>
    <s v="Fri"/>
    <n v="17"/>
    <x v="3"/>
    <x v="0"/>
    <x v="0"/>
    <x v="1"/>
  </r>
  <r>
    <x v="112"/>
    <s v="Sat"/>
    <n v="17"/>
    <x v="3"/>
    <x v="0"/>
    <x v="0"/>
    <x v="1"/>
  </r>
  <r>
    <x v="113"/>
    <s v="Sun"/>
    <n v="18"/>
    <x v="3"/>
    <x v="1"/>
    <x v="1"/>
    <x v="1"/>
  </r>
  <r>
    <x v="114"/>
    <s v="Mon"/>
    <n v="18"/>
    <x v="3"/>
    <x v="2"/>
    <x v="2"/>
    <x v="1"/>
  </r>
  <r>
    <x v="115"/>
    <s v="Tue"/>
    <n v="18"/>
    <x v="3"/>
    <x v="0"/>
    <x v="0"/>
    <x v="1"/>
  </r>
  <r>
    <x v="116"/>
    <s v="Wed"/>
    <n v="18"/>
    <x v="3"/>
    <x v="1"/>
    <x v="1"/>
    <x v="1"/>
  </r>
  <r>
    <x v="117"/>
    <s v="Thu"/>
    <n v="18"/>
    <x v="3"/>
    <x v="0"/>
    <x v="0"/>
    <x v="1"/>
  </r>
  <r>
    <x v="118"/>
    <s v="Fri"/>
    <n v="18"/>
    <x v="4"/>
    <x v="0"/>
    <x v="0"/>
    <x v="1"/>
  </r>
  <r>
    <x v="119"/>
    <s v="Sat"/>
    <n v="18"/>
    <x v="4"/>
    <x v="0"/>
    <x v="0"/>
    <x v="1"/>
  </r>
  <r>
    <x v="120"/>
    <s v="Sun"/>
    <n v="19"/>
    <x v="4"/>
    <x v="1"/>
    <x v="1"/>
    <x v="1"/>
  </r>
  <r>
    <x v="121"/>
    <s v="Mon"/>
    <n v="19"/>
    <x v="4"/>
    <x v="0"/>
    <x v="0"/>
    <x v="1"/>
  </r>
  <r>
    <x v="122"/>
    <s v="Tue"/>
    <n v="19"/>
    <x v="4"/>
    <x v="0"/>
    <x v="0"/>
    <x v="1"/>
  </r>
  <r>
    <x v="123"/>
    <s v="Wed"/>
    <n v="19"/>
    <x v="4"/>
    <x v="0"/>
    <x v="0"/>
    <x v="1"/>
  </r>
  <r>
    <x v="124"/>
    <s v="Thu"/>
    <n v="19"/>
    <x v="4"/>
    <x v="0"/>
    <x v="0"/>
    <x v="1"/>
  </r>
  <r>
    <x v="125"/>
    <s v="Fri"/>
    <n v="19"/>
    <x v="4"/>
    <x v="0"/>
    <x v="0"/>
    <x v="1"/>
  </r>
  <r>
    <x v="126"/>
    <s v="Sat"/>
    <n v="19"/>
    <x v="4"/>
    <x v="0"/>
    <x v="0"/>
    <x v="1"/>
  </r>
  <r>
    <x v="127"/>
    <s v="Sun"/>
    <n v="20"/>
    <x v="4"/>
    <x v="1"/>
    <x v="1"/>
    <x v="1"/>
  </r>
  <r>
    <x v="128"/>
    <s v="Mon"/>
    <n v="20"/>
    <x v="4"/>
    <x v="0"/>
    <x v="0"/>
    <x v="1"/>
  </r>
  <r>
    <x v="129"/>
    <s v="Tue"/>
    <n v="20"/>
    <x v="4"/>
    <x v="0"/>
    <x v="0"/>
    <x v="1"/>
  </r>
  <r>
    <x v="130"/>
    <s v="Wed"/>
    <n v="20"/>
    <x v="4"/>
    <x v="0"/>
    <x v="0"/>
    <x v="1"/>
  </r>
  <r>
    <x v="131"/>
    <s v="Thu"/>
    <n v="20"/>
    <x v="4"/>
    <x v="0"/>
    <x v="0"/>
    <x v="1"/>
  </r>
  <r>
    <x v="132"/>
    <s v="Fri"/>
    <n v="20"/>
    <x v="4"/>
    <x v="0"/>
    <x v="0"/>
    <x v="1"/>
  </r>
  <r>
    <x v="133"/>
    <s v="Sat"/>
    <n v="20"/>
    <x v="4"/>
    <x v="4"/>
    <x v="4"/>
    <x v="1"/>
  </r>
  <r>
    <x v="134"/>
    <s v="Sun"/>
    <n v="21"/>
    <x v="4"/>
    <x v="1"/>
    <x v="1"/>
    <x v="1"/>
  </r>
  <r>
    <x v="135"/>
    <s v="Mon"/>
    <n v="21"/>
    <x v="4"/>
    <x v="0"/>
    <x v="0"/>
    <x v="1"/>
  </r>
  <r>
    <x v="136"/>
    <s v="Tue"/>
    <n v="21"/>
    <x v="4"/>
    <x v="0"/>
    <x v="0"/>
    <x v="1"/>
  </r>
  <r>
    <x v="137"/>
    <s v="Wed"/>
    <n v="21"/>
    <x v="4"/>
    <x v="0"/>
    <x v="0"/>
    <x v="1"/>
  </r>
  <r>
    <x v="138"/>
    <s v="Thu"/>
    <n v="21"/>
    <x v="4"/>
    <x v="0"/>
    <x v="0"/>
    <x v="1"/>
  </r>
  <r>
    <x v="139"/>
    <s v="Fri"/>
    <n v="21"/>
    <x v="4"/>
    <x v="0"/>
    <x v="0"/>
    <x v="1"/>
  </r>
  <r>
    <x v="140"/>
    <s v="Sat"/>
    <n v="21"/>
    <x v="4"/>
    <x v="0"/>
    <x v="0"/>
    <x v="1"/>
  </r>
  <r>
    <x v="141"/>
    <s v="Sun"/>
    <n v="22"/>
    <x v="4"/>
    <x v="1"/>
    <x v="1"/>
    <x v="1"/>
  </r>
  <r>
    <x v="142"/>
    <s v="Mon"/>
    <n v="22"/>
    <x v="4"/>
    <x v="0"/>
    <x v="0"/>
    <x v="1"/>
  </r>
  <r>
    <x v="143"/>
    <s v="Tue"/>
    <n v="22"/>
    <x v="4"/>
    <x v="0"/>
    <x v="0"/>
    <x v="1"/>
  </r>
  <r>
    <x v="144"/>
    <s v="Wed"/>
    <n v="22"/>
    <x v="4"/>
    <x v="4"/>
    <x v="4"/>
    <x v="1"/>
  </r>
  <r>
    <x v="145"/>
    <s v="Thu"/>
    <n v="22"/>
    <x v="4"/>
    <x v="0"/>
    <x v="0"/>
    <x v="1"/>
  </r>
  <r>
    <x v="146"/>
    <s v="Fri"/>
    <n v="22"/>
    <x v="4"/>
    <x v="0"/>
    <x v="0"/>
    <x v="1"/>
  </r>
  <r>
    <x v="147"/>
    <s v="Sat"/>
    <n v="22"/>
    <x v="4"/>
    <x v="0"/>
    <x v="0"/>
    <x v="1"/>
  </r>
  <r>
    <x v="148"/>
    <s v="Sun"/>
    <n v="23"/>
    <x v="4"/>
    <x v="1"/>
    <x v="1"/>
    <x v="1"/>
  </r>
  <r>
    <x v="149"/>
    <s v="Mon"/>
    <n v="23"/>
    <x v="5"/>
    <x v="0"/>
    <x v="0"/>
    <x v="1"/>
  </r>
  <r>
    <x v="150"/>
    <s v="Tue"/>
    <n v="23"/>
    <x v="5"/>
    <x v="0"/>
    <x v="0"/>
    <x v="1"/>
  </r>
  <r>
    <x v="151"/>
    <s v="Wed"/>
    <n v="23"/>
    <x v="5"/>
    <x v="0"/>
    <x v="0"/>
    <x v="1"/>
  </r>
  <r>
    <x v="152"/>
    <s v="Thu"/>
    <n v="23"/>
    <x v="5"/>
    <x v="2"/>
    <x v="2"/>
    <x v="1"/>
  </r>
  <r>
    <x v="153"/>
    <s v="Fri"/>
    <n v="23"/>
    <x v="5"/>
    <x v="0"/>
    <x v="0"/>
    <x v="1"/>
  </r>
  <r>
    <x v="154"/>
    <s v="Sat"/>
    <n v="23"/>
    <x v="5"/>
    <x v="0"/>
    <x v="0"/>
    <x v="1"/>
  </r>
  <r>
    <x v="155"/>
    <s v="Sun"/>
    <n v="24"/>
    <x v="5"/>
    <x v="1"/>
    <x v="1"/>
    <x v="1"/>
  </r>
  <r>
    <x v="156"/>
    <s v="Mon"/>
    <n v="24"/>
    <x v="5"/>
    <x v="0"/>
    <x v="0"/>
    <x v="1"/>
  </r>
  <r>
    <x v="157"/>
    <s v="Tue"/>
    <n v="24"/>
    <x v="5"/>
    <x v="0"/>
    <x v="0"/>
    <x v="1"/>
  </r>
  <r>
    <x v="158"/>
    <s v="Wed"/>
    <n v="24"/>
    <x v="5"/>
    <x v="0"/>
    <x v="0"/>
    <x v="1"/>
  </r>
  <r>
    <x v="159"/>
    <s v="Thu"/>
    <n v="24"/>
    <x v="5"/>
    <x v="0"/>
    <x v="0"/>
    <x v="1"/>
  </r>
  <r>
    <x v="160"/>
    <s v="Fri"/>
    <n v="24"/>
    <x v="5"/>
    <x v="0"/>
    <x v="0"/>
    <x v="1"/>
  </r>
  <r>
    <x v="161"/>
    <s v="Sat"/>
    <n v="24"/>
    <x v="5"/>
    <x v="0"/>
    <x v="0"/>
    <x v="1"/>
  </r>
  <r>
    <x v="162"/>
    <s v="Sun"/>
    <n v="25"/>
    <x v="5"/>
    <x v="1"/>
    <x v="1"/>
    <x v="1"/>
  </r>
  <r>
    <x v="163"/>
    <s v="Mon"/>
    <n v="25"/>
    <x v="5"/>
    <x v="0"/>
    <x v="0"/>
    <x v="1"/>
  </r>
  <r>
    <x v="164"/>
    <s v="Tue"/>
    <n v="25"/>
    <x v="5"/>
    <x v="0"/>
    <x v="0"/>
    <x v="1"/>
  </r>
  <r>
    <x v="165"/>
    <s v="Wed"/>
    <n v="25"/>
    <x v="5"/>
    <x v="3"/>
    <x v="3"/>
    <x v="1"/>
  </r>
  <r>
    <x v="166"/>
    <s v="Thu"/>
    <n v="25"/>
    <x v="5"/>
    <x v="2"/>
    <x v="2"/>
    <x v="1"/>
  </r>
  <r>
    <x v="167"/>
    <s v="Fri"/>
    <n v="25"/>
    <x v="5"/>
    <x v="0"/>
    <x v="0"/>
    <x v="1"/>
  </r>
  <r>
    <x v="168"/>
    <s v="Sat"/>
    <n v="25"/>
    <x v="5"/>
    <x v="0"/>
    <x v="0"/>
    <x v="1"/>
  </r>
  <r>
    <x v="169"/>
    <s v="Sun"/>
    <n v="26"/>
    <x v="5"/>
    <x v="1"/>
    <x v="1"/>
    <x v="1"/>
  </r>
  <r>
    <x v="170"/>
    <s v="Mon"/>
    <n v="26"/>
    <x v="5"/>
    <x v="0"/>
    <x v="0"/>
    <x v="1"/>
  </r>
  <r>
    <x v="171"/>
    <s v="Tue"/>
    <n v="26"/>
    <x v="5"/>
    <x v="0"/>
    <x v="0"/>
    <x v="1"/>
  </r>
  <r>
    <x v="172"/>
    <s v="Wed"/>
    <n v="26"/>
    <x v="5"/>
    <x v="0"/>
    <x v="0"/>
    <x v="1"/>
  </r>
  <r>
    <x v="173"/>
    <s v="Thu"/>
    <n v="26"/>
    <x v="5"/>
    <x v="0"/>
    <x v="0"/>
    <x v="1"/>
  </r>
  <r>
    <x v="174"/>
    <s v="Fri"/>
    <n v="26"/>
    <x v="5"/>
    <x v="0"/>
    <x v="0"/>
    <x v="1"/>
  </r>
  <r>
    <x v="175"/>
    <s v="Sat"/>
    <n v="26"/>
    <x v="5"/>
    <x v="0"/>
    <x v="0"/>
    <x v="1"/>
  </r>
  <r>
    <x v="176"/>
    <s v="Sun"/>
    <n v="27"/>
    <x v="5"/>
    <x v="1"/>
    <x v="1"/>
    <x v="1"/>
  </r>
  <r>
    <x v="177"/>
    <s v="Mon"/>
    <n v="27"/>
    <x v="5"/>
    <x v="0"/>
    <x v="0"/>
    <x v="1"/>
  </r>
  <r>
    <x v="178"/>
    <s v="Tue"/>
    <n v="27"/>
    <x v="5"/>
    <x v="0"/>
    <x v="0"/>
    <x v="1"/>
  </r>
  <r>
    <x v="179"/>
    <s v="Wed"/>
    <n v="27"/>
    <x v="6"/>
    <x v="0"/>
    <x v="0"/>
    <x v="1"/>
  </r>
  <r>
    <x v="180"/>
    <s v="Thu"/>
    <n v="27"/>
    <x v="6"/>
    <x v="0"/>
    <x v="0"/>
    <x v="1"/>
  </r>
  <r>
    <x v="181"/>
    <s v="Fri"/>
    <n v="27"/>
    <x v="6"/>
    <x v="0"/>
    <x v="0"/>
    <x v="1"/>
  </r>
  <r>
    <x v="182"/>
    <s v="Sat"/>
    <n v="27"/>
    <x v="6"/>
    <x v="0"/>
    <x v="0"/>
    <x v="1"/>
  </r>
  <r>
    <x v="183"/>
    <s v="Sun"/>
    <n v="28"/>
    <x v="6"/>
    <x v="1"/>
    <x v="1"/>
    <x v="1"/>
  </r>
  <r>
    <x v="184"/>
    <s v="Mon"/>
    <n v="28"/>
    <x v="6"/>
    <x v="2"/>
    <x v="2"/>
    <x v="1"/>
  </r>
  <r>
    <x v="185"/>
    <s v="Tue"/>
    <n v="28"/>
    <x v="6"/>
    <x v="0"/>
    <x v="0"/>
    <x v="1"/>
  </r>
  <r>
    <x v="186"/>
    <s v="Wed"/>
    <n v="28"/>
    <x v="6"/>
    <x v="0"/>
    <x v="0"/>
    <x v="1"/>
  </r>
  <r>
    <x v="187"/>
    <s v="Thu"/>
    <n v="28"/>
    <x v="6"/>
    <x v="0"/>
    <x v="0"/>
    <x v="1"/>
  </r>
  <r>
    <x v="188"/>
    <s v="Fri"/>
    <n v="28"/>
    <x v="6"/>
    <x v="0"/>
    <x v="0"/>
    <x v="1"/>
  </r>
  <r>
    <x v="189"/>
    <s v="Sat"/>
    <n v="28"/>
    <x v="6"/>
    <x v="0"/>
    <x v="0"/>
    <x v="1"/>
  </r>
  <r>
    <x v="190"/>
    <s v="Sun"/>
    <n v="29"/>
    <x v="6"/>
    <x v="1"/>
    <x v="1"/>
    <x v="1"/>
  </r>
  <r>
    <x v="191"/>
    <s v="Mon"/>
    <n v="29"/>
    <x v="6"/>
    <x v="0"/>
    <x v="0"/>
    <x v="1"/>
  </r>
  <r>
    <x v="192"/>
    <s v="Tue"/>
    <n v="29"/>
    <x v="6"/>
    <x v="0"/>
    <x v="0"/>
    <x v="1"/>
  </r>
  <r>
    <x v="193"/>
    <s v="Wed"/>
    <n v="29"/>
    <x v="6"/>
    <x v="0"/>
    <x v="0"/>
    <x v="1"/>
  </r>
  <r>
    <x v="194"/>
    <s v="Thu"/>
    <n v="29"/>
    <x v="6"/>
    <x v="0"/>
    <x v="0"/>
    <x v="1"/>
  </r>
  <r>
    <x v="195"/>
    <s v="Fri"/>
    <n v="29"/>
    <x v="6"/>
    <x v="0"/>
    <x v="0"/>
    <x v="1"/>
  </r>
  <r>
    <x v="196"/>
    <s v="Sat"/>
    <n v="29"/>
    <x v="6"/>
    <x v="0"/>
    <x v="0"/>
    <x v="1"/>
  </r>
  <r>
    <x v="197"/>
    <s v="Sun"/>
    <n v="30"/>
    <x v="6"/>
    <x v="1"/>
    <x v="1"/>
    <x v="1"/>
  </r>
  <r>
    <x v="198"/>
    <s v="Mon"/>
    <n v="30"/>
    <x v="6"/>
    <x v="0"/>
    <x v="0"/>
    <x v="1"/>
  </r>
  <r>
    <x v="199"/>
    <s v="Tue"/>
    <n v="30"/>
    <x v="6"/>
    <x v="0"/>
    <x v="0"/>
    <x v="1"/>
  </r>
  <r>
    <x v="200"/>
    <s v="Wed"/>
    <n v="30"/>
    <x v="6"/>
    <x v="0"/>
    <x v="0"/>
    <x v="1"/>
  </r>
  <r>
    <x v="201"/>
    <s v="Thu"/>
    <n v="30"/>
    <x v="6"/>
    <x v="0"/>
    <x v="0"/>
    <x v="1"/>
  </r>
  <r>
    <x v="202"/>
    <s v="Fri"/>
    <n v="30"/>
    <x v="6"/>
    <x v="0"/>
    <x v="0"/>
    <x v="1"/>
  </r>
  <r>
    <x v="203"/>
    <s v="Sat"/>
    <n v="30"/>
    <x v="6"/>
    <x v="0"/>
    <x v="0"/>
    <x v="1"/>
  </r>
  <r>
    <x v="204"/>
    <s v="Sun"/>
    <n v="31"/>
    <x v="6"/>
    <x v="1"/>
    <x v="1"/>
    <x v="1"/>
  </r>
  <r>
    <x v="205"/>
    <s v="Mon"/>
    <n v="31"/>
    <x v="6"/>
    <x v="0"/>
    <x v="0"/>
    <x v="1"/>
  </r>
  <r>
    <x v="206"/>
    <s v="Tue"/>
    <n v="31"/>
    <x v="6"/>
    <x v="0"/>
    <x v="0"/>
    <x v="1"/>
  </r>
  <r>
    <x v="207"/>
    <s v="Wed"/>
    <n v="31"/>
    <x v="6"/>
    <x v="0"/>
    <x v="0"/>
    <x v="1"/>
  </r>
  <r>
    <x v="208"/>
    <s v="Thu"/>
    <n v="31"/>
    <x v="6"/>
    <x v="0"/>
    <x v="0"/>
    <x v="1"/>
  </r>
  <r>
    <x v="209"/>
    <s v="Fri"/>
    <n v="31"/>
    <x v="6"/>
    <x v="0"/>
    <x v="0"/>
    <x v="1"/>
  </r>
  <r>
    <x v="210"/>
    <s v="Sat"/>
    <n v="31"/>
    <x v="7"/>
    <x v="0"/>
    <x v="0"/>
    <x v="1"/>
  </r>
  <r>
    <x v="211"/>
    <s v="Sun"/>
    <n v="32"/>
    <x v="7"/>
    <x v="1"/>
    <x v="1"/>
    <x v="1"/>
  </r>
  <r>
    <x v="212"/>
    <s v="Mon"/>
    <n v="32"/>
    <x v="7"/>
    <x v="0"/>
    <x v="0"/>
    <x v="1"/>
  </r>
  <r>
    <x v="213"/>
    <s v="Tue"/>
    <n v="32"/>
    <x v="7"/>
    <x v="0"/>
    <x v="0"/>
    <x v="1"/>
  </r>
  <r>
    <x v="214"/>
    <s v="Wed"/>
    <n v="32"/>
    <x v="7"/>
    <x v="2"/>
    <x v="2"/>
    <x v="1"/>
  </r>
  <r>
    <x v="215"/>
    <s v="Thu"/>
    <n v="32"/>
    <x v="7"/>
    <x v="0"/>
    <x v="0"/>
    <x v="1"/>
  </r>
  <r>
    <x v="216"/>
    <s v="Fri"/>
    <n v="32"/>
    <x v="7"/>
    <x v="0"/>
    <x v="0"/>
    <x v="1"/>
  </r>
  <r>
    <x v="217"/>
    <s v="Sat"/>
    <n v="32"/>
    <x v="7"/>
    <x v="0"/>
    <x v="0"/>
    <x v="1"/>
  </r>
  <r>
    <x v="218"/>
    <s v="Sun"/>
    <n v="33"/>
    <x v="7"/>
    <x v="1"/>
    <x v="1"/>
    <x v="1"/>
  </r>
  <r>
    <x v="219"/>
    <s v="Mon"/>
    <n v="33"/>
    <x v="7"/>
    <x v="0"/>
    <x v="0"/>
    <x v="1"/>
  </r>
  <r>
    <x v="220"/>
    <s v="Tue"/>
    <n v="33"/>
    <x v="7"/>
    <x v="0"/>
    <x v="0"/>
    <x v="1"/>
  </r>
  <r>
    <x v="221"/>
    <s v="Wed"/>
    <n v="33"/>
    <x v="7"/>
    <x v="0"/>
    <x v="0"/>
    <x v="1"/>
  </r>
  <r>
    <x v="222"/>
    <s v="Thu"/>
    <n v="33"/>
    <x v="7"/>
    <x v="0"/>
    <x v="0"/>
    <x v="1"/>
  </r>
  <r>
    <x v="223"/>
    <s v="Fri"/>
    <n v="33"/>
    <x v="7"/>
    <x v="0"/>
    <x v="0"/>
    <x v="1"/>
  </r>
  <r>
    <x v="224"/>
    <s v="Sat"/>
    <n v="33"/>
    <x v="7"/>
    <x v="0"/>
    <x v="0"/>
    <x v="1"/>
  </r>
  <r>
    <x v="225"/>
    <s v="Sun"/>
    <n v="34"/>
    <x v="7"/>
    <x v="1"/>
    <x v="1"/>
    <x v="1"/>
  </r>
  <r>
    <x v="226"/>
    <s v="Mon"/>
    <n v="34"/>
    <x v="7"/>
    <x v="4"/>
    <x v="4"/>
    <x v="1"/>
  </r>
  <r>
    <x v="227"/>
    <s v="Tue"/>
    <n v="34"/>
    <x v="7"/>
    <x v="0"/>
    <x v="0"/>
    <x v="1"/>
  </r>
  <r>
    <x v="228"/>
    <s v="Wed"/>
    <n v="34"/>
    <x v="7"/>
    <x v="0"/>
    <x v="0"/>
    <x v="1"/>
  </r>
  <r>
    <x v="229"/>
    <s v="Thu"/>
    <n v="34"/>
    <x v="7"/>
    <x v="0"/>
    <x v="0"/>
    <x v="1"/>
  </r>
  <r>
    <x v="230"/>
    <s v="Fri"/>
    <n v="34"/>
    <x v="7"/>
    <x v="0"/>
    <x v="0"/>
    <x v="1"/>
  </r>
  <r>
    <x v="231"/>
    <s v="Sat"/>
    <n v="34"/>
    <x v="7"/>
    <x v="0"/>
    <x v="0"/>
    <x v="1"/>
  </r>
  <r>
    <x v="232"/>
    <s v="Sun"/>
    <n v="35"/>
    <x v="7"/>
    <x v="1"/>
    <x v="1"/>
    <x v="1"/>
  </r>
  <r>
    <x v="233"/>
    <s v="Mon"/>
    <n v="35"/>
    <x v="7"/>
    <x v="0"/>
    <x v="0"/>
    <x v="1"/>
  </r>
  <r>
    <x v="234"/>
    <s v="Tue"/>
    <n v="35"/>
    <x v="7"/>
    <x v="4"/>
    <x v="4"/>
    <x v="1"/>
  </r>
  <r>
    <x v="235"/>
    <s v="Wed"/>
    <n v="35"/>
    <x v="7"/>
    <x v="0"/>
    <x v="0"/>
    <x v="1"/>
  </r>
  <r>
    <x v="236"/>
    <s v="Thu"/>
    <n v="35"/>
    <x v="7"/>
    <x v="0"/>
    <x v="0"/>
    <x v="1"/>
  </r>
  <r>
    <x v="237"/>
    <s v="Fri"/>
    <n v="35"/>
    <x v="7"/>
    <x v="0"/>
    <x v="0"/>
    <x v="1"/>
  </r>
  <r>
    <x v="238"/>
    <s v="Sat"/>
    <n v="35"/>
    <x v="7"/>
    <x v="0"/>
    <x v="0"/>
    <x v="1"/>
  </r>
  <r>
    <x v="239"/>
    <s v="Sun"/>
    <n v="36"/>
    <x v="7"/>
    <x v="1"/>
    <x v="1"/>
    <x v="1"/>
  </r>
  <r>
    <x v="240"/>
    <s v="Mon"/>
    <n v="36"/>
    <x v="7"/>
    <x v="0"/>
    <x v="0"/>
    <x v="1"/>
  </r>
  <r>
    <x v="241"/>
    <s v="Tue"/>
    <n v="36"/>
    <x v="8"/>
    <x v="0"/>
    <x v="0"/>
    <x v="1"/>
  </r>
  <r>
    <x v="242"/>
    <s v="Wed"/>
    <n v="36"/>
    <x v="8"/>
    <x v="0"/>
    <x v="0"/>
    <x v="1"/>
  </r>
  <r>
    <x v="243"/>
    <s v="Thu"/>
    <n v="36"/>
    <x v="8"/>
    <x v="0"/>
    <x v="0"/>
    <x v="1"/>
  </r>
  <r>
    <x v="244"/>
    <s v="Fri"/>
    <n v="36"/>
    <x v="8"/>
    <x v="0"/>
    <x v="0"/>
    <x v="1"/>
  </r>
  <r>
    <x v="245"/>
    <s v="Sat"/>
    <n v="36"/>
    <x v="8"/>
    <x v="0"/>
    <x v="0"/>
    <x v="1"/>
  </r>
  <r>
    <x v="246"/>
    <s v="Sun"/>
    <n v="37"/>
    <x v="8"/>
    <x v="1"/>
    <x v="1"/>
    <x v="1"/>
  </r>
  <r>
    <x v="247"/>
    <s v="Mon"/>
    <n v="37"/>
    <x v="8"/>
    <x v="0"/>
    <x v="0"/>
    <x v="1"/>
  </r>
  <r>
    <x v="248"/>
    <s v="Tue"/>
    <n v="37"/>
    <x v="8"/>
    <x v="0"/>
    <x v="0"/>
    <x v="1"/>
  </r>
  <r>
    <x v="249"/>
    <s v="Wed"/>
    <n v="37"/>
    <x v="8"/>
    <x v="0"/>
    <x v="0"/>
    <x v="1"/>
  </r>
  <r>
    <x v="250"/>
    <s v="Thu"/>
    <n v="37"/>
    <x v="8"/>
    <x v="0"/>
    <x v="0"/>
    <x v="1"/>
  </r>
  <r>
    <x v="251"/>
    <s v="Fri"/>
    <n v="37"/>
    <x v="8"/>
    <x v="0"/>
    <x v="0"/>
    <x v="1"/>
  </r>
  <r>
    <x v="252"/>
    <s v="Sat"/>
    <n v="37"/>
    <x v="8"/>
    <x v="0"/>
    <x v="0"/>
    <x v="1"/>
  </r>
  <r>
    <x v="253"/>
    <s v="Sun"/>
    <n v="38"/>
    <x v="8"/>
    <x v="1"/>
    <x v="1"/>
    <x v="1"/>
  </r>
  <r>
    <x v="254"/>
    <s v="Mon"/>
    <n v="38"/>
    <x v="8"/>
    <x v="0"/>
    <x v="0"/>
    <x v="1"/>
  </r>
  <r>
    <x v="255"/>
    <s v="Tue"/>
    <n v="38"/>
    <x v="8"/>
    <x v="0"/>
    <x v="0"/>
    <x v="1"/>
  </r>
  <r>
    <x v="256"/>
    <s v="Wed"/>
    <n v="38"/>
    <x v="8"/>
    <x v="0"/>
    <x v="0"/>
    <x v="1"/>
  </r>
  <r>
    <x v="257"/>
    <s v="Thu"/>
    <n v="38"/>
    <x v="8"/>
    <x v="0"/>
    <x v="0"/>
    <x v="1"/>
  </r>
  <r>
    <x v="258"/>
    <s v="Fri"/>
    <n v="38"/>
    <x v="8"/>
    <x v="0"/>
    <x v="0"/>
    <x v="1"/>
  </r>
  <r>
    <x v="259"/>
    <s v="Sat"/>
    <n v="38"/>
    <x v="8"/>
    <x v="0"/>
    <x v="0"/>
    <x v="1"/>
  </r>
  <r>
    <x v="260"/>
    <s v="Sun"/>
    <n v="39"/>
    <x v="8"/>
    <x v="1"/>
    <x v="1"/>
    <x v="1"/>
  </r>
  <r>
    <x v="261"/>
    <s v="Mon"/>
    <n v="39"/>
    <x v="8"/>
    <x v="0"/>
    <x v="0"/>
    <x v="1"/>
  </r>
  <r>
    <x v="262"/>
    <s v="Tue"/>
    <n v="39"/>
    <x v="8"/>
    <x v="0"/>
    <x v="0"/>
    <x v="1"/>
  </r>
  <r>
    <x v="263"/>
    <s v="Wed"/>
    <n v="39"/>
    <x v="8"/>
    <x v="0"/>
    <x v="0"/>
    <x v="1"/>
  </r>
  <r>
    <x v="264"/>
    <s v="Thu"/>
    <n v="39"/>
    <x v="8"/>
    <x v="0"/>
    <x v="0"/>
    <x v="1"/>
  </r>
  <r>
    <x v="265"/>
    <s v="Fri"/>
    <n v="39"/>
    <x v="8"/>
    <x v="0"/>
    <x v="0"/>
    <x v="1"/>
  </r>
  <r>
    <x v="266"/>
    <s v="Sat"/>
    <n v="39"/>
    <x v="8"/>
    <x v="0"/>
    <x v="0"/>
    <x v="1"/>
  </r>
  <r>
    <x v="267"/>
    <s v="Sun"/>
    <n v="40"/>
    <x v="8"/>
    <x v="1"/>
    <x v="1"/>
    <x v="1"/>
  </r>
  <r>
    <x v="268"/>
    <s v="Mon"/>
    <n v="40"/>
    <x v="8"/>
    <x v="0"/>
    <x v="0"/>
    <x v="1"/>
  </r>
  <r>
    <x v="269"/>
    <s v="Tue"/>
    <n v="40"/>
    <x v="8"/>
    <x v="0"/>
    <x v="0"/>
    <x v="1"/>
  </r>
  <r>
    <x v="270"/>
    <s v="Wed"/>
    <n v="40"/>
    <x v="8"/>
    <x v="0"/>
    <x v="0"/>
    <x v="1"/>
  </r>
  <r>
    <x v="271"/>
    <s v="Thu"/>
    <n v="40"/>
    <x v="9"/>
    <x v="1"/>
    <x v="1"/>
    <x v="1"/>
  </r>
  <r>
    <x v="272"/>
    <s v="Fri"/>
    <n v="40"/>
    <x v="9"/>
    <x v="1"/>
    <x v="1"/>
    <x v="1"/>
  </r>
  <r>
    <x v="273"/>
    <s v="Sat"/>
    <n v="40"/>
    <x v="9"/>
    <x v="1"/>
    <x v="1"/>
    <x v="1"/>
  </r>
  <r>
    <x v="274"/>
    <s v="Sun"/>
    <n v="41"/>
    <x v="9"/>
    <x v="1"/>
    <x v="1"/>
    <x v="1"/>
  </r>
  <r>
    <x v="275"/>
    <s v="Mon"/>
    <n v="41"/>
    <x v="9"/>
    <x v="1"/>
    <x v="1"/>
    <x v="1"/>
  </r>
  <r>
    <x v="276"/>
    <s v="Tue"/>
    <n v="41"/>
    <x v="9"/>
    <x v="1"/>
    <x v="1"/>
    <x v="1"/>
  </r>
  <r>
    <x v="277"/>
    <s v="Wed"/>
    <n v="41"/>
    <x v="9"/>
    <x v="1"/>
    <x v="1"/>
    <x v="1"/>
  </r>
  <r>
    <x v="278"/>
    <s v="Thu"/>
    <n v="41"/>
    <x v="9"/>
    <x v="1"/>
    <x v="1"/>
    <x v="1"/>
  </r>
  <r>
    <x v="279"/>
    <s v="Fri"/>
    <n v="41"/>
    <x v="9"/>
    <x v="1"/>
    <x v="1"/>
    <x v="1"/>
  </r>
  <r>
    <x v="280"/>
    <s v="Sat"/>
    <n v="41"/>
    <x v="9"/>
    <x v="1"/>
    <x v="1"/>
    <x v="1"/>
  </r>
  <r>
    <x v="281"/>
    <s v="Sun"/>
    <n v="42"/>
    <x v="9"/>
    <x v="1"/>
    <x v="1"/>
    <x v="1"/>
  </r>
  <r>
    <x v="282"/>
    <s v="Mon"/>
    <n v="42"/>
    <x v="9"/>
    <x v="1"/>
    <x v="1"/>
    <x v="1"/>
  </r>
  <r>
    <x v="283"/>
    <s v="Tue"/>
    <n v="42"/>
    <x v="9"/>
    <x v="1"/>
    <x v="1"/>
    <x v="1"/>
  </r>
  <r>
    <x v="284"/>
    <s v="Wed"/>
    <n v="42"/>
    <x v="9"/>
    <x v="1"/>
    <x v="1"/>
    <x v="1"/>
  </r>
  <r>
    <x v="285"/>
    <s v="Thu"/>
    <n v="42"/>
    <x v="9"/>
    <x v="1"/>
    <x v="1"/>
    <x v="1"/>
  </r>
  <r>
    <x v="286"/>
    <s v="Fri"/>
    <n v="42"/>
    <x v="9"/>
    <x v="1"/>
    <x v="1"/>
    <x v="1"/>
  </r>
  <r>
    <x v="287"/>
    <s v="Sat"/>
    <n v="42"/>
    <x v="9"/>
    <x v="1"/>
    <x v="1"/>
    <x v="1"/>
  </r>
  <r>
    <x v="288"/>
    <s v="Sun"/>
    <n v="43"/>
    <x v="9"/>
    <x v="1"/>
    <x v="1"/>
    <x v="1"/>
  </r>
  <r>
    <x v="289"/>
    <s v="Mon"/>
    <n v="43"/>
    <x v="9"/>
    <x v="1"/>
    <x v="1"/>
    <x v="1"/>
  </r>
  <r>
    <x v="290"/>
    <s v="Tue"/>
    <n v="43"/>
    <x v="9"/>
    <x v="1"/>
    <x v="1"/>
    <x v="1"/>
  </r>
  <r>
    <x v="291"/>
    <s v="Wed"/>
    <n v="43"/>
    <x v="9"/>
    <x v="1"/>
    <x v="1"/>
    <x v="1"/>
  </r>
  <r>
    <x v="292"/>
    <s v="Thu"/>
    <n v="43"/>
    <x v="9"/>
    <x v="1"/>
    <x v="1"/>
    <x v="1"/>
  </r>
  <r>
    <x v="293"/>
    <s v="Fri"/>
    <n v="43"/>
    <x v="9"/>
    <x v="1"/>
    <x v="1"/>
    <x v="1"/>
  </r>
  <r>
    <x v="294"/>
    <s v="Sat"/>
    <n v="43"/>
    <x v="9"/>
    <x v="1"/>
    <x v="1"/>
    <x v="1"/>
  </r>
  <r>
    <x v="295"/>
    <s v="Sun"/>
    <n v="44"/>
    <x v="9"/>
    <x v="1"/>
    <x v="1"/>
    <x v="1"/>
  </r>
  <r>
    <x v="296"/>
    <s v="Mon"/>
    <n v="44"/>
    <x v="9"/>
    <x v="1"/>
    <x v="1"/>
    <x v="1"/>
  </r>
  <r>
    <x v="297"/>
    <s v="Tue"/>
    <n v="44"/>
    <x v="9"/>
    <x v="1"/>
    <x v="1"/>
    <x v="1"/>
  </r>
  <r>
    <x v="298"/>
    <s v="Wed"/>
    <n v="44"/>
    <x v="9"/>
    <x v="1"/>
    <x v="1"/>
    <x v="1"/>
  </r>
  <r>
    <x v="299"/>
    <s v="Thu"/>
    <n v="44"/>
    <x v="9"/>
    <x v="1"/>
    <x v="1"/>
    <x v="1"/>
  </r>
  <r>
    <x v="300"/>
    <s v="Fri"/>
    <n v="44"/>
    <x v="9"/>
    <x v="1"/>
    <x v="1"/>
    <x v="1"/>
  </r>
  <r>
    <x v="301"/>
    <s v="Sat"/>
    <n v="44"/>
    <x v="9"/>
    <x v="1"/>
    <x v="1"/>
    <x v="1"/>
  </r>
  <r>
    <x v="302"/>
    <s v="Sun"/>
    <n v="45"/>
    <x v="10"/>
    <x v="1"/>
    <x v="1"/>
    <x v="1"/>
  </r>
  <r>
    <x v="303"/>
    <s v="Mon"/>
    <n v="45"/>
    <x v="10"/>
    <x v="1"/>
    <x v="1"/>
    <x v="1"/>
  </r>
  <r>
    <x v="304"/>
    <s v="Tue"/>
    <n v="45"/>
    <x v="10"/>
    <x v="1"/>
    <x v="1"/>
    <x v="1"/>
  </r>
  <r>
    <x v="305"/>
    <s v="Wed"/>
    <n v="45"/>
    <x v="10"/>
    <x v="1"/>
    <x v="1"/>
    <x v="1"/>
  </r>
  <r>
    <x v="306"/>
    <s v="Thu"/>
    <n v="45"/>
    <x v="10"/>
    <x v="1"/>
    <x v="1"/>
    <x v="1"/>
  </r>
  <r>
    <x v="307"/>
    <s v="Fri"/>
    <n v="45"/>
    <x v="10"/>
    <x v="1"/>
    <x v="1"/>
    <x v="1"/>
  </r>
  <r>
    <x v="308"/>
    <s v="Sat"/>
    <n v="45"/>
    <x v="10"/>
    <x v="1"/>
    <x v="1"/>
    <x v="1"/>
  </r>
  <r>
    <x v="309"/>
    <s v="Sun"/>
    <n v="46"/>
    <x v="10"/>
    <x v="1"/>
    <x v="1"/>
    <x v="1"/>
  </r>
  <r>
    <x v="310"/>
    <s v="Mon"/>
    <n v="46"/>
    <x v="10"/>
    <x v="1"/>
    <x v="1"/>
    <x v="1"/>
  </r>
  <r>
    <x v="311"/>
    <s v="Tue"/>
    <n v="46"/>
    <x v="10"/>
    <x v="1"/>
    <x v="1"/>
    <x v="1"/>
  </r>
  <r>
    <x v="312"/>
    <s v="Wed"/>
    <n v="46"/>
    <x v="10"/>
    <x v="1"/>
    <x v="1"/>
    <x v="1"/>
  </r>
  <r>
    <x v="313"/>
    <s v="Thu"/>
    <n v="46"/>
    <x v="10"/>
    <x v="1"/>
    <x v="1"/>
    <x v="1"/>
  </r>
  <r>
    <x v="314"/>
    <s v="Fri"/>
    <n v="46"/>
    <x v="10"/>
    <x v="1"/>
    <x v="1"/>
    <x v="1"/>
  </r>
  <r>
    <x v="315"/>
    <s v="Sat"/>
    <n v="46"/>
    <x v="10"/>
    <x v="1"/>
    <x v="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7">
  <r>
    <x v="0"/>
    <s v="Sat"/>
    <n v="1"/>
    <x v="0"/>
    <x v="0"/>
    <x v="0"/>
    <x v="0"/>
  </r>
  <r>
    <x v="1"/>
    <s v="Sun"/>
    <n v="2"/>
    <x v="0"/>
    <x v="1"/>
    <x v="1"/>
    <x v="0"/>
  </r>
  <r>
    <x v="2"/>
    <s v="Mon"/>
    <n v="2"/>
    <x v="0"/>
    <x v="0"/>
    <x v="0"/>
    <x v="0"/>
  </r>
  <r>
    <x v="3"/>
    <s v="Tue"/>
    <n v="2"/>
    <x v="0"/>
    <x v="0"/>
    <x v="0"/>
    <x v="0"/>
  </r>
  <r>
    <x v="4"/>
    <s v="Wed"/>
    <n v="2"/>
    <x v="0"/>
    <x v="0"/>
    <x v="0"/>
    <x v="0"/>
  </r>
  <r>
    <x v="5"/>
    <s v="Thu"/>
    <n v="2"/>
    <x v="0"/>
    <x v="0"/>
    <x v="0"/>
    <x v="0"/>
  </r>
  <r>
    <x v="6"/>
    <s v="Fri"/>
    <n v="2"/>
    <x v="0"/>
    <x v="0"/>
    <x v="0"/>
    <x v="0"/>
  </r>
  <r>
    <x v="7"/>
    <s v="Sat"/>
    <n v="2"/>
    <x v="0"/>
    <x v="0"/>
    <x v="0"/>
    <x v="0"/>
  </r>
  <r>
    <x v="8"/>
    <s v="Sun"/>
    <n v="3"/>
    <x v="0"/>
    <x v="1"/>
    <x v="1"/>
    <x v="0"/>
  </r>
  <r>
    <x v="9"/>
    <s v="Mon"/>
    <n v="3"/>
    <x v="0"/>
    <x v="0"/>
    <x v="0"/>
    <x v="0"/>
  </r>
  <r>
    <x v="10"/>
    <s v="Tue"/>
    <n v="3"/>
    <x v="0"/>
    <x v="0"/>
    <x v="0"/>
    <x v="0"/>
  </r>
  <r>
    <x v="11"/>
    <s v="Wed"/>
    <n v="3"/>
    <x v="0"/>
    <x v="2"/>
    <x v="2"/>
    <x v="0"/>
  </r>
  <r>
    <x v="12"/>
    <s v="Thu"/>
    <n v="3"/>
    <x v="0"/>
    <x v="0"/>
    <x v="0"/>
    <x v="0"/>
  </r>
  <r>
    <x v="13"/>
    <s v="Fri"/>
    <n v="3"/>
    <x v="0"/>
    <x v="3"/>
    <x v="3"/>
    <x v="0"/>
  </r>
  <r>
    <x v="14"/>
    <s v="Sat"/>
    <n v="3"/>
    <x v="0"/>
    <x v="0"/>
    <x v="0"/>
    <x v="0"/>
  </r>
  <r>
    <x v="15"/>
    <s v="Sun"/>
    <n v="4"/>
    <x v="0"/>
    <x v="1"/>
    <x v="1"/>
    <x v="0"/>
  </r>
  <r>
    <x v="16"/>
    <s v="Mon"/>
    <n v="4"/>
    <x v="0"/>
    <x v="0"/>
    <x v="0"/>
    <x v="0"/>
  </r>
  <r>
    <x v="17"/>
    <s v="Tue"/>
    <n v="4"/>
    <x v="0"/>
    <x v="4"/>
    <x v="4"/>
    <x v="0"/>
  </r>
  <r>
    <x v="18"/>
    <s v="Wed"/>
    <n v="4"/>
    <x v="0"/>
    <x v="0"/>
    <x v="0"/>
    <x v="0"/>
  </r>
  <r>
    <x v="19"/>
    <s v="Thu"/>
    <n v="4"/>
    <x v="0"/>
    <x v="0"/>
    <x v="0"/>
    <x v="0"/>
  </r>
  <r>
    <x v="20"/>
    <s v="Fri"/>
    <n v="4"/>
    <x v="0"/>
    <x v="0"/>
    <x v="0"/>
    <x v="0"/>
  </r>
  <r>
    <x v="21"/>
    <s v="Sat"/>
    <n v="4"/>
    <x v="0"/>
    <x v="0"/>
    <x v="0"/>
    <x v="0"/>
  </r>
  <r>
    <x v="22"/>
    <s v="Sun"/>
    <n v="5"/>
    <x v="0"/>
    <x v="1"/>
    <x v="1"/>
    <x v="0"/>
  </r>
  <r>
    <x v="23"/>
    <s v="Mon"/>
    <n v="5"/>
    <x v="0"/>
    <x v="0"/>
    <x v="0"/>
    <x v="0"/>
  </r>
  <r>
    <x v="24"/>
    <s v="Tue"/>
    <n v="5"/>
    <x v="0"/>
    <x v="0"/>
    <x v="0"/>
    <x v="0"/>
  </r>
  <r>
    <x v="25"/>
    <s v="Wed"/>
    <n v="5"/>
    <x v="0"/>
    <x v="0"/>
    <x v="0"/>
    <x v="0"/>
  </r>
  <r>
    <x v="26"/>
    <s v="Thu"/>
    <n v="5"/>
    <x v="0"/>
    <x v="0"/>
    <x v="0"/>
    <x v="0"/>
  </r>
  <r>
    <x v="27"/>
    <s v="Fri"/>
    <n v="5"/>
    <x v="0"/>
    <x v="0"/>
    <x v="0"/>
    <x v="0"/>
  </r>
  <r>
    <x v="28"/>
    <s v="Sat"/>
    <n v="5"/>
    <x v="0"/>
    <x v="0"/>
    <x v="0"/>
    <x v="0"/>
  </r>
  <r>
    <x v="29"/>
    <s v="Sun"/>
    <n v="6"/>
    <x v="1"/>
    <x v="1"/>
    <x v="1"/>
    <x v="0"/>
  </r>
  <r>
    <x v="30"/>
    <s v="Mon"/>
    <n v="6"/>
    <x v="1"/>
    <x v="0"/>
    <x v="0"/>
    <x v="0"/>
  </r>
  <r>
    <x v="31"/>
    <s v="Tue"/>
    <n v="6"/>
    <x v="1"/>
    <x v="2"/>
    <x v="2"/>
    <x v="0"/>
  </r>
  <r>
    <x v="32"/>
    <s v="Wed"/>
    <n v="6"/>
    <x v="1"/>
    <x v="2"/>
    <x v="2"/>
    <x v="0"/>
  </r>
  <r>
    <x v="33"/>
    <s v="Thu"/>
    <n v="6"/>
    <x v="1"/>
    <x v="0"/>
    <x v="0"/>
    <x v="0"/>
  </r>
  <r>
    <x v="34"/>
    <s v="Fri"/>
    <n v="6"/>
    <x v="1"/>
    <x v="0"/>
    <x v="0"/>
    <x v="0"/>
  </r>
  <r>
    <x v="35"/>
    <s v="Sat"/>
    <n v="6"/>
    <x v="1"/>
    <x v="2"/>
    <x v="2"/>
    <x v="0"/>
  </r>
  <r>
    <x v="36"/>
    <s v="Sun"/>
    <n v="7"/>
    <x v="1"/>
    <x v="1"/>
    <x v="1"/>
    <x v="0"/>
  </r>
  <r>
    <x v="37"/>
    <s v="Mon"/>
    <n v="7"/>
    <x v="1"/>
    <x v="2"/>
    <x v="2"/>
    <x v="0"/>
  </r>
  <r>
    <x v="38"/>
    <s v="Tue"/>
    <n v="7"/>
    <x v="1"/>
    <x v="0"/>
    <x v="0"/>
    <x v="0"/>
  </r>
  <r>
    <x v="39"/>
    <s v="Wed"/>
    <n v="7"/>
    <x v="1"/>
    <x v="0"/>
    <x v="0"/>
    <x v="0"/>
  </r>
  <r>
    <x v="40"/>
    <s v="Thu"/>
    <n v="7"/>
    <x v="1"/>
    <x v="0"/>
    <x v="0"/>
    <x v="0"/>
  </r>
  <r>
    <x v="41"/>
    <s v="Fri"/>
    <n v="7"/>
    <x v="1"/>
    <x v="0"/>
    <x v="0"/>
    <x v="0"/>
  </r>
  <r>
    <x v="42"/>
    <s v="Sat"/>
    <n v="7"/>
    <x v="1"/>
    <x v="0"/>
    <x v="0"/>
    <x v="0"/>
  </r>
  <r>
    <x v="43"/>
    <s v="Sun"/>
    <n v="8"/>
    <x v="1"/>
    <x v="1"/>
    <x v="1"/>
    <x v="0"/>
  </r>
  <r>
    <x v="44"/>
    <s v="Mon"/>
    <n v="8"/>
    <x v="1"/>
    <x v="0"/>
    <x v="0"/>
    <x v="0"/>
  </r>
  <r>
    <x v="45"/>
    <s v="Tue"/>
    <n v="8"/>
    <x v="1"/>
    <x v="0"/>
    <x v="0"/>
    <x v="0"/>
  </r>
  <r>
    <x v="46"/>
    <s v="Wed"/>
    <n v="8"/>
    <x v="1"/>
    <x v="0"/>
    <x v="0"/>
    <x v="0"/>
  </r>
  <r>
    <x v="47"/>
    <s v="Thu"/>
    <n v="8"/>
    <x v="1"/>
    <x v="0"/>
    <x v="0"/>
    <x v="0"/>
  </r>
  <r>
    <x v="48"/>
    <s v="Fri"/>
    <n v="8"/>
    <x v="1"/>
    <x v="0"/>
    <x v="0"/>
    <x v="0"/>
  </r>
  <r>
    <x v="49"/>
    <s v="Sat"/>
    <n v="8"/>
    <x v="1"/>
    <x v="0"/>
    <x v="0"/>
    <x v="0"/>
  </r>
  <r>
    <x v="50"/>
    <s v="Sun"/>
    <n v="9"/>
    <x v="1"/>
    <x v="1"/>
    <x v="1"/>
    <x v="0"/>
  </r>
  <r>
    <x v="51"/>
    <s v="Mon"/>
    <n v="9"/>
    <x v="1"/>
    <x v="0"/>
    <x v="0"/>
    <x v="0"/>
  </r>
  <r>
    <x v="52"/>
    <s v="Tue"/>
    <n v="9"/>
    <x v="1"/>
    <x v="0"/>
    <x v="0"/>
    <x v="0"/>
  </r>
  <r>
    <x v="53"/>
    <s v="Wed"/>
    <n v="9"/>
    <x v="1"/>
    <x v="0"/>
    <x v="0"/>
    <x v="0"/>
  </r>
  <r>
    <x v="54"/>
    <s v="Thu"/>
    <n v="9"/>
    <x v="1"/>
    <x v="0"/>
    <x v="0"/>
    <x v="0"/>
  </r>
  <r>
    <x v="55"/>
    <s v="Fri"/>
    <n v="9"/>
    <x v="1"/>
    <x v="0"/>
    <x v="0"/>
    <x v="0"/>
  </r>
  <r>
    <x v="56"/>
    <s v="Sat"/>
    <n v="9"/>
    <x v="1"/>
    <x v="0"/>
    <x v="0"/>
    <x v="0"/>
  </r>
  <r>
    <x v="57"/>
    <s v="Sun"/>
    <n v="10"/>
    <x v="2"/>
    <x v="1"/>
    <x v="1"/>
    <x v="0"/>
  </r>
  <r>
    <x v="58"/>
    <s v="Mon"/>
    <n v="10"/>
    <x v="2"/>
    <x v="0"/>
    <x v="0"/>
    <x v="0"/>
  </r>
  <r>
    <x v="59"/>
    <s v="Tue"/>
    <n v="10"/>
    <x v="2"/>
    <x v="0"/>
    <x v="0"/>
    <x v="0"/>
  </r>
  <r>
    <x v="60"/>
    <s v="Wed"/>
    <n v="10"/>
    <x v="2"/>
    <x v="0"/>
    <x v="0"/>
    <x v="0"/>
  </r>
  <r>
    <x v="61"/>
    <s v="Thu"/>
    <n v="10"/>
    <x v="2"/>
    <x v="0"/>
    <x v="0"/>
    <x v="0"/>
  </r>
  <r>
    <x v="62"/>
    <s v="Fri"/>
    <n v="10"/>
    <x v="2"/>
    <x v="2"/>
    <x v="2"/>
    <x v="0"/>
  </r>
  <r>
    <x v="63"/>
    <s v="Sat"/>
    <n v="10"/>
    <x v="2"/>
    <x v="0"/>
    <x v="0"/>
    <x v="0"/>
  </r>
  <r>
    <x v="64"/>
    <s v="Sun"/>
    <n v="11"/>
    <x v="2"/>
    <x v="1"/>
    <x v="1"/>
    <x v="0"/>
  </r>
  <r>
    <x v="65"/>
    <s v="Mon"/>
    <n v="11"/>
    <x v="2"/>
    <x v="0"/>
    <x v="0"/>
    <x v="0"/>
  </r>
  <r>
    <x v="66"/>
    <s v="Tue"/>
    <n v="11"/>
    <x v="2"/>
    <x v="0"/>
    <x v="0"/>
    <x v="0"/>
  </r>
  <r>
    <x v="67"/>
    <s v="Wed"/>
    <n v="11"/>
    <x v="2"/>
    <x v="0"/>
    <x v="0"/>
    <x v="0"/>
  </r>
  <r>
    <x v="68"/>
    <s v="Thu"/>
    <n v="11"/>
    <x v="2"/>
    <x v="0"/>
    <x v="0"/>
    <x v="0"/>
  </r>
  <r>
    <x v="69"/>
    <s v="Fri"/>
    <n v="11"/>
    <x v="2"/>
    <x v="0"/>
    <x v="0"/>
    <x v="0"/>
  </r>
  <r>
    <x v="70"/>
    <s v="Sat"/>
    <n v="11"/>
    <x v="2"/>
    <x v="0"/>
    <x v="0"/>
    <x v="0"/>
  </r>
  <r>
    <x v="71"/>
    <s v="Sun"/>
    <n v="12"/>
    <x v="2"/>
    <x v="1"/>
    <x v="1"/>
    <x v="0"/>
  </r>
  <r>
    <x v="72"/>
    <s v="Mon"/>
    <n v="12"/>
    <x v="2"/>
    <x v="4"/>
    <x v="4"/>
    <x v="0"/>
  </r>
  <r>
    <x v="73"/>
    <s v="Tue"/>
    <n v="12"/>
    <x v="2"/>
    <x v="0"/>
    <x v="0"/>
    <x v="0"/>
  </r>
  <r>
    <x v="74"/>
    <s v="Wed"/>
    <n v="12"/>
    <x v="2"/>
    <x v="0"/>
    <x v="0"/>
    <x v="0"/>
  </r>
  <r>
    <x v="75"/>
    <s v="Thu"/>
    <n v="12"/>
    <x v="2"/>
    <x v="1"/>
    <x v="5"/>
    <x v="0"/>
  </r>
  <r>
    <x v="76"/>
    <s v="Fri"/>
    <n v="12"/>
    <x v="2"/>
    <x v="1"/>
    <x v="5"/>
    <x v="0"/>
  </r>
  <r>
    <x v="77"/>
    <s v="Sat"/>
    <n v="12"/>
    <x v="2"/>
    <x v="1"/>
    <x v="5"/>
    <x v="0"/>
  </r>
  <r>
    <x v="78"/>
    <s v="Sun"/>
    <n v="13"/>
    <x v="2"/>
    <x v="1"/>
    <x v="1"/>
    <x v="0"/>
  </r>
  <r>
    <x v="79"/>
    <s v="Mon"/>
    <n v="13"/>
    <x v="2"/>
    <x v="1"/>
    <x v="1"/>
    <x v="0"/>
  </r>
  <r>
    <x v="80"/>
    <s v="Tue"/>
    <n v="13"/>
    <x v="2"/>
    <x v="1"/>
    <x v="1"/>
    <x v="0"/>
  </r>
  <r>
    <x v="81"/>
    <s v="Wed"/>
    <n v="13"/>
    <x v="2"/>
    <x v="1"/>
    <x v="1"/>
    <x v="0"/>
  </r>
  <r>
    <x v="82"/>
    <s v="Thu"/>
    <n v="13"/>
    <x v="2"/>
    <x v="1"/>
    <x v="1"/>
    <x v="0"/>
  </r>
  <r>
    <x v="83"/>
    <s v="Fri"/>
    <n v="13"/>
    <x v="2"/>
    <x v="1"/>
    <x v="1"/>
    <x v="0"/>
  </r>
  <r>
    <x v="84"/>
    <s v="Sat"/>
    <n v="13"/>
    <x v="2"/>
    <x v="1"/>
    <x v="1"/>
    <x v="0"/>
  </r>
  <r>
    <x v="85"/>
    <s v="Sun"/>
    <n v="14"/>
    <x v="2"/>
    <x v="1"/>
    <x v="1"/>
    <x v="0"/>
  </r>
  <r>
    <x v="86"/>
    <s v="Mon"/>
    <n v="14"/>
    <x v="2"/>
    <x v="0"/>
    <x v="0"/>
    <x v="0"/>
  </r>
  <r>
    <x v="87"/>
    <s v="Tue"/>
    <n v="14"/>
    <x v="2"/>
    <x v="0"/>
    <x v="0"/>
    <x v="0"/>
  </r>
  <r>
    <x v="88"/>
    <s v="Wed"/>
    <n v="14"/>
    <x v="3"/>
    <x v="0"/>
    <x v="0"/>
    <x v="0"/>
  </r>
  <r>
    <x v="89"/>
    <s v="Thu"/>
    <n v="14"/>
    <x v="3"/>
    <x v="0"/>
    <x v="0"/>
    <x v="0"/>
  </r>
  <r>
    <x v="90"/>
    <s v="Fri"/>
    <n v="14"/>
    <x v="3"/>
    <x v="0"/>
    <x v="0"/>
    <x v="0"/>
  </r>
  <r>
    <x v="91"/>
    <s v="Sat"/>
    <n v="14"/>
    <x v="3"/>
    <x v="0"/>
    <x v="0"/>
    <x v="0"/>
  </r>
  <r>
    <x v="92"/>
    <s v="Sun"/>
    <n v="15"/>
    <x v="3"/>
    <x v="1"/>
    <x v="1"/>
    <x v="0"/>
  </r>
  <r>
    <x v="93"/>
    <s v="Mon"/>
    <n v="15"/>
    <x v="3"/>
    <x v="0"/>
    <x v="0"/>
    <x v="0"/>
  </r>
  <r>
    <x v="94"/>
    <s v="Tue"/>
    <n v="15"/>
    <x v="3"/>
    <x v="0"/>
    <x v="0"/>
    <x v="0"/>
  </r>
  <r>
    <x v="95"/>
    <s v="Wed"/>
    <n v="15"/>
    <x v="3"/>
    <x v="0"/>
    <x v="0"/>
    <x v="0"/>
  </r>
  <r>
    <x v="96"/>
    <s v="Thu"/>
    <n v="15"/>
    <x v="3"/>
    <x v="2"/>
    <x v="2"/>
    <x v="0"/>
  </r>
  <r>
    <x v="97"/>
    <s v="Fri"/>
    <n v="15"/>
    <x v="3"/>
    <x v="0"/>
    <x v="0"/>
    <x v="0"/>
  </r>
  <r>
    <x v="98"/>
    <s v="Sat"/>
    <n v="15"/>
    <x v="3"/>
    <x v="0"/>
    <x v="0"/>
    <x v="0"/>
  </r>
  <r>
    <x v="99"/>
    <s v="Sun"/>
    <n v="16"/>
    <x v="3"/>
    <x v="1"/>
    <x v="1"/>
    <x v="0"/>
  </r>
  <r>
    <x v="100"/>
    <s v="Mon"/>
    <n v="16"/>
    <x v="3"/>
    <x v="0"/>
    <x v="0"/>
    <x v="0"/>
  </r>
  <r>
    <x v="101"/>
    <s v="Tue"/>
    <n v="16"/>
    <x v="3"/>
    <x v="0"/>
    <x v="0"/>
    <x v="0"/>
  </r>
  <r>
    <x v="102"/>
    <s v="Wed"/>
    <n v="16"/>
    <x v="3"/>
    <x v="0"/>
    <x v="0"/>
    <x v="0"/>
  </r>
  <r>
    <x v="103"/>
    <s v="Thu"/>
    <n v="16"/>
    <x v="3"/>
    <x v="0"/>
    <x v="0"/>
    <x v="0"/>
  </r>
  <r>
    <x v="104"/>
    <s v="Fri"/>
    <n v="16"/>
    <x v="3"/>
    <x v="0"/>
    <x v="0"/>
    <x v="0"/>
  </r>
  <r>
    <x v="105"/>
    <s v="Sat"/>
    <n v="16"/>
    <x v="3"/>
    <x v="0"/>
    <x v="0"/>
    <x v="0"/>
  </r>
  <r>
    <x v="106"/>
    <s v="Sun"/>
    <n v="17"/>
    <x v="3"/>
    <x v="1"/>
    <x v="1"/>
    <x v="0"/>
  </r>
  <r>
    <x v="107"/>
    <s v="Mon"/>
    <n v="17"/>
    <x v="3"/>
    <x v="0"/>
    <x v="0"/>
    <x v="0"/>
  </r>
  <r>
    <x v="108"/>
    <s v="Tue"/>
    <n v="17"/>
    <x v="3"/>
    <x v="0"/>
    <x v="0"/>
    <x v="0"/>
  </r>
  <r>
    <x v="109"/>
    <s v="Wed"/>
    <n v="17"/>
    <x v="3"/>
    <x v="0"/>
    <x v="0"/>
    <x v="0"/>
  </r>
  <r>
    <x v="110"/>
    <s v="Thu"/>
    <n v="17"/>
    <x v="3"/>
    <x v="2"/>
    <x v="2"/>
    <x v="0"/>
  </r>
  <r>
    <x v="111"/>
    <s v="Fri"/>
    <n v="17"/>
    <x v="3"/>
    <x v="0"/>
    <x v="0"/>
    <x v="0"/>
  </r>
  <r>
    <x v="112"/>
    <s v="Sat"/>
    <n v="17"/>
    <x v="3"/>
    <x v="0"/>
    <x v="0"/>
    <x v="0"/>
  </r>
  <r>
    <x v="113"/>
    <s v="Sun"/>
    <n v="18"/>
    <x v="3"/>
    <x v="1"/>
    <x v="1"/>
    <x v="0"/>
  </r>
  <r>
    <x v="114"/>
    <s v="Mon"/>
    <n v="18"/>
    <x v="3"/>
    <x v="0"/>
    <x v="0"/>
    <x v="0"/>
  </r>
  <r>
    <x v="115"/>
    <s v="Tue"/>
    <n v="18"/>
    <x v="3"/>
    <x v="0"/>
    <x v="0"/>
    <x v="0"/>
  </r>
  <r>
    <x v="116"/>
    <s v="Wed"/>
    <n v="18"/>
    <x v="3"/>
    <x v="0"/>
    <x v="0"/>
    <x v="0"/>
  </r>
  <r>
    <x v="117"/>
    <s v="Thu"/>
    <n v="18"/>
    <x v="3"/>
    <x v="0"/>
    <x v="0"/>
    <x v="0"/>
  </r>
  <r>
    <x v="118"/>
    <s v="Fri"/>
    <n v="18"/>
    <x v="4"/>
    <x v="0"/>
    <x v="0"/>
    <x v="0"/>
  </r>
  <r>
    <x v="119"/>
    <s v="Sat"/>
    <n v="18"/>
    <x v="4"/>
    <x v="0"/>
    <x v="0"/>
    <x v="0"/>
  </r>
  <r>
    <x v="120"/>
    <s v="Sun"/>
    <n v="19"/>
    <x v="4"/>
    <x v="1"/>
    <x v="1"/>
    <x v="0"/>
  </r>
  <r>
    <x v="121"/>
    <s v="Mon"/>
    <n v="19"/>
    <x v="4"/>
    <x v="0"/>
    <x v="0"/>
    <x v="0"/>
  </r>
  <r>
    <x v="122"/>
    <s v="Tue"/>
    <n v="19"/>
    <x v="4"/>
    <x v="0"/>
    <x v="0"/>
    <x v="0"/>
  </r>
  <r>
    <x v="123"/>
    <s v="Wed"/>
    <n v="19"/>
    <x v="4"/>
    <x v="2"/>
    <x v="2"/>
    <x v="0"/>
  </r>
  <r>
    <x v="124"/>
    <s v="Thu"/>
    <n v="19"/>
    <x v="4"/>
    <x v="0"/>
    <x v="0"/>
    <x v="0"/>
  </r>
  <r>
    <x v="125"/>
    <s v="Fri"/>
    <n v="19"/>
    <x v="4"/>
    <x v="0"/>
    <x v="0"/>
    <x v="0"/>
  </r>
  <r>
    <x v="126"/>
    <s v="Sat"/>
    <n v="19"/>
    <x v="4"/>
    <x v="0"/>
    <x v="0"/>
    <x v="0"/>
  </r>
  <r>
    <x v="127"/>
    <s v="Sun"/>
    <n v="20"/>
    <x v="4"/>
    <x v="1"/>
    <x v="1"/>
    <x v="0"/>
  </r>
  <r>
    <x v="128"/>
    <s v="Mon"/>
    <n v="20"/>
    <x v="4"/>
    <x v="2"/>
    <x v="2"/>
    <x v="0"/>
  </r>
  <r>
    <x v="129"/>
    <s v="Tue"/>
    <n v="20"/>
    <x v="4"/>
    <x v="0"/>
    <x v="0"/>
    <x v="0"/>
  </r>
  <r>
    <x v="130"/>
    <s v="Wed"/>
    <n v="20"/>
    <x v="4"/>
    <x v="0"/>
    <x v="0"/>
    <x v="0"/>
  </r>
  <r>
    <x v="131"/>
    <s v="Thu"/>
    <n v="20"/>
    <x v="4"/>
    <x v="0"/>
    <x v="0"/>
    <x v="0"/>
  </r>
  <r>
    <x v="132"/>
    <s v="Fri"/>
    <n v="20"/>
    <x v="4"/>
    <x v="0"/>
    <x v="0"/>
    <x v="0"/>
  </r>
  <r>
    <x v="133"/>
    <s v="Sat"/>
    <n v="20"/>
    <x v="4"/>
    <x v="3"/>
    <x v="3"/>
    <x v="0"/>
  </r>
  <r>
    <x v="134"/>
    <s v="Sun"/>
    <n v="21"/>
    <x v="4"/>
    <x v="1"/>
    <x v="1"/>
    <x v="0"/>
  </r>
  <r>
    <x v="135"/>
    <s v="Mon"/>
    <n v="21"/>
    <x v="4"/>
    <x v="0"/>
    <x v="0"/>
    <x v="0"/>
  </r>
  <r>
    <x v="136"/>
    <s v="Tue"/>
    <n v="21"/>
    <x v="4"/>
    <x v="0"/>
    <x v="0"/>
    <x v="0"/>
  </r>
  <r>
    <x v="137"/>
    <s v="Wed"/>
    <n v="21"/>
    <x v="4"/>
    <x v="0"/>
    <x v="0"/>
    <x v="0"/>
  </r>
  <r>
    <x v="138"/>
    <s v="Thu"/>
    <n v="21"/>
    <x v="4"/>
    <x v="0"/>
    <x v="0"/>
    <x v="0"/>
  </r>
  <r>
    <x v="139"/>
    <s v="Fri"/>
    <n v="21"/>
    <x v="4"/>
    <x v="0"/>
    <x v="0"/>
    <x v="0"/>
  </r>
  <r>
    <x v="140"/>
    <s v="Sat"/>
    <n v="21"/>
    <x v="4"/>
    <x v="0"/>
    <x v="0"/>
    <x v="0"/>
  </r>
  <r>
    <x v="141"/>
    <s v="Sun"/>
    <n v="22"/>
    <x v="4"/>
    <x v="1"/>
    <x v="1"/>
    <x v="0"/>
  </r>
  <r>
    <x v="142"/>
    <s v="Mon"/>
    <n v="22"/>
    <x v="4"/>
    <x v="0"/>
    <x v="0"/>
    <x v="0"/>
  </r>
  <r>
    <x v="143"/>
    <s v="Tue"/>
    <n v="22"/>
    <x v="4"/>
    <x v="0"/>
    <x v="0"/>
    <x v="0"/>
  </r>
  <r>
    <x v="144"/>
    <s v="Wed"/>
    <n v="22"/>
    <x v="4"/>
    <x v="3"/>
    <x v="3"/>
    <x v="0"/>
  </r>
  <r>
    <x v="145"/>
    <s v="Thu"/>
    <n v="22"/>
    <x v="4"/>
    <x v="4"/>
    <x v="4"/>
    <x v="0"/>
  </r>
  <r>
    <x v="146"/>
    <s v="Fri"/>
    <n v="22"/>
    <x v="4"/>
    <x v="0"/>
    <x v="0"/>
    <x v="0"/>
  </r>
  <r>
    <x v="147"/>
    <s v="Sat"/>
    <n v="22"/>
    <x v="4"/>
    <x v="0"/>
    <x v="0"/>
    <x v="0"/>
  </r>
  <r>
    <x v="148"/>
    <s v="Sun"/>
    <n v="23"/>
    <x v="4"/>
    <x v="1"/>
    <x v="1"/>
    <x v="0"/>
  </r>
  <r>
    <x v="149"/>
    <s v="Mon"/>
    <n v="23"/>
    <x v="5"/>
    <x v="0"/>
    <x v="0"/>
    <x v="0"/>
  </r>
  <r>
    <x v="150"/>
    <s v="Tue"/>
    <n v="23"/>
    <x v="5"/>
    <x v="0"/>
    <x v="0"/>
    <x v="0"/>
  </r>
  <r>
    <x v="151"/>
    <s v="Wed"/>
    <n v="23"/>
    <x v="5"/>
    <x v="0"/>
    <x v="0"/>
    <x v="0"/>
  </r>
  <r>
    <x v="152"/>
    <s v="Thu"/>
    <n v="23"/>
    <x v="5"/>
    <x v="0"/>
    <x v="0"/>
    <x v="0"/>
  </r>
  <r>
    <x v="153"/>
    <s v="Fri"/>
    <n v="23"/>
    <x v="5"/>
    <x v="0"/>
    <x v="0"/>
    <x v="0"/>
  </r>
  <r>
    <x v="154"/>
    <s v="Sat"/>
    <n v="23"/>
    <x v="5"/>
    <x v="0"/>
    <x v="0"/>
    <x v="0"/>
  </r>
  <r>
    <x v="155"/>
    <s v="Sun"/>
    <n v="24"/>
    <x v="5"/>
    <x v="1"/>
    <x v="1"/>
    <x v="0"/>
  </r>
  <r>
    <x v="156"/>
    <s v="Mon"/>
    <n v="24"/>
    <x v="5"/>
    <x v="0"/>
    <x v="0"/>
    <x v="0"/>
  </r>
  <r>
    <x v="157"/>
    <s v="Tue"/>
    <n v="24"/>
    <x v="5"/>
    <x v="0"/>
    <x v="0"/>
    <x v="0"/>
  </r>
  <r>
    <x v="158"/>
    <s v="Wed"/>
    <n v="24"/>
    <x v="5"/>
    <x v="0"/>
    <x v="0"/>
    <x v="0"/>
  </r>
  <r>
    <x v="159"/>
    <s v="Thu"/>
    <n v="24"/>
    <x v="5"/>
    <x v="2"/>
    <x v="2"/>
    <x v="0"/>
  </r>
  <r>
    <x v="160"/>
    <s v="Fri"/>
    <n v="24"/>
    <x v="5"/>
    <x v="0"/>
    <x v="0"/>
    <x v="0"/>
  </r>
  <r>
    <x v="161"/>
    <s v="Sat"/>
    <n v="24"/>
    <x v="5"/>
    <x v="0"/>
    <x v="0"/>
    <x v="0"/>
  </r>
  <r>
    <x v="162"/>
    <s v="Sun"/>
    <n v="25"/>
    <x v="5"/>
    <x v="1"/>
    <x v="1"/>
    <x v="0"/>
  </r>
  <r>
    <x v="163"/>
    <s v="Mon"/>
    <n v="25"/>
    <x v="5"/>
    <x v="0"/>
    <x v="0"/>
    <x v="0"/>
  </r>
  <r>
    <x v="164"/>
    <s v="Tue"/>
    <n v="25"/>
    <x v="5"/>
    <x v="3"/>
    <x v="3"/>
    <x v="0"/>
  </r>
  <r>
    <x v="165"/>
    <s v="Wed"/>
    <n v="25"/>
    <x v="5"/>
    <x v="0"/>
    <x v="0"/>
    <x v="0"/>
  </r>
  <r>
    <x v="166"/>
    <s v="Thu"/>
    <n v="25"/>
    <x v="5"/>
    <x v="0"/>
    <x v="0"/>
    <x v="0"/>
  </r>
  <r>
    <x v="167"/>
    <s v="Fri"/>
    <n v="25"/>
    <x v="5"/>
    <x v="0"/>
    <x v="0"/>
    <x v="0"/>
  </r>
  <r>
    <x v="168"/>
    <s v="Sat"/>
    <n v="25"/>
    <x v="5"/>
    <x v="0"/>
    <x v="0"/>
    <x v="0"/>
  </r>
  <r>
    <x v="169"/>
    <s v="Sun"/>
    <n v="26"/>
    <x v="5"/>
    <x v="1"/>
    <x v="1"/>
    <x v="0"/>
  </r>
  <r>
    <x v="170"/>
    <s v="Mon"/>
    <n v="26"/>
    <x v="5"/>
    <x v="0"/>
    <x v="0"/>
    <x v="0"/>
  </r>
  <r>
    <x v="171"/>
    <s v="Tue"/>
    <n v="26"/>
    <x v="5"/>
    <x v="0"/>
    <x v="0"/>
    <x v="0"/>
  </r>
  <r>
    <x v="172"/>
    <s v="Wed"/>
    <n v="26"/>
    <x v="5"/>
    <x v="0"/>
    <x v="0"/>
    <x v="0"/>
  </r>
  <r>
    <x v="173"/>
    <s v="Thu"/>
    <n v="26"/>
    <x v="5"/>
    <x v="0"/>
    <x v="0"/>
    <x v="0"/>
  </r>
  <r>
    <x v="174"/>
    <s v="Fri"/>
    <n v="26"/>
    <x v="5"/>
    <x v="0"/>
    <x v="0"/>
    <x v="0"/>
  </r>
  <r>
    <x v="175"/>
    <s v="Sat"/>
    <n v="26"/>
    <x v="5"/>
    <x v="0"/>
    <x v="0"/>
    <x v="0"/>
  </r>
  <r>
    <x v="176"/>
    <s v="Sun"/>
    <n v="27"/>
    <x v="5"/>
    <x v="1"/>
    <x v="1"/>
    <x v="0"/>
  </r>
  <r>
    <x v="177"/>
    <s v="Mon"/>
    <n v="27"/>
    <x v="5"/>
    <x v="0"/>
    <x v="0"/>
    <x v="0"/>
  </r>
  <r>
    <x v="178"/>
    <s v="Tue"/>
    <n v="27"/>
    <x v="5"/>
    <x v="0"/>
    <x v="0"/>
    <x v="0"/>
  </r>
  <r>
    <x v="179"/>
    <s v="Wed"/>
    <n v="27"/>
    <x v="6"/>
    <x v="0"/>
    <x v="0"/>
    <x v="0"/>
  </r>
  <r>
    <x v="180"/>
    <s v="Thu"/>
    <n v="27"/>
    <x v="6"/>
    <x v="0"/>
    <x v="0"/>
    <x v="0"/>
  </r>
  <r>
    <x v="181"/>
    <s v="Fri"/>
    <n v="27"/>
    <x v="6"/>
    <x v="0"/>
    <x v="0"/>
    <x v="0"/>
  </r>
  <r>
    <x v="182"/>
    <s v="Sat"/>
    <n v="27"/>
    <x v="6"/>
    <x v="0"/>
    <x v="0"/>
    <x v="0"/>
  </r>
  <r>
    <x v="183"/>
    <s v="Sun"/>
    <n v="28"/>
    <x v="6"/>
    <x v="1"/>
    <x v="1"/>
    <x v="0"/>
  </r>
  <r>
    <x v="184"/>
    <s v="Mon"/>
    <n v="28"/>
    <x v="6"/>
    <x v="0"/>
    <x v="0"/>
    <x v="0"/>
  </r>
  <r>
    <x v="185"/>
    <s v="Tue"/>
    <n v="28"/>
    <x v="6"/>
    <x v="0"/>
    <x v="0"/>
    <x v="0"/>
  </r>
  <r>
    <x v="186"/>
    <s v="Wed"/>
    <n v="28"/>
    <x v="6"/>
    <x v="0"/>
    <x v="0"/>
    <x v="0"/>
  </r>
  <r>
    <x v="187"/>
    <s v="Thu"/>
    <n v="28"/>
    <x v="6"/>
    <x v="0"/>
    <x v="0"/>
    <x v="0"/>
  </r>
  <r>
    <x v="188"/>
    <s v="Fri"/>
    <n v="28"/>
    <x v="6"/>
    <x v="0"/>
    <x v="0"/>
    <x v="0"/>
  </r>
  <r>
    <x v="189"/>
    <s v="Sat"/>
    <n v="28"/>
    <x v="6"/>
    <x v="2"/>
    <x v="2"/>
    <x v="0"/>
  </r>
  <r>
    <x v="190"/>
    <s v="Sun"/>
    <n v="29"/>
    <x v="6"/>
    <x v="1"/>
    <x v="1"/>
    <x v="0"/>
  </r>
  <r>
    <x v="191"/>
    <s v="Mon"/>
    <n v="29"/>
    <x v="6"/>
    <x v="0"/>
    <x v="0"/>
    <x v="0"/>
  </r>
  <r>
    <x v="192"/>
    <s v="Tue"/>
    <n v="29"/>
    <x v="6"/>
    <x v="2"/>
    <x v="2"/>
    <x v="0"/>
  </r>
  <r>
    <x v="193"/>
    <s v="Wed"/>
    <n v="29"/>
    <x v="6"/>
    <x v="0"/>
    <x v="0"/>
    <x v="0"/>
  </r>
  <r>
    <x v="194"/>
    <s v="Thu"/>
    <n v="29"/>
    <x v="6"/>
    <x v="0"/>
    <x v="0"/>
    <x v="0"/>
  </r>
  <r>
    <x v="195"/>
    <s v="Fri"/>
    <n v="29"/>
    <x v="6"/>
    <x v="0"/>
    <x v="0"/>
    <x v="0"/>
  </r>
  <r>
    <x v="196"/>
    <s v="Sat"/>
    <n v="29"/>
    <x v="6"/>
    <x v="0"/>
    <x v="0"/>
    <x v="0"/>
  </r>
  <r>
    <x v="197"/>
    <s v="Sun"/>
    <n v="30"/>
    <x v="6"/>
    <x v="1"/>
    <x v="1"/>
    <x v="0"/>
  </r>
  <r>
    <x v="198"/>
    <s v="Mon"/>
    <n v="30"/>
    <x v="6"/>
    <x v="0"/>
    <x v="0"/>
    <x v="0"/>
  </r>
  <r>
    <x v="199"/>
    <s v="Tue"/>
    <n v="30"/>
    <x v="6"/>
    <x v="0"/>
    <x v="0"/>
    <x v="0"/>
  </r>
  <r>
    <x v="200"/>
    <s v="Wed"/>
    <n v="30"/>
    <x v="6"/>
    <x v="0"/>
    <x v="0"/>
    <x v="0"/>
  </r>
  <r>
    <x v="201"/>
    <s v="Thu"/>
    <n v="30"/>
    <x v="6"/>
    <x v="0"/>
    <x v="0"/>
    <x v="0"/>
  </r>
  <r>
    <x v="202"/>
    <s v="Fri"/>
    <n v="30"/>
    <x v="6"/>
    <x v="0"/>
    <x v="0"/>
    <x v="0"/>
  </r>
  <r>
    <x v="203"/>
    <s v="Sat"/>
    <n v="30"/>
    <x v="6"/>
    <x v="0"/>
    <x v="0"/>
    <x v="0"/>
  </r>
  <r>
    <x v="204"/>
    <s v="Sun"/>
    <n v="31"/>
    <x v="6"/>
    <x v="1"/>
    <x v="1"/>
    <x v="0"/>
  </r>
  <r>
    <x v="205"/>
    <s v="Mon"/>
    <n v="31"/>
    <x v="6"/>
    <x v="0"/>
    <x v="0"/>
    <x v="0"/>
  </r>
  <r>
    <x v="206"/>
    <s v="Tue"/>
    <n v="31"/>
    <x v="6"/>
    <x v="0"/>
    <x v="0"/>
    <x v="0"/>
  </r>
  <r>
    <x v="207"/>
    <s v="Wed"/>
    <n v="31"/>
    <x v="6"/>
    <x v="0"/>
    <x v="0"/>
    <x v="0"/>
  </r>
  <r>
    <x v="208"/>
    <s v="Thu"/>
    <n v="31"/>
    <x v="6"/>
    <x v="0"/>
    <x v="0"/>
    <x v="0"/>
  </r>
  <r>
    <x v="209"/>
    <s v="Fri"/>
    <n v="31"/>
    <x v="6"/>
    <x v="0"/>
    <x v="0"/>
    <x v="0"/>
  </r>
  <r>
    <x v="210"/>
    <s v="Sat"/>
    <n v="31"/>
    <x v="7"/>
    <x v="0"/>
    <x v="0"/>
    <x v="0"/>
  </r>
  <r>
    <x v="211"/>
    <s v="Sun"/>
    <n v="32"/>
    <x v="7"/>
    <x v="1"/>
    <x v="1"/>
    <x v="0"/>
  </r>
  <r>
    <x v="212"/>
    <s v="Mon"/>
    <n v="32"/>
    <x v="7"/>
    <x v="2"/>
    <x v="2"/>
    <x v="0"/>
  </r>
  <r>
    <x v="213"/>
    <s v="Tue"/>
    <n v="32"/>
    <x v="7"/>
    <x v="0"/>
    <x v="0"/>
    <x v="0"/>
  </r>
  <r>
    <x v="214"/>
    <s v="Wed"/>
    <n v="32"/>
    <x v="7"/>
    <x v="0"/>
    <x v="0"/>
    <x v="0"/>
  </r>
  <r>
    <x v="215"/>
    <s v="Thu"/>
    <n v="32"/>
    <x v="7"/>
    <x v="0"/>
    <x v="0"/>
    <x v="0"/>
  </r>
  <r>
    <x v="216"/>
    <s v="Fri"/>
    <n v="32"/>
    <x v="7"/>
    <x v="0"/>
    <x v="0"/>
    <x v="0"/>
  </r>
  <r>
    <x v="217"/>
    <s v="Sat"/>
    <n v="32"/>
    <x v="7"/>
    <x v="0"/>
    <x v="0"/>
    <x v="0"/>
  </r>
  <r>
    <x v="218"/>
    <s v="Sun"/>
    <n v="33"/>
    <x v="7"/>
    <x v="1"/>
    <x v="1"/>
    <x v="0"/>
  </r>
  <r>
    <x v="219"/>
    <s v="Mon"/>
    <n v="33"/>
    <x v="7"/>
    <x v="0"/>
    <x v="0"/>
    <x v="0"/>
  </r>
  <r>
    <x v="220"/>
    <s v="Tue"/>
    <n v="33"/>
    <x v="7"/>
    <x v="0"/>
    <x v="0"/>
    <x v="0"/>
  </r>
  <r>
    <x v="221"/>
    <s v="Wed"/>
    <n v="33"/>
    <x v="7"/>
    <x v="0"/>
    <x v="0"/>
    <x v="0"/>
  </r>
  <r>
    <x v="222"/>
    <s v="Thu"/>
    <n v="33"/>
    <x v="7"/>
    <x v="0"/>
    <x v="0"/>
    <x v="0"/>
  </r>
  <r>
    <x v="223"/>
    <s v="Fri"/>
    <n v="33"/>
    <x v="7"/>
    <x v="0"/>
    <x v="0"/>
    <x v="0"/>
  </r>
  <r>
    <x v="224"/>
    <s v="Sat"/>
    <n v="33"/>
    <x v="7"/>
    <x v="0"/>
    <x v="0"/>
    <x v="0"/>
  </r>
  <r>
    <x v="225"/>
    <s v="Sun"/>
    <n v="34"/>
    <x v="7"/>
    <x v="1"/>
    <x v="1"/>
    <x v="0"/>
  </r>
  <r>
    <x v="226"/>
    <s v="Mon"/>
    <n v="34"/>
    <x v="7"/>
    <x v="3"/>
    <x v="3"/>
    <x v="0"/>
  </r>
  <r>
    <x v="227"/>
    <s v="Tue"/>
    <n v="34"/>
    <x v="7"/>
    <x v="0"/>
    <x v="0"/>
    <x v="0"/>
  </r>
  <r>
    <x v="228"/>
    <s v="Wed"/>
    <n v="34"/>
    <x v="7"/>
    <x v="0"/>
    <x v="0"/>
    <x v="0"/>
  </r>
  <r>
    <x v="229"/>
    <s v="Thu"/>
    <n v="34"/>
    <x v="7"/>
    <x v="0"/>
    <x v="0"/>
    <x v="0"/>
  </r>
  <r>
    <x v="230"/>
    <s v="Fri"/>
    <n v="34"/>
    <x v="7"/>
    <x v="0"/>
    <x v="0"/>
    <x v="0"/>
  </r>
  <r>
    <x v="231"/>
    <s v="Sat"/>
    <n v="34"/>
    <x v="7"/>
    <x v="0"/>
    <x v="0"/>
    <x v="0"/>
  </r>
  <r>
    <x v="232"/>
    <s v="Sun"/>
    <n v="35"/>
    <x v="7"/>
    <x v="1"/>
    <x v="1"/>
    <x v="0"/>
  </r>
  <r>
    <x v="233"/>
    <s v="Mon"/>
    <n v="35"/>
    <x v="7"/>
    <x v="0"/>
    <x v="0"/>
    <x v="0"/>
  </r>
  <r>
    <x v="234"/>
    <s v="Tue"/>
    <n v="35"/>
    <x v="7"/>
    <x v="3"/>
    <x v="3"/>
    <x v="0"/>
  </r>
  <r>
    <x v="235"/>
    <s v="Wed"/>
    <n v="35"/>
    <x v="7"/>
    <x v="0"/>
    <x v="0"/>
    <x v="0"/>
  </r>
  <r>
    <x v="236"/>
    <s v="Thu"/>
    <n v="35"/>
    <x v="7"/>
    <x v="0"/>
    <x v="0"/>
    <x v="0"/>
  </r>
  <r>
    <x v="237"/>
    <s v="Fri"/>
    <n v="35"/>
    <x v="7"/>
    <x v="0"/>
    <x v="0"/>
    <x v="0"/>
  </r>
  <r>
    <x v="238"/>
    <s v="Sat"/>
    <n v="35"/>
    <x v="7"/>
    <x v="0"/>
    <x v="0"/>
    <x v="0"/>
  </r>
  <r>
    <x v="239"/>
    <s v="Sun"/>
    <n v="36"/>
    <x v="7"/>
    <x v="1"/>
    <x v="1"/>
    <x v="0"/>
  </r>
  <r>
    <x v="240"/>
    <s v="Mon"/>
    <n v="36"/>
    <x v="7"/>
    <x v="0"/>
    <x v="0"/>
    <x v="0"/>
  </r>
  <r>
    <x v="241"/>
    <s v="Tue"/>
    <n v="36"/>
    <x v="8"/>
    <x v="0"/>
    <x v="0"/>
    <x v="0"/>
  </r>
  <r>
    <x v="242"/>
    <s v="Wed"/>
    <n v="36"/>
    <x v="8"/>
    <x v="0"/>
    <x v="0"/>
    <x v="0"/>
  </r>
  <r>
    <x v="243"/>
    <s v="Thu"/>
    <n v="36"/>
    <x v="8"/>
    <x v="0"/>
    <x v="0"/>
    <x v="0"/>
  </r>
  <r>
    <x v="244"/>
    <s v="Fri"/>
    <n v="36"/>
    <x v="8"/>
    <x v="0"/>
    <x v="0"/>
    <x v="0"/>
  </r>
  <r>
    <x v="245"/>
    <s v="Sat"/>
    <n v="36"/>
    <x v="8"/>
    <x v="0"/>
    <x v="0"/>
    <x v="0"/>
  </r>
  <r>
    <x v="246"/>
    <s v="Sun"/>
    <n v="37"/>
    <x v="8"/>
    <x v="1"/>
    <x v="1"/>
    <x v="0"/>
  </r>
  <r>
    <x v="247"/>
    <s v="Mon"/>
    <n v="37"/>
    <x v="8"/>
    <x v="2"/>
    <x v="2"/>
    <x v="0"/>
  </r>
  <r>
    <x v="248"/>
    <s v="Tue"/>
    <n v="37"/>
    <x v="8"/>
    <x v="0"/>
    <x v="0"/>
    <x v="0"/>
  </r>
  <r>
    <x v="249"/>
    <s v="Wed"/>
    <n v="37"/>
    <x v="8"/>
    <x v="0"/>
    <x v="0"/>
    <x v="0"/>
  </r>
  <r>
    <x v="250"/>
    <s v="Thu"/>
    <n v="37"/>
    <x v="8"/>
    <x v="0"/>
    <x v="0"/>
    <x v="0"/>
  </r>
  <r>
    <x v="251"/>
    <s v="Fri"/>
    <n v="37"/>
    <x v="8"/>
    <x v="0"/>
    <x v="0"/>
    <x v="0"/>
  </r>
  <r>
    <x v="252"/>
    <s v="Sat"/>
    <n v="37"/>
    <x v="8"/>
    <x v="0"/>
    <x v="0"/>
    <x v="0"/>
  </r>
  <r>
    <x v="253"/>
    <s v="Sun"/>
    <n v="38"/>
    <x v="8"/>
    <x v="1"/>
    <x v="1"/>
    <x v="0"/>
  </r>
  <r>
    <x v="254"/>
    <s v="Mon"/>
    <n v="38"/>
    <x v="8"/>
    <x v="0"/>
    <x v="0"/>
    <x v="0"/>
  </r>
  <r>
    <x v="255"/>
    <s v="Tue"/>
    <n v="38"/>
    <x v="8"/>
    <x v="0"/>
    <x v="0"/>
    <x v="0"/>
  </r>
  <r>
    <x v="256"/>
    <s v="Wed"/>
    <n v="38"/>
    <x v="8"/>
    <x v="0"/>
    <x v="0"/>
    <x v="0"/>
  </r>
  <r>
    <x v="257"/>
    <s v="Thu"/>
    <n v="38"/>
    <x v="8"/>
    <x v="0"/>
    <x v="0"/>
    <x v="0"/>
  </r>
  <r>
    <x v="258"/>
    <s v="Fri"/>
    <n v="38"/>
    <x v="8"/>
    <x v="0"/>
    <x v="0"/>
    <x v="0"/>
  </r>
  <r>
    <x v="259"/>
    <s v="Sat"/>
    <n v="38"/>
    <x v="8"/>
    <x v="0"/>
    <x v="0"/>
    <x v="0"/>
  </r>
  <r>
    <x v="260"/>
    <s v="Sun"/>
    <n v="39"/>
    <x v="8"/>
    <x v="1"/>
    <x v="1"/>
    <x v="0"/>
  </r>
  <r>
    <x v="261"/>
    <s v="Mon"/>
    <n v="39"/>
    <x v="8"/>
    <x v="0"/>
    <x v="0"/>
    <x v="0"/>
  </r>
  <r>
    <x v="262"/>
    <s v="Tue"/>
    <n v="39"/>
    <x v="8"/>
    <x v="0"/>
    <x v="0"/>
    <x v="0"/>
  </r>
  <r>
    <x v="263"/>
    <s v="Wed"/>
    <n v="39"/>
    <x v="8"/>
    <x v="0"/>
    <x v="0"/>
    <x v="0"/>
  </r>
  <r>
    <x v="264"/>
    <s v="Thu"/>
    <n v="39"/>
    <x v="8"/>
    <x v="0"/>
    <x v="0"/>
    <x v="0"/>
  </r>
  <r>
    <x v="265"/>
    <s v="Fri"/>
    <n v="39"/>
    <x v="8"/>
    <x v="0"/>
    <x v="0"/>
    <x v="0"/>
  </r>
  <r>
    <x v="266"/>
    <s v="Sat"/>
    <n v="39"/>
    <x v="8"/>
    <x v="0"/>
    <x v="0"/>
    <x v="0"/>
  </r>
  <r>
    <x v="267"/>
    <s v="Sun"/>
    <n v="40"/>
    <x v="8"/>
    <x v="1"/>
    <x v="1"/>
    <x v="0"/>
  </r>
  <r>
    <x v="268"/>
    <s v="Mon"/>
    <n v="40"/>
    <x v="8"/>
    <x v="0"/>
    <x v="0"/>
    <x v="0"/>
  </r>
  <r>
    <x v="269"/>
    <s v="Tue"/>
    <n v="40"/>
    <x v="8"/>
    <x v="0"/>
    <x v="0"/>
    <x v="0"/>
  </r>
  <r>
    <x v="270"/>
    <s v="Wed"/>
    <n v="40"/>
    <x v="8"/>
    <x v="0"/>
    <x v="0"/>
    <x v="0"/>
  </r>
  <r>
    <x v="271"/>
    <s v="Thu"/>
    <n v="40"/>
    <x v="9"/>
    <x v="1"/>
    <x v="1"/>
    <x v="0"/>
  </r>
  <r>
    <x v="272"/>
    <s v="Fri"/>
    <n v="40"/>
    <x v="9"/>
    <x v="1"/>
    <x v="1"/>
    <x v="0"/>
  </r>
  <r>
    <x v="273"/>
    <s v="Sat"/>
    <n v="40"/>
    <x v="9"/>
    <x v="1"/>
    <x v="1"/>
    <x v="0"/>
  </r>
  <r>
    <x v="274"/>
    <s v="Sun"/>
    <n v="41"/>
    <x v="9"/>
    <x v="1"/>
    <x v="1"/>
    <x v="0"/>
  </r>
  <r>
    <x v="275"/>
    <s v="Mon"/>
    <n v="41"/>
    <x v="9"/>
    <x v="1"/>
    <x v="1"/>
    <x v="0"/>
  </r>
  <r>
    <x v="276"/>
    <s v="Tue"/>
    <n v="41"/>
    <x v="9"/>
    <x v="1"/>
    <x v="1"/>
    <x v="0"/>
  </r>
  <r>
    <x v="277"/>
    <s v="Wed"/>
    <n v="41"/>
    <x v="9"/>
    <x v="1"/>
    <x v="1"/>
    <x v="0"/>
  </r>
  <r>
    <x v="278"/>
    <s v="Thu"/>
    <n v="41"/>
    <x v="9"/>
    <x v="1"/>
    <x v="1"/>
    <x v="0"/>
  </r>
  <r>
    <x v="279"/>
    <s v="Fri"/>
    <n v="41"/>
    <x v="9"/>
    <x v="1"/>
    <x v="1"/>
    <x v="0"/>
  </r>
  <r>
    <x v="280"/>
    <s v="Sat"/>
    <n v="41"/>
    <x v="9"/>
    <x v="1"/>
    <x v="1"/>
    <x v="0"/>
  </r>
  <r>
    <x v="281"/>
    <s v="Sun"/>
    <n v="42"/>
    <x v="9"/>
    <x v="1"/>
    <x v="1"/>
    <x v="0"/>
  </r>
  <r>
    <x v="282"/>
    <s v="Mon"/>
    <n v="42"/>
    <x v="9"/>
    <x v="1"/>
    <x v="1"/>
    <x v="0"/>
  </r>
  <r>
    <x v="283"/>
    <s v="Tue"/>
    <n v="42"/>
    <x v="9"/>
    <x v="1"/>
    <x v="1"/>
    <x v="0"/>
  </r>
  <r>
    <x v="284"/>
    <s v="Wed"/>
    <n v="42"/>
    <x v="9"/>
    <x v="1"/>
    <x v="1"/>
    <x v="0"/>
  </r>
  <r>
    <x v="285"/>
    <s v="Thu"/>
    <n v="42"/>
    <x v="9"/>
    <x v="1"/>
    <x v="1"/>
    <x v="0"/>
  </r>
  <r>
    <x v="286"/>
    <s v="Fri"/>
    <n v="42"/>
    <x v="9"/>
    <x v="1"/>
    <x v="1"/>
    <x v="0"/>
  </r>
  <r>
    <x v="287"/>
    <s v="Sat"/>
    <n v="42"/>
    <x v="9"/>
    <x v="1"/>
    <x v="1"/>
    <x v="0"/>
  </r>
  <r>
    <x v="288"/>
    <s v="Sun"/>
    <n v="43"/>
    <x v="9"/>
    <x v="1"/>
    <x v="1"/>
    <x v="0"/>
  </r>
  <r>
    <x v="289"/>
    <s v="Mon"/>
    <n v="43"/>
    <x v="9"/>
    <x v="1"/>
    <x v="1"/>
    <x v="0"/>
  </r>
  <r>
    <x v="290"/>
    <s v="Tue"/>
    <n v="43"/>
    <x v="9"/>
    <x v="1"/>
    <x v="1"/>
    <x v="0"/>
  </r>
  <r>
    <x v="291"/>
    <s v="Wed"/>
    <n v="43"/>
    <x v="9"/>
    <x v="1"/>
    <x v="1"/>
    <x v="0"/>
  </r>
  <r>
    <x v="292"/>
    <s v="Thu"/>
    <n v="43"/>
    <x v="9"/>
    <x v="1"/>
    <x v="1"/>
    <x v="0"/>
  </r>
  <r>
    <x v="293"/>
    <s v="Fri"/>
    <n v="43"/>
    <x v="9"/>
    <x v="1"/>
    <x v="1"/>
    <x v="0"/>
  </r>
  <r>
    <x v="294"/>
    <s v="Sat"/>
    <n v="43"/>
    <x v="9"/>
    <x v="1"/>
    <x v="1"/>
    <x v="0"/>
  </r>
  <r>
    <x v="295"/>
    <s v="Sun"/>
    <n v="44"/>
    <x v="9"/>
    <x v="1"/>
    <x v="1"/>
    <x v="0"/>
  </r>
  <r>
    <x v="296"/>
    <s v="Mon"/>
    <n v="44"/>
    <x v="9"/>
    <x v="1"/>
    <x v="1"/>
    <x v="0"/>
  </r>
  <r>
    <x v="297"/>
    <s v="Tue"/>
    <n v="44"/>
    <x v="9"/>
    <x v="1"/>
    <x v="1"/>
    <x v="0"/>
  </r>
  <r>
    <x v="298"/>
    <s v="Wed"/>
    <n v="44"/>
    <x v="9"/>
    <x v="1"/>
    <x v="1"/>
    <x v="0"/>
  </r>
  <r>
    <x v="299"/>
    <s v="Thu"/>
    <n v="44"/>
    <x v="9"/>
    <x v="1"/>
    <x v="1"/>
    <x v="0"/>
  </r>
  <r>
    <x v="300"/>
    <s v="Fri"/>
    <n v="44"/>
    <x v="9"/>
    <x v="1"/>
    <x v="1"/>
    <x v="0"/>
  </r>
  <r>
    <x v="301"/>
    <s v="Sat"/>
    <n v="44"/>
    <x v="9"/>
    <x v="1"/>
    <x v="1"/>
    <x v="0"/>
  </r>
  <r>
    <x v="302"/>
    <s v="Sun"/>
    <n v="45"/>
    <x v="10"/>
    <x v="1"/>
    <x v="1"/>
    <x v="0"/>
  </r>
  <r>
    <x v="303"/>
    <s v="Mon"/>
    <n v="45"/>
    <x v="10"/>
    <x v="1"/>
    <x v="1"/>
    <x v="0"/>
  </r>
  <r>
    <x v="304"/>
    <s v="Tue"/>
    <n v="45"/>
    <x v="10"/>
    <x v="1"/>
    <x v="1"/>
    <x v="0"/>
  </r>
  <r>
    <x v="305"/>
    <s v="Wed"/>
    <n v="45"/>
    <x v="10"/>
    <x v="1"/>
    <x v="1"/>
    <x v="0"/>
  </r>
  <r>
    <x v="306"/>
    <s v="Thu"/>
    <n v="45"/>
    <x v="10"/>
    <x v="1"/>
    <x v="1"/>
    <x v="0"/>
  </r>
  <r>
    <x v="307"/>
    <s v="Fri"/>
    <n v="45"/>
    <x v="10"/>
    <x v="1"/>
    <x v="1"/>
    <x v="0"/>
  </r>
  <r>
    <x v="308"/>
    <s v="Sat"/>
    <n v="45"/>
    <x v="10"/>
    <x v="1"/>
    <x v="1"/>
    <x v="0"/>
  </r>
  <r>
    <x v="309"/>
    <s v="Sun"/>
    <n v="46"/>
    <x v="10"/>
    <x v="1"/>
    <x v="1"/>
    <x v="0"/>
  </r>
  <r>
    <x v="310"/>
    <s v="Mon"/>
    <n v="46"/>
    <x v="10"/>
    <x v="1"/>
    <x v="1"/>
    <x v="0"/>
  </r>
  <r>
    <x v="311"/>
    <s v="Tue"/>
    <n v="46"/>
    <x v="10"/>
    <x v="1"/>
    <x v="1"/>
    <x v="0"/>
  </r>
  <r>
    <x v="312"/>
    <s v="Wed"/>
    <n v="46"/>
    <x v="10"/>
    <x v="1"/>
    <x v="1"/>
    <x v="0"/>
  </r>
  <r>
    <x v="313"/>
    <s v="Thu"/>
    <n v="46"/>
    <x v="10"/>
    <x v="1"/>
    <x v="1"/>
    <x v="0"/>
  </r>
  <r>
    <x v="314"/>
    <s v="Fri"/>
    <n v="46"/>
    <x v="10"/>
    <x v="1"/>
    <x v="1"/>
    <x v="0"/>
  </r>
  <r>
    <x v="315"/>
    <s v="Sat"/>
    <n v="46"/>
    <x v="10"/>
    <x v="1"/>
    <x v="1"/>
    <x v="0"/>
  </r>
  <r>
    <x v="316"/>
    <s v="Sun"/>
    <n v="47"/>
    <x v="10"/>
    <x v="1"/>
    <x v="1"/>
    <x v="0"/>
  </r>
  <r>
    <x v="317"/>
    <s v="Mon"/>
    <n v="47"/>
    <x v="10"/>
    <x v="1"/>
    <x v="1"/>
    <x v="0"/>
  </r>
  <r>
    <x v="318"/>
    <s v="Tue"/>
    <n v="47"/>
    <x v="10"/>
    <x v="1"/>
    <x v="1"/>
    <x v="0"/>
  </r>
  <r>
    <x v="319"/>
    <s v="Wed"/>
    <n v="47"/>
    <x v="10"/>
    <x v="1"/>
    <x v="1"/>
    <x v="0"/>
  </r>
  <r>
    <x v="320"/>
    <s v="Thu"/>
    <n v="47"/>
    <x v="10"/>
    <x v="1"/>
    <x v="1"/>
    <x v="0"/>
  </r>
  <r>
    <x v="321"/>
    <s v="Fri"/>
    <n v="47"/>
    <x v="10"/>
    <x v="1"/>
    <x v="1"/>
    <x v="0"/>
  </r>
  <r>
    <x v="322"/>
    <s v="Sat"/>
    <n v="47"/>
    <x v="10"/>
    <x v="1"/>
    <x v="1"/>
    <x v="0"/>
  </r>
  <r>
    <x v="323"/>
    <s v="Sun"/>
    <n v="48"/>
    <x v="10"/>
    <x v="1"/>
    <x v="1"/>
    <x v="0"/>
  </r>
  <r>
    <x v="324"/>
    <s v="Mon"/>
    <n v="48"/>
    <x v="10"/>
    <x v="1"/>
    <x v="1"/>
    <x v="0"/>
  </r>
  <r>
    <x v="325"/>
    <s v="Tue"/>
    <n v="48"/>
    <x v="10"/>
    <x v="1"/>
    <x v="1"/>
    <x v="0"/>
  </r>
  <r>
    <x v="326"/>
    <s v="Wed"/>
    <n v="48"/>
    <x v="10"/>
    <x v="1"/>
    <x v="1"/>
    <x v="0"/>
  </r>
  <r>
    <x v="327"/>
    <s v="Thu"/>
    <n v="48"/>
    <x v="10"/>
    <x v="1"/>
    <x v="1"/>
    <x v="0"/>
  </r>
  <r>
    <x v="328"/>
    <s v="Fri"/>
    <n v="48"/>
    <x v="10"/>
    <x v="1"/>
    <x v="1"/>
    <x v="0"/>
  </r>
  <r>
    <x v="329"/>
    <s v="Sat"/>
    <n v="48"/>
    <x v="10"/>
    <x v="1"/>
    <x v="1"/>
    <x v="0"/>
  </r>
  <r>
    <x v="330"/>
    <s v="Sun"/>
    <n v="49"/>
    <x v="10"/>
    <x v="1"/>
    <x v="1"/>
    <x v="0"/>
  </r>
  <r>
    <x v="331"/>
    <s v="Mon"/>
    <n v="49"/>
    <x v="10"/>
    <x v="1"/>
    <x v="1"/>
    <x v="0"/>
  </r>
  <r>
    <x v="332"/>
    <s v="Tue"/>
    <n v="49"/>
    <x v="11"/>
    <x v="1"/>
    <x v="1"/>
    <x v="0"/>
  </r>
  <r>
    <x v="333"/>
    <s v="Wed"/>
    <n v="49"/>
    <x v="11"/>
    <x v="1"/>
    <x v="1"/>
    <x v="0"/>
  </r>
  <r>
    <x v="334"/>
    <s v="Thu"/>
    <n v="49"/>
    <x v="11"/>
    <x v="1"/>
    <x v="1"/>
    <x v="0"/>
  </r>
  <r>
    <x v="335"/>
    <s v="Fri"/>
    <n v="49"/>
    <x v="11"/>
    <x v="1"/>
    <x v="1"/>
    <x v="0"/>
  </r>
  <r>
    <x v="336"/>
    <s v="Sat"/>
    <n v="49"/>
    <x v="11"/>
    <x v="1"/>
    <x v="1"/>
    <x v="0"/>
  </r>
  <r>
    <x v="337"/>
    <s v="Sun"/>
    <n v="50"/>
    <x v="11"/>
    <x v="1"/>
    <x v="1"/>
    <x v="0"/>
  </r>
  <r>
    <x v="338"/>
    <s v="Mon"/>
    <n v="50"/>
    <x v="11"/>
    <x v="1"/>
    <x v="1"/>
    <x v="0"/>
  </r>
  <r>
    <x v="339"/>
    <s v="Tue"/>
    <n v="50"/>
    <x v="11"/>
    <x v="1"/>
    <x v="1"/>
    <x v="0"/>
  </r>
  <r>
    <x v="340"/>
    <s v="Wed"/>
    <n v="50"/>
    <x v="11"/>
    <x v="1"/>
    <x v="1"/>
    <x v="0"/>
  </r>
  <r>
    <x v="341"/>
    <s v="Thu"/>
    <n v="50"/>
    <x v="11"/>
    <x v="1"/>
    <x v="1"/>
    <x v="0"/>
  </r>
  <r>
    <x v="342"/>
    <s v="Fri"/>
    <n v="50"/>
    <x v="11"/>
    <x v="1"/>
    <x v="1"/>
    <x v="0"/>
  </r>
  <r>
    <x v="343"/>
    <s v="Sat"/>
    <n v="50"/>
    <x v="11"/>
    <x v="1"/>
    <x v="1"/>
    <x v="0"/>
  </r>
  <r>
    <x v="344"/>
    <s v="Sun"/>
    <n v="51"/>
    <x v="11"/>
    <x v="1"/>
    <x v="1"/>
    <x v="0"/>
  </r>
  <r>
    <x v="345"/>
    <s v="Mon"/>
    <n v="51"/>
    <x v="11"/>
    <x v="1"/>
    <x v="1"/>
    <x v="0"/>
  </r>
  <r>
    <x v="346"/>
    <s v="Tue"/>
    <n v="51"/>
    <x v="11"/>
    <x v="1"/>
    <x v="1"/>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7">
  <r>
    <d v="2026-01-03T00:00:00"/>
    <s v="Sat"/>
    <n v="1"/>
    <x v="0"/>
    <s v="j1"/>
    <s v="Total hari kerja"/>
    <x v="0"/>
    <n v="12"/>
    <m/>
    <m/>
    <m/>
  </r>
  <r>
    <d v="2026-01-04T00:00:00"/>
    <s v="Sun"/>
    <n v="2"/>
    <x v="0"/>
    <m/>
    <s v=" "/>
    <x v="0"/>
    <m/>
    <m/>
    <m/>
    <m/>
  </r>
  <r>
    <d v="2026-01-05T00:00:00"/>
    <s v="Mon"/>
    <n v="2"/>
    <x v="0"/>
    <s v="j1"/>
    <s v="Total hari kerja"/>
    <x v="0"/>
    <n v="8"/>
    <n v="4"/>
    <m/>
    <m/>
  </r>
  <r>
    <d v="2026-01-06T00:00:00"/>
    <s v="Tue"/>
    <n v="2"/>
    <x v="0"/>
    <s v="j1"/>
    <s v="Total hari kerja"/>
    <x v="0"/>
    <n v="1"/>
    <m/>
    <m/>
    <m/>
  </r>
  <r>
    <d v="2026-01-07T00:00:00"/>
    <s v="Wed"/>
    <n v="2"/>
    <x v="0"/>
    <s v="j1"/>
    <s v="Total hari kerja"/>
    <x v="0"/>
    <n v="3"/>
    <n v="4"/>
    <m/>
    <m/>
  </r>
  <r>
    <d v="2026-01-08T00:00:00"/>
    <s v="Thu"/>
    <n v="2"/>
    <x v="0"/>
    <s v="j1"/>
    <s v="Total hari kerja"/>
    <x v="0"/>
    <n v="2"/>
    <n v="1"/>
    <m/>
    <m/>
  </r>
  <r>
    <d v="2026-01-09T00:00:00"/>
    <s v="Fri"/>
    <n v="2"/>
    <x v="0"/>
    <s v="j1"/>
    <s v="Total hari kerja"/>
    <x v="0"/>
    <n v="2"/>
    <m/>
    <m/>
    <m/>
  </r>
  <r>
    <d v="2026-01-10T00:00:00"/>
    <s v="Sat"/>
    <n v="2"/>
    <x v="0"/>
    <s v="j1"/>
    <s v="Total hari kerja"/>
    <x v="0"/>
    <n v="7"/>
    <m/>
    <m/>
    <m/>
  </r>
  <r>
    <d v="2026-01-11T00:00:00"/>
    <s v="Sun"/>
    <n v="3"/>
    <x v="0"/>
    <m/>
    <s v=" "/>
    <x v="0"/>
    <m/>
    <m/>
    <m/>
    <m/>
  </r>
  <r>
    <d v="2026-01-12T00:00:00"/>
    <s v="Mon"/>
    <n v="3"/>
    <x v="0"/>
    <s v="j1"/>
    <s v="Total hari kerja"/>
    <x v="0"/>
    <n v="2"/>
    <n v="3"/>
    <m/>
    <m/>
  </r>
  <r>
    <d v="2026-01-13T00:00:00"/>
    <s v="Tue"/>
    <n v="3"/>
    <x v="0"/>
    <s v="j1"/>
    <s v="Total hari kerja"/>
    <x v="0"/>
    <n v="1"/>
    <n v="2"/>
    <m/>
    <m/>
  </r>
  <r>
    <d v="2026-01-14T00:00:00"/>
    <s v="Wed"/>
    <n v="3"/>
    <x v="0"/>
    <s v="j2"/>
    <s v="Ijin/Sakit/Alfa"/>
    <x v="0"/>
    <m/>
    <m/>
    <m/>
    <m/>
  </r>
  <r>
    <d v="2026-01-15T00:00:00"/>
    <s v="Thu"/>
    <n v="3"/>
    <x v="0"/>
    <s v="j1"/>
    <s v="Total hari kerja"/>
    <x v="0"/>
    <n v="6"/>
    <m/>
    <m/>
    <m/>
  </r>
  <r>
    <d v="2026-01-16T00:00:00"/>
    <s v="Fri"/>
    <n v="3"/>
    <x v="0"/>
    <s v="j3"/>
    <s v="MERAH"/>
    <x v="0"/>
    <m/>
    <m/>
    <m/>
    <m/>
  </r>
  <r>
    <d v="2026-01-17T00:00:00"/>
    <s v="Sat"/>
    <n v="3"/>
    <x v="0"/>
    <s v="j1"/>
    <s v="Total hari kerja"/>
    <x v="0"/>
    <n v="3"/>
    <m/>
    <m/>
    <m/>
  </r>
  <r>
    <d v="2026-01-18T00:00:00"/>
    <s v="Sun"/>
    <n v="4"/>
    <x v="0"/>
    <m/>
    <s v=" "/>
    <x v="0"/>
    <m/>
    <m/>
    <m/>
    <m/>
  </r>
  <r>
    <d v="2026-01-19T00:00:00"/>
    <s v="Mon"/>
    <n v="4"/>
    <x v="0"/>
    <s v="j1"/>
    <s v="Total hari kerja"/>
    <x v="0"/>
    <n v="6"/>
    <m/>
    <m/>
    <m/>
  </r>
  <r>
    <d v="2026-01-20T00:00:00"/>
    <s v="Tue"/>
    <n v="4"/>
    <x v="0"/>
    <s v="j5"/>
    <s v="1/2 HARI"/>
    <x v="0"/>
    <n v="0"/>
    <m/>
    <m/>
    <m/>
  </r>
  <r>
    <d v="2026-01-21T00:00:00"/>
    <s v="Wed"/>
    <n v="4"/>
    <x v="0"/>
    <s v="j1"/>
    <s v="Total hari kerja"/>
    <x v="0"/>
    <n v="7"/>
    <n v="2"/>
    <n v="2"/>
    <m/>
  </r>
  <r>
    <d v="2026-01-22T00:00:00"/>
    <s v="Thu"/>
    <n v="4"/>
    <x v="0"/>
    <s v="j1"/>
    <s v="Total hari kerja"/>
    <x v="0"/>
    <n v="12"/>
    <n v="1"/>
    <m/>
    <m/>
  </r>
  <r>
    <d v="2026-01-23T00:00:00"/>
    <s v="Fri"/>
    <n v="4"/>
    <x v="0"/>
    <s v="j1"/>
    <s v="Total hari kerja"/>
    <x v="0"/>
    <n v="5"/>
    <n v="8"/>
    <n v="1"/>
    <m/>
  </r>
  <r>
    <d v="2026-01-24T00:00:00"/>
    <s v="Sat"/>
    <n v="4"/>
    <x v="0"/>
    <s v="j1"/>
    <s v="Total hari kerja"/>
    <x v="0"/>
    <n v="8"/>
    <n v="1"/>
    <m/>
    <m/>
  </r>
  <r>
    <d v="2026-01-25T00:00:00"/>
    <s v="Sun"/>
    <n v="5"/>
    <x v="0"/>
    <m/>
    <s v=" "/>
    <x v="0"/>
    <m/>
    <m/>
    <m/>
    <m/>
  </r>
  <r>
    <d v="2026-01-26T00:00:00"/>
    <s v="Mon"/>
    <n v="5"/>
    <x v="0"/>
    <s v="j1"/>
    <s v="Total hari kerja"/>
    <x v="0"/>
    <n v="5"/>
    <n v="2"/>
    <n v="2"/>
    <m/>
  </r>
  <r>
    <d v="2026-01-27T00:00:00"/>
    <s v="Tue"/>
    <n v="5"/>
    <x v="0"/>
    <s v="j1"/>
    <s v="Total hari kerja"/>
    <x v="0"/>
    <n v="1"/>
    <n v="10"/>
    <n v="1"/>
    <m/>
  </r>
  <r>
    <d v="2026-01-28T00:00:00"/>
    <s v="Wed"/>
    <n v="5"/>
    <x v="0"/>
    <s v="j1"/>
    <s v="Total hari kerja"/>
    <x v="0"/>
    <n v="3"/>
    <n v="2"/>
    <m/>
    <m/>
  </r>
  <r>
    <d v="2026-01-29T00:00:00"/>
    <s v="Thu"/>
    <n v="5"/>
    <x v="0"/>
    <s v="j1"/>
    <s v="Total hari kerja"/>
    <x v="0"/>
    <n v="3"/>
    <n v="1"/>
    <m/>
    <m/>
  </r>
  <r>
    <d v="2026-01-30T00:00:00"/>
    <s v="Fri"/>
    <n v="5"/>
    <x v="0"/>
    <s v="j1"/>
    <s v="Total hari kerja"/>
    <x v="0"/>
    <n v="1"/>
    <n v="4"/>
    <m/>
    <m/>
  </r>
  <r>
    <d v="2026-01-31T00:00:00"/>
    <s v="Sat"/>
    <n v="5"/>
    <x v="0"/>
    <s v="j1"/>
    <s v="Total hari kerja"/>
    <x v="0"/>
    <m/>
    <m/>
    <m/>
    <m/>
  </r>
  <r>
    <d v="2026-02-01T00:00:00"/>
    <s v="Sun"/>
    <n v="6"/>
    <x v="1"/>
    <m/>
    <s v=" "/>
    <x v="0"/>
    <m/>
    <m/>
    <m/>
    <m/>
  </r>
  <r>
    <d v="2026-02-02T00:00:00"/>
    <s v="Mon"/>
    <n v="6"/>
    <x v="1"/>
    <s v="j1"/>
    <s v="Total hari kerja"/>
    <x v="0"/>
    <n v="4"/>
    <n v="1"/>
    <m/>
    <m/>
  </r>
  <r>
    <d v="2026-02-03T00:00:00"/>
    <s v="Tue"/>
    <n v="6"/>
    <x v="1"/>
    <s v="j2"/>
    <s v="Ijin/Sakit/Alfa"/>
    <x v="0"/>
    <m/>
    <m/>
    <m/>
    <m/>
  </r>
  <r>
    <d v="2026-02-04T00:00:00"/>
    <s v="Wed"/>
    <n v="6"/>
    <x v="1"/>
    <s v="j2"/>
    <s v="Ijin/Sakit/Alfa"/>
    <x v="0"/>
    <m/>
    <m/>
    <m/>
    <m/>
  </r>
  <r>
    <d v="2026-02-05T00:00:00"/>
    <s v="Thu"/>
    <n v="6"/>
    <x v="1"/>
    <s v="j1"/>
    <s v="Total hari kerja"/>
    <x v="0"/>
    <n v="12"/>
    <n v="3"/>
    <m/>
    <m/>
  </r>
  <r>
    <d v="2026-02-06T00:00:00"/>
    <s v="Fri"/>
    <n v="6"/>
    <x v="1"/>
    <s v="j1"/>
    <s v="Total hari kerja"/>
    <x v="0"/>
    <n v="1"/>
    <n v="3"/>
    <m/>
    <m/>
  </r>
  <r>
    <d v="2026-02-07T00:00:00"/>
    <s v="Sat"/>
    <n v="6"/>
    <x v="1"/>
    <s v="j2"/>
    <s v="Ijin/Sakit/Alfa"/>
    <x v="0"/>
    <m/>
    <m/>
    <m/>
    <m/>
  </r>
  <r>
    <d v="2026-02-08T00:00:00"/>
    <s v="Sun"/>
    <n v="7"/>
    <x v="1"/>
    <m/>
    <s v=" "/>
    <x v="0"/>
    <m/>
    <m/>
    <m/>
    <m/>
  </r>
  <r>
    <d v="2026-02-09T00:00:00"/>
    <s v="Mon"/>
    <n v="7"/>
    <x v="1"/>
    <s v="j2"/>
    <s v="Ijin/Sakit/Alfa"/>
    <x v="0"/>
    <m/>
    <m/>
    <m/>
    <m/>
  </r>
  <r>
    <d v="2026-02-10T00:00:00"/>
    <s v="Tue"/>
    <n v="7"/>
    <x v="1"/>
    <s v="j1"/>
    <s v="Total hari kerja"/>
    <x v="0"/>
    <n v="6"/>
    <n v="6"/>
    <n v="3"/>
    <m/>
  </r>
  <r>
    <d v="2026-02-11T00:00:00"/>
    <s v="Wed"/>
    <n v="7"/>
    <x v="1"/>
    <s v="j1"/>
    <s v="Total hari kerja"/>
    <x v="0"/>
    <n v="1"/>
    <n v="1"/>
    <n v="7"/>
    <m/>
  </r>
  <r>
    <d v="2026-02-12T00:00:00"/>
    <s v="Thu"/>
    <n v="7"/>
    <x v="1"/>
    <s v="j1"/>
    <s v="Total hari kerja"/>
    <x v="0"/>
    <n v="1"/>
    <n v="3"/>
    <n v="3"/>
    <m/>
  </r>
  <r>
    <d v="2026-02-13T00:00:00"/>
    <s v="Fri"/>
    <n v="7"/>
    <x v="1"/>
    <s v="j1"/>
    <s v="Total hari kerja"/>
    <x v="0"/>
    <n v="8"/>
    <n v="1"/>
    <m/>
    <m/>
  </r>
  <r>
    <d v="2026-02-14T00:00:00"/>
    <s v="Sat"/>
    <n v="7"/>
    <x v="1"/>
    <s v="j1"/>
    <s v="Total hari kerja"/>
    <x v="0"/>
    <n v="3"/>
    <n v="1"/>
    <m/>
    <m/>
  </r>
  <r>
    <d v="2026-02-15T00:00:00"/>
    <s v="Sun"/>
    <n v="8"/>
    <x v="1"/>
    <m/>
    <s v=" "/>
    <x v="0"/>
    <m/>
    <m/>
    <m/>
    <m/>
  </r>
  <r>
    <d v="2026-02-16T00:00:00"/>
    <s v="Mon"/>
    <n v="8"/>
    <x v="1"/>
    <s v="j1"/>
    <s v="Total hari kerja"/>
    <x v="0"/>
    <n v="10"/>
    <m/>
    <m/>
    <m/>
  </r>
  <r>
    <d v="2026-02-17T00:00:00"/>
    <s v="Tue"/>
    <n v="8"/>
    <x v="1"/>
    <s v="j1"/>
    <s v="Total hari kerja"/>
    <x v="0"/>
    <n v="1"/>
    <n v="4"/>
    <n v="1"/>
    <m/>
  </r>
  <r>
    <d v="2026-02-18T00:00:00"/>
    <s v="Wed"/>
    <n v="8"/>
    <x v="1"/>
    <s v="j1"/>
    <s v="Total hari kerja"/>
    <x v="0"/>
    <m/>
    <m/>
    <m/>
    <m/>
  </r>
  <r>
    <d v="2026-02-19T00:00:00"/>
    <s v="Thu"/>
    <n v="8"/>
    <x v="1"/>
    <s v="j1"/>
    <s v="Total hari kerja"/>
    <x v="0"/>
    <n v="3"/>
    <n v="1"/>
    <m/>
    <m/>
  </r>
  <r>
    <d v="2026-02-20T00:00:00"/>
    <s v="Fri"/>
    <n v="8"/>
    <x v="1"/>
    <s v="j1"/>
    <s v="Total hari kerja"/>
    <x v="0"/>
    <n v="4"/>
    <n v="2"/>
    <m/>
    <m/>
  </r>
  <r>
    <d v="2026-02-21T00:00:00"/>
    <s v="Sat"/>
    <n v="8"/>
    <x v="1"/>
    <s v="j1"/>
    <s v="Total hari kerja"/>
    <x v="0"/>
    <n v="2"/>
    <n v="1"/>
    <m/>
    <m/>
  </r>
  <r>
    <d v="2026-02-22T00:00:00"/>
    <s v="Sun"/>
    <n v="9"/>
    <x v="1"/>
    <m/>
    <s v=" "/>
    <x v="0"/>
    <m/>
    <m/>
    <m/>
    <m/>
  </r>
  <r>
    <d v="2026-02-23T00:00:00"/>
    <s v="Mon"/>
    <n v="9"/>
    <x v="1"/>
    <s v="j1"/>
    <s v="Total hari kerja"/>
    <x v="0"/>
    <n v="3"/>
    <n v="5"/>
    <m/>
    <m/>
  </r>
  <r>
    <d v="2026-02-24T00:00:00"/>
    <s v="Tue"/>
    <n v="9"/>
    <x v="1"/>
    <s v="j1"/>
    <s v="Total hari kerja"/>
    <x v="0"/>
    <n v="1"/>
    <n v="3"/>
    <m/>
    <m/>
  </r>
  <r>
    <d v="2026-02-25T00:00:00"/>
    <s v="Wed"/>
    <n v="9"/>
    <x v="1"/>
    <s v="j1"/>
    <s v="Total hari kerja"/>
    <x v="0"/>
    <n v="11"/>
    <n v="1"/>
    <m/>
    <m/>
  </r>
  <r>
    <d v="2026-02-26T00:00:00"/>
    <s v="Thu"/>
    <n v="9"/>
    <x v="1"/>
    <s v="j1"/>
    <s v="Total hari kerja"/>
    <x v="0"/>
    <n v="2"/>
    <m/>
    <m/>
    <m/>
  </r>
  <r>
    <d v="2026-02-27T00:00:00"/>
    <s v="Fri"/>
    <n v="9"/>
    <x v="1"/>
    <s v="j1"/>
    <s v="Total hari kerja"/>
    <x v="0"/>
    <n v="8"/>
    <m/>
    <m/>
    <m/>
  </r>
  <r>
    <d v="2026-02-28T00:00:00"/>
    <s v="Sat"/>
    <n v="9"/>
    <x v="1"/>
    <s v="j1"/>
    <s v="Total hari kerja"/>
    <x v="0"/>
    <m/>
    <m/>
    <m/>
    <m/>
  </r>
  <r>
    <d v="2026-03-01T00:00:00"/>
    <s v="Sun"/>
    <n v="10"/>
    <x v="2"/>
    <m/>
    <s v=" "/>
    <x v="0"/>
    <m/>
    <m/>
    <m/>
    <m/>
  </r>
  <r>
    <d v="2026-03-02T00:00:00"/>
    <s v="Mon"/>
    <n v="10"/>
    <x v="2"/>
    <s v="j1"/>
    <s v="Total hari kerja"/>
    <x v="0"/>
    <n v="7"/>
    <n v="5"/>
    <m/>
    <m/>
  </r>
  <r>
    <d v="2026-03-03T00:00:00"/>
    <s v="Tue"/>
    <n v="10"/>
    <x v="2"/>
    <s v="j1"/>
    <s v="Total hari kerja"/>
    <x v="0"/>
    <n v="8"/>
    <n v="3"/>
    <m/>
    <m/>
  </r>
  <r>
    <d v="2026-03-04T00:00:00"/>
    <s v="Wed"/>
    <n v="10"/>
    <x v="2"/>
    <s v="j1"/>
    <s v="Total hari kerja"/>
    <x v="0"/>
    <n v="9"/>
    <m/>
    <m/>
    <m/>
  </r>
  <r>
    <d v="2026-03-05T00:00:00"/>
    <s v="Thu"/>
    <n v="10"/>
    <x v="2"/>
    <s v="j1"/>
    <s v="Total hari kerja"/>
    <x v="0"/>
    <n v="12"/>
    <n v="1"/>
    <m/>
    <m/>
  </r>
  <r>
    <d v="2026-03-06T00:00:00"/>
    <s v="Fri"/>
    <n v="10"/>
    <x v="2"/>
    <s v="j2"/>
    <s v="Ijin/Sakit/Alfa"/>
    <x v="0"/>
    <m/>
    <m/>
    <m/>
    <m/>
  </r>
  <r>
    <d v="2026-03-07T00:00:00"/>
    <s v="Sat"/>
    <n v="10"/>
    <x v="2"/>
    <s v="j1"/>
    <s v="Total hari kerja"/>
    <x v="0"/>
    <n v="11"/>
    <n v="2"/>
    <n v="1"/>
    <m/>
  </r>
  <r>
    <d v="2026-03-08T00:00:00"/>
    <s v="Sun"/>
    <n v="11"/>
    <x v="2"/>
    <m/>
    <s v=" "/>
    <x v="0"/>
    <m/>
    <m/>
    <m/>
    <m/>
  </r>
  <r>
    <d v="2026-03-09T00:00:00"/>
    <s v="Mon"/>
    <n v="11"/>
    <x v="2"/>
    <s v="j1"/>
    <s v="Total hari kerja"/>
    <x v="0"/>
    <n v="6"/>
    <m/>
    <m/>
    <m/>
  </r>
  <r>
    <d v="2026-03-10T00:00:00"/>
    <s v="Tue"/>
    <n v="11"/>
    <x v="2"/>
    <s v="j1"/>
    <s v="Total hari kerja"/>
    <x v="0"/>
    <n v="7"/>
    <n v="1"/>
    <m/>
    <m/>
  </r>
  <r>
    <d v="2026-03-11T00:00:00"/>
    <s v="Wed"/>
    <n v="11"/>
    <x v="2"/>
    <s v="j1"/>
    <s v="Total hari kerja"/>
    <x v="0"/>
    <n v="4"/>
    <n v="2"/>
    <n v="1"/>
    <m/>
  </r>
  <r>
    <d v="2026-03-12T00:00:00"/>
    <s v="Thu"/>
    <n v="11"/>
    <x v="2"/>
    <s v="j1"/>
    <s v="Total hari kerja"/>
    <x v="0"/>
    <n v="10"/>
    <n v="1"/>
    <n v="3"/>
    <m/>
  </r>
  <r>
    <d v="2026-03-13T00:00:00"/>
    <s v="Fri"/>
    <n v="11"/>
    <x v="2"/>
    <s v="j1"/>
    <s v="Total hari kerja"/>
    <x v="0"/>
    <n v="9"/>
    <n v="8"/>
    <m/>
    <m/>
  </r>
  <r>
    <d v="2026-03-14T00:00:00"/>
    <s v="Sat"/>
    <n v="11"/>
    <x v="2"/>
    <s v="j1"/>
    <s v="Total hari kerja"/>
    <x v="0"/>
    <n v="2"/>
    <n v="3"/>
    <m/>
    <m/>
  </r>
  <r>
    <d v="2026-03-15T00:00:00"/>
    <s v="Sun"/>
    <n v="12"/>
    <x v="2"/>
    <m/>
    <s v=" "/>
    <x v="0"/>
    <m/>
    <m/>
    <m/>
    <m/>
  </r>
  <r>
    <d v="2026-03-16T00:00:00"/>
    <s v="Mon"/>
    <n v="12"/>
    <x v="2"/>
    <s v="j5"/>
    <s v="1/2 HARI"/>
    <x v="0"/>
    <n v="2"/>
    <m/>
    <m/>
    <m/>
  </r>
  <r>
    <d v="2026-03-17T00:00:00"/>
    <s v="Tue"/>
    <n v="12"/>
    <x v="2"/>
    <s v="j1"/>
    <s v="Total hari kerja"/>
    <x v="0"/>
    <n v="5"/>
    <n v="3"/>
    <n v="1"/>
    <m/>
  </r>
  <r>
    <d v="2026-03-18T00:00:00"/>
    <s v="Wed"/>
    <n v="12"/>
    <x v="2"/>
    <s v="j1"/>
    <s v="Total hari kerja"/>
    <x v="0"/>
    <m/>
    <m/>
    <m/>
    <m/>
  </r>
  <r>
    <d v="2026-03-19T00:00:00"/>
    <s v="Thu"/>
    <n v="12"/>
    <x v="2"/>
    <m/>
    <m/>
    <x v="0"/>
    <m/>
    <m/>
    <m/>
    <m/>
  </r>
  <r>
    <d v="2026-03-20T00:00:00"/>
    <s v="Fri"/>
    <n v="12"/>
    <x v="2"/>
    <m/>
    <m/>
    <x v="0"/>
    <m/>
    <m/>
    <m/>
    <m/>
  </r>
  <r>
    <d v="2026-03-21T00:00:00"/>
    <s v="Sat"/>
    <n v="12"/>
    <x v="2"/>
    <m/>
    <m/>
    <x v="0"/>
    <m/>
    <m/>
    <m/>
    <m/>
  </r>
  <r>
    <d v="2026-03-22T00:00:00"/>
    <s v="Sun"/>
    <n v="13"/>
    <x v="2"/>
    <m/>
    <s v=" "/>
    <x v="0"/>
    <m/>
    <m/>
    <m/>
    <m/>
  </r>
  <r>
    <d v="2026-03-23T00:00:00"/>
    <s v="Mon"/>
    <n v="13"/>
    <x v="2"/>
    <m/>
    <s v=" "/>
    <x v="0"/>
    <m/>
    <m/>
    <m/>
    <m/>
  </r>
  <r>
    <d v="2026-03-24T00:00:00"/>
    <s v="Tue"/>
    <n v="13"/>
    <x v="2"/>
    <m/>
    <s v=" "/>
    <x v="0"/>
    <m/>
    <m/>
    <m/>
    <m/>
  </r>
  <r>
    <d v="2026-03-25T00:00:00"/>
    <s v="Wed"/>
    <n v="13"/>
    <x v="2"/>
    <m/>
    <s v=" "/>
    <x v="0"/>
    <m/>
    <m/>
    <m/>
    <m/>
  </r>
  <r>
    <d v="2026-03-26T00:00:00"/>
    <s v="Thu"/>
    <n v="13"/>
    <x v="2"/>
    <m/>
    <s v=" "/>
    <x v="0"/>
    <m/>
    <m/>
    <m/>
    <m/>
  </r>
  <r>
    <d v="2026-03-27T00:00:00"/>
    <s v="Fri"/>
    <n v="13"/>
    <x v="2"/>
    <m/>
    <s v=" "/>
    <x v="0"/>
    <m/>
    <m/>
    <m/>
    <m/>
  </r>
  <r>
    <d v="2026-03-28T00:00:00"/>
    <s v="Sat"/>
    <n v="13"/>
    <x v="2"/>
    <m/>
    <s v=" "/>
    <x v="0"/>
    <m/>
    <m/>
    <m/>
    <m/>
  </r>
  <r>
    <d v="2026-03-29T00:00:00"/>
    <s v="Sun"/>
    <n v="14"/>
    <x v="2"/>
    <m/>
    <s v=" "/>
    <x v="0"/>
    <m/>
    <m/>
    <m/>
    <m/>
  </r>
  <r>
    <d v="2026-03-30T00:00:00"/>
    <s v="Mon"/>
    <n v="14"/>
    <x v="2"/>
    <s v="j1"/>
    <s v="Total hari kerja"/>
    <x v="0"/>
    <n v="24"/>
    <n v="12"/>
    <m/>
    <m/>
  </r>
  <r>
    <d v="2026-03-31T00:00:00"/>
    <s v="Tue"/>
    <n v="14"/>
    <x v="2"/>
    <s v="j1"/>
    <s v="Total hari kerja"/>
    <x v="0"/>
    <n v="31"/>
    <n v="15"/>
    <m/>
    <m/>
  </r>
  <r>
    <d v="2026-04-01T00:00:00"/>
    <s v="Wed"/>
    <n v="14"/>
    <x v="3"/>
    <s v="j1"/>
    <s v="Total hari kerja"/>
    <x v="0"/>
    <n v="44"/>
    <n v="7"/>
    <m/>
    <m/>
  </r>
  <r>
    <d v="2026-04-02T00:00:00"/>
    <s v="Thu"/>
    <n v="14"/>
    <x v="3"/>
    <s v="j1"/>
    <s v="Total hari kerja"/>
    <x v="0"/>
    <n v="24"/>
    <n v="11"/>
    <m/>
    <m/>
  </r>
  <r>
    <d v="2026-04-03T00:00:00"/>
    <s v="Fri"/>
    <n v="14"/>
    <x v="3"/>
    <s v="j1"/>
    <s v="Total hari kerja"/>
    <x v="0"/>
    <n v="28"/>
    <n v="16"/>
    <m/>
    <m/>
  </r>
  <r>
    <d v="2026-04-04T00:00:00"/>
    <s v="Sat"/>
    <n v="14"/>
    <x v="3"/>
    <s v="j1"/>
    <s v="Total hari kerja"/>
    <x v="0"/>
    <n v="20"/>
    <n v="5"/>
    <m/>
    <m/>
  </r>
  <r>
    <d v="2026-04-05T00:00:00"/>
    <s v="Sun"/>
    <n v="15"/>
    <x v="3"/>
    <m/>
    <s v=" "/>
    <x v="0"/>
    <m/>
    <m/>
    <m/>
    <m/>
  </r>
  <r>
    <d v="2026-04-06T00:00:00"/>
    <s v="Mon"/>
    <n v="15"/>
    <x v="3"/>
    <s v="j1"/>
    <s v="Total hari kerja"/>
    <x v="0"/>
    <n v="29"/>
    <n v="7"/>
    <m/>
    <m/>
  </r>
  <r>
    <d v="2026-04-07T00:00:00"/>
    <s v="Tue"/>
    <n v="15"/>
    <x v="3"/>
    <s v="j1"/>
    <s v="Total hari kerja"/>
    <x v="0"/>
    <n v="19"/>
    <n v="4"/>
    <m/>
    <m/>
  </r>
  <r>
    <d v="2026-04-08T00:00:00"/>
    <s v="Wed"/>
    <n v="15"/>
    <x v="3"/>
    <s v="j1"/>
    <s v="Total hari kerja"/>
    <x v="0"/>
    <n v="34"/>
    <n v="8"/>
    <m/>
    <m/>
  </r>
  <r>
    <d v="2026-04-09T00:00:00"/>
    <s v="Thu"/>
    <n v="15"/>
    <x v="3"/>
    <s v="j2"/>
    <s v="Ijin/Sakit/Alfa"/>
    <x v="0"/>
    <m/>
    <m/>
    <m/>
    <m/>
  </r>
  <r>
    <d v="2026-04-10T00:00:00"/>
    <s v="Fri"/>
    <n v="15"/>
    <x v="3"/>
    <s v="j1"/>
    <s v="Total hari kerja"/>
    <x v="0"/>
    <n v="45"/>
    <n v="9"/>
    <m/>
    <m/>
  </r>
  <r>
    <d v="2026-04-11T00:00:00"/>
    <s v="Sat"/>
    <n v="15"/>
    <x v="3"/>
    <s v="j1"/>
    <s v="Total hari kerja"/>
    <x v="0"/>
    <n v="41"/>
    <n v="7"/>
    <m/>
    <m/>
  </r>
  <r>
    <d v="2026-04-12T00:00:00"/>
    <s v="Sun"/>
    <n v="16"/>
    <x v="3"/>
    <m/>
    <s v=" "/>
    <x v="0"/>
    <m/>
    <m/>
    <m/>
    <m/>
  </r>
  <r>
    <d v="2026-04-13T00:00:00"/>
    <s v="Mon"/>
    <n v="16"/>
    <x v="3"/>
    <s v="j1"/>
    <s v="Total hari kerja"/>
    <x v="0"/>
    <n v="33"/>
    <n v="5"/>
    <m/>
    <m/>
  </r>
  <r>
    <d v="2026-04-14T00:00:00"/>
    <s v="Tue"/>
    <n v="16"/>
    <x v="3"/>
    <s v="j1"/>
    <s v="Total hari kerja"/>
    <x v="0"/>
    <n v="40"/>
    <n v="15"/>
    <m/>
    <m/>
  </r>
  <r>
    <d v="2026-04-15T00:00:00"/>
    <s v="Wed"/>
    <n v="16"/>
    <x v="3"/>
    <s v="j1"/>
    <s v="Total hari kerja"/>
    <x v="0"/>
    <n v="54"/>
    <n v="24"/>
    <m/>
    <m/>
  </r>
  <r>
    <d v="2026-04-16T00:00:00"/>
    <s v="Thu"/>
    <n v="16"/>
    <x v="3"/>
    <s v="j1"/>
    <s v="Total hari kerja"/>
    <x v="0"/>
    <n v="45"/>
    <n v="33"/>
    <m/>
    <m/>
  </r>
  <r>
    <d v="2026-04-17T00:00:00"/>
    <s v="Fri"/>
    <n v="16"/>
    <x v="3"/>
    <s v="j1"/>
    <s v="Total hari kerja"/>
    <x v="0"/>
    <n v="114"/>
    <n v="10"/>
    <m/>
    <m/>
  </r>
  <r>
    <d v="2026-04-18T00:00:00"/>
    <s v="Sat"/>
    <n v="16"/>
    <x v="3"/>
    <s v="j1"/>
    <s v="Total hari kerja"/>
    <x v="0"/>
    <n v="51"/>
    <n v="26"/>
    <m/>
    <m/>
  </r>
  <r>
    <d v="2026-04-19T00:00:00"/>
    <s v="Sun"/>
    <n v="17"/>
    <x v="3"/>
    <m/>
    <s v=" "/>
    <x v="0"/>
    <m/>
    <m/>
    <m/>
    <m/>
  </r>
  <r>
    <d v="2026-04-20T00:00:00"/>
    <s v="Mon"/>
    <n v="17"/>
    <x v="3"/>
    <s v="j1"/>
    <s v="Total hari kerja"/>
    <x v="0"/>
    <n v="38"/>
    <n v="16"/>
    <m/>
    <m/>
  </r>
  <r>
    <d v="2026-04-21T00:00:00"/>
    <s v="Tue"/>
    <n v="17"/>
    <x v="3"/>
    <s v="j1"/>
    <s v="Total hari kerja"/>
    <x v="0"/>
    <n v="56"/>
    <n v="10"/>
    <m/>
    <m/>
  </r>
  <r>
    <d v="2026-04-22T00:00:00"/>
    <s v="Wed"/>
    <n v="17"/>
    <x v="3"/>
    <s v="j1"/>
    <s v="Total hari kerja"/>
    <x v="0"/>
    <n v="27"/>
    <n v="9"/>
    <m/>
    <m/>
  </r>
  <r>
    <d v="2026-04-23T00:00:00"/>
    <s v="Thu"/>
    <n v="17"/>
    <x v="3"/>
    <s v="j2"/>
    <s v="Ijin/Sakit/Alfa"/>
    <x v="0"/>
    <m/>
    <m/>
    <m/>
    <m/>
  </r>
  <r>
    <d v="2026-04-24T00:00:00"/>
    <s v="Fri"/>
    <n v="17"/>
    <x v="3"/>
    <s v="j1"/>
    <s v="Total hari kerja"/>
    <x v="0"/>
    <n v="10"/>
    <n v="7"/>
    <m/>
    <m/>
  </r>
  <r>
    <d v="2026-04-25T00:00:00"/>
    <s v="Sat"/>
    <n v="17"/>
    <x v="3"/>
    <s v="j1"/>
    <s v="Total hari kerja"/>
    <x v="0"/>
    <n v="15"/>
    <m/>
    <m/>
    <m/>
  </r>
  <r>
    <d v="2026-04-26T00:00:00"/>
    <s v="Sun"/>
    <n v="18"/>
    <x v="3"/>
    <m/>
    <s v=" "/>
    <x v="0"/>
    <m/>
    <m/>
    <m/>
    <m/>
  </r>
  <r>
    <d v="2026-04-27T00:00:00"/>
    <s v="Mon"/>
    <n v="18"/>
    <x v="3"/>
    <s v="j1"/>
    <s v="Total hari kerja"/>
    <x v="0"/>
    <n v="54"/>
    <n v="10"/>
    <m/>
    <m/>
  </r>
  <r>
    <d v="2026-04-28T00:00:00"/>
    <s v="Tue"/>
    <n v="18"/>
    <x v="3"/>
    <s v="j1"/>
    <s v="Total hari kerja"/>
    <x v="0"/>
    <n v="28"/>
    <n v="7"/>
    <m/>
    <m/>
  </r>
  <r>
    <d v="2026-04-29T00:00:00"/>
    <s v="Wed"/>
    <n v="18"/>
    <x v="3"/>
    <s v="j1"/>
    <s v="Total hari kerja"/>
    <x v="0"/>
    <n v="20"/>
    <n v="9"/>
    <m/>
    <m/>
  </r>
  <r>
    <d v="2026-04-30T00:00:00"/>
    <s v="Thu"/>
    <n v="18"/>
    <x v="3"/>
    <s v="j1"/>
    <s v="Total hari kerja"/>
    <x v="0"/>
    <n v="31"/>
    <n v="3"/>
    <m/>
    <m/>
  </r>
  <r>
    <d v="2026-05-01T00:00:00"/>
    <s v="Fri"/>
    <n v="18"/>
    <x v="4"/>
    <s v="j1"/>
    <s v="Total hari kerja"/>
    <x v="0"/>
    <n v="29"/>
    <n v="5"/>
    <m/>
    <m/>
  </r>
  <r>
    <d v="2026-05-02T00:00:00"/>
    <s v="Sat"/>
    <n v="18"/>
    <x v="4"/>
    <s v="j1"/>
    <s v="Total hari kerja"/>
    <x v="0"/>
    <n v="33"/>
    <n v="8"/>
    <m/>
    <m/>
  </r>
  <r>
    <d v="2026-05-03T00:00:00"/>
    <s v="Sun"/>
    <n v="19"/>
    <x v="4"/>
    <m/>
    <s v=" "/>
    <x v="0"/>
    <m/>
    <m/>
    <m/>
    <m/>
  </r>
  <r>
    <d v="2026-05-04T00:00:00"/>
    <s v="Mon"/>
    <n v="19"/>
    <x v="4"/>
    <s v="j1"/>
    <s v="Total hari kerja"/>
    <x v="0"/>
    <n v="36"/>
    <n v="18"/>
    <m/>
    <m/>
  </r>
  <r>
    <d v="2026-05-05T00:00:00"/>
    <s v="Tue"/>
    <n v="19"/>
    <x v="4"/>
    <s v="j1"/>
    <s v="Total hari kerja"/>
    <x v="0"/>
    <n v="37"/>
    <n v="16"/>
    <m/>
    <m/>
  </r>
  <r>
    <d v="2026-05-06T00:00:00"/>
    <s v="Wed"/>
    <n v="19"/>
    <x v="4"/>
    <s v="j2"/>
    <s v="Ijin/Sakit/Alfa"/>
    <x v="0"/>
    <m/>
    <m/>
    <m/>
    <m/>
  </r>
  <r>
    <d v="2026-05-07T00:00:00"/>
    <s v="Thu"/>
    <n v="19"/>
    <x v="4"/>
    <s v="j1"/>
    <s v="Total hari kerja"/>
    <x v="0"/>
    <n v="15"/>
    <n v="10"/>
    <n v="12"/>
    <m/>
  </r>
  <r>
    <d v="2026-05-08T00:00:00"/>
    <s v="Fri"/>
    <n v="19"/>
    <x v="4"/>
    <s v="j1"/>
    <s v="Total hari kerja"/>
    <x v="0"/>
    <n v="12"/>
    <n v="1"/>
    <m/>
    <m/>
  </r>
  <r>
    <d v="2026-05-09T00:00:00"/>
    <s v="Sat"/>
    <n v="19"/>
    <x v="4"/>
    <s v="j1"/>
    <s v="Total hari kerja"/>
    <x v="0"/>
    <n v="18"/>
    <n v="5"/>
    <m/>
    <m/>
  </r>
  <r>
    <d v="2026-05-10T00:00:00"/>
    <s v="Sun"/>
    <n v="20"/>
    <x v="4"/>
    <m/>
    <s v=" "/>
    <x v="0"/>
    <m/>
    <m/>
    <m/>
    <m/>
  </r>
  <r>
    <d v="2026-05-11T00:00:00"/>
    <s v="Mon"/>
    <n v="20"/>
    <x v="4"/>
    <s v="j2"/>
    <s v="Ijin/Sakit/Alfa"/>
    <x v="0"/>
    <m/>
    <m/>
    <m/>
    <m/>
  </r>
  <r>
    <d v="2026-05-12T00:00:00"/>
    <s v="Tue"/>
    <n v="20"/>
    <x v="4"/>
    <s v="j1"/>
    <s v="Total hari kerja"/>
    <x v="0"/>
    <n v="11"/>
    <n v="3"/>
    <m/>
    <m/>
  </r>
  <r>
    <d v="2026-05-13T00:00:00"/>
    <s v="Wed"/>
    <n v="20"/>
    <x v="4"/>
    <s v="j1"/>
    <s v="Total hari kerja"/>
    <x v="0"/>
    <n v="16"/>
    <n v="12"/>
    <m/>
    <m/>
  </r>
  <r>
    <d v="2026-05-14T00:00:00"/>
    <s v="Thu"/>
    <n v="20"/>
    <x v="4"/>
    <s v="j1"/>
    <s v="Total hari kerja"/>
    <x v="0"/>
    <n v="33"/>
    <n v="10"/>
    <m/>
    <m/>
  </r>
  <r>
    <d v="2026-05-15T00:00:00"/>
    <s v="Fri"/>
    <n v="20"/>
    <x v="4"/>
    <s v="j1"/>
    <s v="Total hari kerja"/>
    <x v="0"/>
    <n v="22"/>
    <n v="8"/>
    <m/>
    <m/>
  </r>
  <r>
    <d v="2026-05-16T00:00:00"/>
    <s v="Sat"/>
    <n v="20"/>
    <x v="4"/>
    <s v="j3"/>
    <s v="MERAH"/>
    <x v="0"/>
    <m/>
    <m/>
    <m/>
    <m/>
  </r>
  <r>
    <d v="2026-05-17T00:00:00"/>
    <s v="Sun"/>
    <n v="21"/>
    <x v="4"/>
    <m/>
    <s v=" "/>
    <x v="0"/>
    <m/>
    <m/>
    <m/>
    <m/>
  </r>
  <r>
    <d v="2026-05-18T00:00:00"/>
    <s v="Mon"/>
    <n v="21"/>
    <x v="4"/>
    <s v="j1"/>
    <s v="Total hari kerja"/>
    <x v="0"/>
    <n v="23"/>
    <m/>
    <m/>
    <m/>
  </r>
  <r>
    <d v="2026-05-19T00:00:00"/>
    <s v="Tue"/>
    <n v="21"/>
    <x v="4"/>
    <s v="j1"/>
    <s v="Total hari kerja"/>
    <x v="0"/>
    <n v="14"/>
    <n v="3"/>
    <m/>
    <m/>
  </r>
  <r>
    <d v="2026-05-20T00:00:00"/>
    <s v="Wed"/>
    <n v="21"/>
    <x v="4"/>
    <s v="j1"/>
    <s v="Total hari kerja"/>
    <x v="0"/>
    <n v="10"/>
    <n v="7"/>
    <m/>
    <m/>
  </r>
  <r>
    <d v="2026-05-21T00:00:00"/>
    <s v="Thu"/>
    <n v="21"/>
    <x v="4"/>
    <s v="j1"/>
    <s v="Total hari kerja"/>
    <x v="0"/>
    <n v="12"/>
    <n v="4"/>
    <m/>
    <m/>
  </r>
  <r>
    <d v="2026-05-22T00:00:00"/>
    <s v="Fri"/>
    <n v="21"/>
    <x v="4"/>
    <s v="j1"/>
    <s v="Total hari kerja"/>
    <x v="0"/>
    <n v="15"/>
    <n v="1"/>
    <n v="1"/>
    <m/>
  </r>
  <r>
    <d v="2026-05-23T00:00:00"/>
    <s v="Sat"/>
    <n v="21"/>
    <x v="4"/>
    <s v="j1"/>
    <s v="Total hari kerja"/>
    <x v="0"/>
    <n v="22"/>
    <n v="6"/>
    <m/>
    <m/>
  </r>
  <r>
    <d v="2026-05-24T00:00:00"/>
    <s v="Sun"/>
    <n v="22"/>
    <x v="4"/>
    <m/>
    <s v=" "/>
    <x v="0"/>
    <m/>
    <m/>
    <m/>
    <m/>
  </r>
  <r>
    <d v="2026-05-25T00:00:00"/>
    <s v="Mon"/>
    <n v="22"/>
    <x v="4"/>
    <s v="j1"/>
    <s v="Total hari kerja"/>
    <x v="0"/>
    <n v="19"/>
    <n v="12"/>
    <m/>
    <m/>
  </r>
  <r>
    <d v="2026-05-26T00:00:00"/>
    <s v="Tue"/>
    <n v="22"/>
    <x v="4"/>
    <s v="j1"/>
    <s v="Total hari kerja"/>
    <x v="0"/>
    <n v="3"/>
    <n v="9"/>
    <m/>
    <m/>
  </r>
  <r>
    <d v="2026-05-27T00:00:00"/>
    <s v="Wed"/>
    <n v="22"/>
    <x v="4"/>
    <s v="j3"/>
    <s v="MERAH"/>
    <x v="0"/>
    <m/>
    <m/>
    <m/>
    <m/>
  </r>
  <r>
    <d v="2026-05-28T00:00:00"/>
    <s v="Thu"/>
    <n v="22"/>
    <x v="4"/>
    <s v="j5"/>
    <s v="1/2 HARI"/>
    <x v="0"/>
    <n v="14"/>
    <m/>
    <m/>
    <m/>
  </r>
  <r>
    <d v="2026-05-29T00:00:00"/>
    <s v="Fri"/>
    <n v="22"/>
    <x v="4"/>
    <s v="j1"/>
    <s v="Total hari kerja"/>
    <x v="0"/>
    <n v="13"/>
    <n v="12"/>
    <m/>
    <m/>
  </r>
  <r>
    <d v="2026-05-30T00:00:00"/>
    <s v="Sat"/>
    <n v="22"/>
    <x v="4"/>
    <s v="j1"/>
    <s v="Total hari kerja"/>
    <x v="0"/>
    <n v="15"/>
    <n v="3"/>
    <m/>
    <m/>
  </r>
  <r>
    <d v="2026-05-31T00:00:00"/>
    <s v="Sun"/>
    <n v="23"/>
    <x v="4"/>
    <m/>
    <s v=" "/>
    <x v="0"/>
    <m/>
    <m/>
    <m/>
    <m/>
  </r>
  <r>
    <d v="2026-06-01T00:00:00"/>
    <s v="Mon"/>
    <n v="23"/>
    <x v="5"/>
    <s v="j1"/>
    <s v="Total hari kerja"/>
    <x v="0"/>
    <n v="38"/>
    <n v="6"/>
    <m/>
    <m/>
  </r>
  <r>
    <d v="2026-06-02T00:00:00"/>
    <s v="Tue"/>
    <n v="23"/>
    <x v="5"/>
    <s v="j1"/>
    <s v="Total hari kerja"/>
    <x v="0"/>
    <n v="33"/>
    <n v="4"/>
    <m/>
    <m/>
  </r>
  <r>
    <d v="2026-06-03T00:00:00"/>
    <s v="Wed"/>
    <n v="23"/>
    <x v="5"/>
    <s v="j1"/>
    <s v="Total hari kerja"/>
    <x v="0"/>
    <n v="18"/>
    <n v="5"/>
    <m/>
    <m/>
  </r>
  <r>
    <d v="2026-06-04T00:00:00"/>
    <s v="Thu"/>
    <n v="23"/>
    <x v="5"/>
    <s v="j1"/>
    <s v="Total hari kerja"/>
    <x v="0"/>
    <n v="12"/>
    <n v="13"/>
    <m/>
    <m/>
  </r>
  <r>
    <d v="2026-06-05T00:00:00"/>
    <s v="Fri"/>
    <n v="23"/>
    <x v="5"/>
    <s v="j1"/>
    <s v="Total hari kerja"/>
    <x v="0"/>
    <n v="15"/>
    <n v="9"/>
    <m/>
    <m/>
  </r>
  <r>
    <d v="2026-06-06T00:00:00"/>
    <s v="Sat"/>
    <n v="23"/>
    <x v="5"/>
    <s v="j1"/>
    <s v="Total hari kerja"/>
    <x v="0"/>
    <n v="7"/>
    <n v="6"/>
    <m/>
    <m/>
  </r>
  <r>
    <d v="2026-06-07T00:00:00"/>
    <s v="Sun"/>
    <n v="24"/>
    <x v="5"/>
    <m/>
    <s v=" "/>
    <x v="0"/>
    <m/>
    <m/>
    <m/>
    <m/>
  </r>
  <r>
    <d v="2026-06-08T00:00:00"/>
    <s v="Mon"/>
    <n v="24"/>
    <x v="5"/>
    <s v="j1"/>
    <s v="Total hari kerja"/>
    <x v="0"/>
    <n v="7"/>
    <n v="5"/>
    <n v="9"/>
    <m/>
  </r>
  <r>
    <d v="2026-06-09T00:00:00"/>
    <s v="Tue"/>
    <n v="24"/>
    <x v="5"/>
    <s v="j1"/>
    <s v="Total hari kerja"/>
    <x v="0"/>
    <n v="3"/>
    <n v="6"/>
    <m/>
    <m/>
  </r>
  <r>
    <d v="2026-06-10T00:00:00"/>
    <s v="Wed"/>
    <n v="24"/>
    <x v="5"/>
    <s v="j1"/>
    <s v="Total hari kerja"/>
    <x v="0"/>
    <n v="1"/>
    <n v="1"/>
    <n v="1"/>
    <m/>
  </r>
  <r>
    <d v="2026-06-11T00:00:00"/>
    <s v="Thu"/>
    <n v="24"/>
    <x v="5"/>
    <s v="j2"/>
    <s v="Ijin/Sakit/Alfa"/>
    <x v="0"/>
    <m/>
    <m/>
    <m/>
    <m/>
  </r>
  <r>
    <d v="2026-06-12T00:00:00"/>
    <s v="Fri"/>
    <n v="24"/>
    <x v="5"/>
    <s v="j1"/>
    <s v="Total hari kerja"/>
    <x v="0"/>
    <n v="1"/>
    <n v="7"/>
    <m/>
    <m/>
  </r>
  <r>
    <d v="2026-06-13T00:00:00"/>
    <s v="Sat"/>
    <n v="24"/>
    <x v="5"/>
    <s v="j1"/>
    <s v="Total hari kerja"/>
    <x v="0"/>
    <n v="9"/>
    <n v="11"/>
    <m/>
    <m/>
  </r>
  <r>
    <d v="2026-06-14T00:00:00"/>
    <s v="Sun"/>
    <n v="25"/>
    <x v="5"/>
    <m/>
    <s v=" "/>
    <x v="0"/>
    <m/>
    <m/>
    <m/>
    <m/>
  </r>
  <r>
    <d v="2026-06-15T00:00:00"/>
    <s v="Mon"/>
    <n v="25"/>
    <x v="5"/>
    <s v="j1"/>
    <s v="Total hari kerja"/>
    <x v="0"/>
    <n v="7"/>
    <n v="12"/>
    <m/>
    <m/>
  </r>
  <r>
    <d v="2026-06-16T00:00:00"/>
    <s v="Tue"/>
    <n v="25"/>
    <x v="5"/>
    <s v="j3"/>
    <s v="MERAH"/>
    <x v="0"/>
    <m/>
    <m/>
    <m/>
    <m/>
  </r>
  <r>
    <d v="2026-06-17T00:00:00"/>
    <s v="Wed"/>
    <n v="25"/>
    <x v="5"/>
    <s v="j1"/>
    <s v="Total hari kerja"/>
    <x v="0"/>
    <n v="4"/>
    <n v="3"/>
    <n v="3"/>
    <m/>
  </r>
  <r>
    <d v="2026-06-18T00:00:00"/>
    <s v="Thu"/>
    <n v="25"/>
    <x v="5"/>
    <s v="j1"/>
    <s v="Total hari kerja"/>
    <x v="0"/>
    <n v="1"/>
    <m/>
    <m/>
    <m/>
  </r>
  <r>
    <d v="2026-06-19T00:00:00"/>
    <s v="Fri"/>
    <n v="25"/>
    <x v="5"/>
    <s v="j1"/>
    <s v="Total hari kerja"/>
    <x v="0"/>
    <n v="4"/>
    <n v="7"/>
    <m/>
    <m/>
  </r>
  <r>
    <d v="2026-06-20T00:00:00"/>
    <s v="Sat"/>
    <n v="25"/>
    <x v="5"/>
    <s v="j1"/>
    <s v="Total hari kerja"/>
    <x v="0"/>
    <n v="2"/>
    <n v="5"/>
    <m/>
    <m/>
  </r>
  <r>
    <d v="2026-06-21T00:00:00"/>
    <s v="Sun"/>
    <n v="26"/>
    <x v="5"/>
    <m/>
    <s v=" "/>
    <x v="0"/>
    <m/>
    <m/>
    <m/>
    <m/>
  </r>
  <r>
    <d v="2026-06-22T00:00:00"/>
    <s v="Mon"/>
    <n v="26"/>
    <x v="5"/>
    <s v="j1"/>
    <s v="Total hari kerja"/>
    <x v="0"/>
    <n v="6"/>
    <n v="3"/>
    <m/>
    <m/>
  </r>
  <r>
    <d v="2026-06-23T00:00:00"/>
    <s v="Tue"/>
    <n v="26"/>
    <x v="5"/>
    <s v="j1"/>
    <s v="Total hari kerja"/>
    <x v="0"/>
    <n v="6"/>
    <m/>
    <m/>
    <m/>
  </r>
  <r>
    <d v="2026-06-24T00:00:00"/>
    <s v="Wed"/>
    <n v="26"/>
    <x v="5"/>
    <s v="j1"/>
    <s v="Total hari kerja"/>
    <x v="0"/>
    <n v="3"/>
    <n v="5"/>
    <m/>
    <m/>
  </r>
  <r>
    <d v="2026-06-25T00:00:00"/>
    <s v="Thu"/>
    <n v="26"/>
    <x v="5"/>
    <s v="j1"/>
    <s v="Total hari kerja"/>
    <x v="0"/>
    <n v="2"/>
    <n v="2"/>
    <m/>
    <m/>
  </r>
  <r>
    <d v="2026-06-26T00:00:00"/>
    <s v="Fri"/>
    <n v="26"/>
    <x v="5"/>
    <s v="j1"/>
    <s v="Total hari kerja"/>
    <x v="0"/>
    <n v="2"/>
    <n v="3"/>
    <m/>
    <m/>
  </r>
  <r>
    <d v="2026-06-27T00:00:00"/>
    <s v="Sat"/>
    <n v="26"/>
    <x v="5"/>
    <s v="j1"/>
    <s v="Total hari kerja"/>
    <x v="0"/>
    <n v="8"/>
    <n v="6"/>
    <m/>
    <m/>
  </r>
  <r>
    <d v="2026-06-28T00:00:00"/>
    <s v="Sun"/>
    <n v="27"/>
    <x v="5"/>
    <m/>
    <s v=" "/>
    <x v="0"/>
    <m/>
    <m/>
    <m/>
    <m/>
  </r>
  <r>
    <d v="2026-06-29T00:00:00"/>
    <s v="Mon"/>
    <n v="27"/>
    <x v="5"/>
    <s v="j1"/>
    <s v="Total hari kerja"/>
    <x v="0"/>
    <n v="9"/>
    <n v="3"/>
    <m/>
    <m/>
  </r>
  <r>
    <d v="2026-06-30T00:00:00"/>
    <s v="Tue"/>
    <n v="27"/>
    <x v="5"/>
    <s v="j1"/>
    <s v="Total hari kerja"/>
    <x v="0"/>
    <n v="6"/>
    <n v="3"/>
    <m/>
    <m/>
  </r>
  <r>
    <d v="2026-07-01T00:00:00"/>
    <s v="Wed"/>
    <n v="27"/>
    <x v="6"/>
    <s v="j1"/>
    <s v="Total hari kerja"/>
    <x v="0"/>
    <n v="15"/>
    <n v="7"/>
    <m/>
    <m/>
  </r>
  <r>
    <d v="2026-07-02T00:00:00"/>
    <s v="Thu"/>
    <n v="27"/>
    <x v="6"/>
    <s v="j1"/>
    <s v="Total hari kerja"/>
    <x v="0"/>
    <n v="10"/>
    <n v="2"/>
    <m/>
    <m/>
  </r>
  <r>
    <d v="2026-07-03T00:00:00"/>
    <s v="Fri"/>
    <n v="27"/>
    <x v="6"/>
    <s v="j1"/>
    <s v="Total hari kerja"/>
    <x v="0"/>
    <n v="6"/>
    <n v="2"/>
    <m/>
    <m/>
  </r>
  <r>
    <d v="2026-07-04T00:00:00"/>
    <s v="Sat"/>
    <n v="27"/>
    <x v="6"/>
    <s v="j1"/>
    <s v="Total hari kerja"/>
    <x v="0"/>
    <n v="4"/>
    <n v="2"/>
    <m/>
    <m/>
  </r>
  <r>
    <d v="2026-07-05T00:00:00"/>
    <s v="Sun"/>
    <n v="28"/>
    <x v="6"/>
    <m/>
    <s v=" "/>
    <x v="0"/>
    <m/>
    <m/>
    <m/>
    <m/>
  </r>
  <r>
    <d v="2026-07-06T00:00:00"/>
    <s v="Mon"/>
    <n v="28"/>
    <x v="6"/>
    <s v="j1"/>
    <s v="Total hari kerja"/>
    <x v="0"/>
    <n v="15"/>
    <n v="3"/>
    <m/>
    <m/>
  </r>
  <r>
    <d v="2026-07-07T00:00:00"/>
    <s v="Tue"/>
    <n v="28"/>
    <x v="6"/>
    <s v="j1"/>
    <s v="Total hari kerja"/>
    <x v="0"/>
    <n v="12"/>
    <n v="2"/>
    <m/>
    <m/>
  </r>
  <r>
    <d v="2026-07-08T00:00:00"/>
    <s v="Wed"/>
    <n v="28"/>
    <x v="6"/>
    <s v="j1"/>
    <s v="Total hari kerja"/>
    <x v="0"/>
    <n v="14"/>
    <n v="6"/>
    <m/>
    <m/>
  </r>
  <r>
    <d v="2026-07-09T00:00:00"/>
    <s v="Thu"/>
    <n v="28"/>
    <x v="6"/>
    <s v="j1"/>
    <s v="Total hari kerja"/>
    <x v="0"/>
    <n v="3"/>
    <n v="6"/>
    <m/>
    <m/>
  </r>
  <r>
    <d v="2026-07-10T00:00:00"/>
    <s v="Fri"/>
    <n v="28"/>
    <x v="6"/>
    <s v="j1"/>
    <s v="Total hari kerja"/>
    <x v="0"/>
    <n v="15"/>
    <m/>
    <m/>
    <m/>
  </r>
  <r>
    <d v="2026-07-11T00:00:00"/>
    <s v="Sat"/>
    <n v="28"/>
    <x v="6"/>
    <s v="j2"/>
    <s v="Ijin/Sakit/Alfa"/>
    <x v="0"/>
    <m/>
    <m/>
    <m/>
    <m/>
  </r>
  <r>
    <d v="2026-07-12T00:00:00"/>
    <s v="Sun"/>
    <n v="29"/>
    <x v="6"/>
    <m/>
    <s v=" "/>
    <x v="0"/>
    <m/>
    <m/>
    <m/>
    <m/>
  </r>
  <r>
    <d v="2026-07-13T00:00:00"/>
    <s v="Mon"/>
    <n v="29"/>
    <x v="6"/>
    <s v="j1"/>
    <s v="Total hari kerja"/>
    <x v="0"/>
    <n v="14"/>
    <n v="5"/>
    <m/>
    <m/>
  </r>
  <r>
    <d v="2026-07-14T00:00:00"/>
    <s v="Tue"/>
    <n v="29"/>
    <x v="6"/>
    <s v="j2"/>
    <s v="Ijin/Sakit/Alfa"/>
    <x v="0"/>
    <m/>
    <m/>
    <m/>
    <m/>
  </r>
  <r>
    <d v="2026-07-15T00:00:00"/>
    <s v="Wed"/>
    <n v="29"/>
    <x v="6"/>
    <s v="j1"/>
    <s v="Total hari kerja"/>
    <x v="0"/>
    <n v="18"/>
    <n v="17"/>
    <m/>
    <m/>
  </r>
  <r>
    <d v="2026-07-16T00:00:00"/>
    <s v="Thu"/>
    <n v="29"/>
    <x v="6"/>
    <s v="j1"/>
    <s v="Total hari kerja"/>
    <x v="0"/>
    <n v="18"/>
    <n v="9"/>
    <m/>
    <m/>
  </r>
  <r>
    <d v="2026-07-17T00:00:00"/>
    <s v="Fri"/>
    <n v="29"/>
    <x v="6"/>
    <s v="j1"/>
    <s v="Total hari kerja"/>
    <x v="0"/>
    <n v="20"/>
    <n v="5"/>
    <m/>
    <m/>
  </r>
  <r>
    <d v="2026-07-18T00:00:00"/>
    <s v="Sat"/>
    <n v="29"/>
    <x v="6"/>
    <s v="j1"/>
    <s v="Total hari kerja"/>
    <x v="0"/>
    <n v="16"/>
    <n v="5"/>
    <m/>
    <m/>
  </r>
  <r>
    <d v="2026-07-19T00:00:00"/>
    <s v="Sun"/>
    <n v="30"/>
    <x v="6"/>
    <m/>
    <s v=" "/>
    <x v="0"/>
    <m/>
    <m/>
    <m/>
    <m/>
  </r>
  <r>
    <d v="2026-07-20T00:00:00"/>
    <s v="Mon"/>
    <n v="30"/>
    <x v="6"/>
    <s v="j1"/>
    <s v="Total hari kerja"/>
    <x v="0"/>
    <n v="60"/>
    <n v="17"/>
    <m/>
    <m/>
  </r>
  <r>
    <d v="2026-07-21T00:00:00"/>
    <s v="Tue"/>
    <n v="30"/>
    <x v="6"/>
    <s v="j1"/>
    <s v="Total hari kerja"/>
    <x v="0"/>
    <n v="31"/>
    <n v="10"/>
    <m/>
    <m/>
  </r>
  <r>
    <d v="2026-07-22T00:00:00"/>
    <s v="Wed"/>
    <n v="30"/>
    <x v="6"/>
    <s v="j1"/>
    <s v="Total hari kerja"/>
    <x v="0"/>
    <n v="29"/>
    <n v="6"/>
    <m/>
    <m/>
  </r>
  <r>
    <d v="2026-07-23T00:00:00"/>
    <s v="Thu"/>
    <n v="30"/>
    <x v="6"/>
    <s v="j1"/>
    <s v="Total hari kerja"/>
    <x v="0"/>
    <n v="32"/>
    <n v="9"/>
    <m/>
    <m/>
  </r>
  <r>
    <d v="2026-07-24T00:00:00"/>
    <s v="Fri"/>
    <n v="30"/>
    <x v="6"/>
    <s v="j1"/>
    <s v="Total hari kerja"/>
    <x v="0"/>
    <n v="18"/>
    <n v="6"/>
    <m/>
    <m/>
  </r>
  <r>
    <d v="2026-07-25T00:00:00"/>
    <s v="Sat"/>
    <n v="30"/>
    <x v="6"/>
    <s v="j1"/>
    <s v="Total hari kerja"/>
    <x v="0"/>
    <n v="24"/>
    <n v="15"/>
    <m/>
    <m/>
  </r>
  <r>
    <d v="2026-07-26T00:00:00"/>
    <s v="Sun"/>
    <n v="31"/>
    <x v="6"/>
    <m/>
    <s v=" "/>
    <x v="0"/>
    <m/>
    <m/>
    <m/>
    <m/>
  </r>
  <r>
    <d v="2026-07-27T00:00:00"/>
    <s v="Mon"/>
    <n v="31"/>
    <x v="6"/>
    <s v="j1"/>
    <s v="Total hari kerja"/>
    <x v="0"/>
    <n v="10"/>
    <n v="4"/>
    <m/>
    <m/>
  </r>
  <r>
    <d v="2026-07-28T00:00:00"/>
    <s v="Tue"/>
    <n v="31"/>
    <x v="6"/>
    <s v="j1"/>
    <s v="Total hari kerja"/>
    <x v="0"/>
    <n v="13"/>
    <n v="9"/>
    <m/>
    <m/>
  </r>
  <r>
    <d v="2026-07-29T00:00:00"/>
    <s v="Wed"/>
    <n v="31"/>
    <x v="6"/>
    <s v="j1"/>
    <s v="Total hari kerja"/>
    <x v="0"/>
    <n v="11"/>
    <n v="5"/>
    <m/>
    <m/>
  </r>
  <r>
    <d v="2026-07-30T00:00:00"/>
    <s v="Thu"/>
    <n v="31"/>
    <x v="6"/>
    <s v="j1"/>
    <s v="Total hari kerja"/>
    <x v="0"/>
    <n v="8"/>
    <n v="2"/>
    <m/>
    <m/>
  </r>
  <r>
    <d v="2026-07-31T00:00:00"/>
    <s v="Fri"/>
    <n v="31"/>
    <x v="6"/>
    <s v="j1"/>
    <s v="Total hari kerja"/>
    <x v="0"/>
    <n v="8"/>
    <n v="4"/>
    <m/>
    <m/>
  </r>
  <r>
    <d v="2026-08-01T00:00:00"/>
    <s v="Sat"/>
    <n v="31"/>
    <x v="7"/>
    <s v="j1"/>
    <s v="Total hari kerja"/>
    <x v="0"/>
    <n v="8"/>
    <n v="15"/>
    <n v="4"/>
    <m/>
  </r>
  <r>
    <d v="2026-08-02T00:00:00"/>
    <s v="Sun"/>
    <n v="32"/>
    <x v="7"/>
    <m/>
    <s v=" "/>
    <x v="0"/>
    <m/>
    <m/>
    <m/>
    <m/>
  </r>
  <r>
    <d v="2026-08-03T00:00:00"/>
    <s v="Mon"/>
    <n v="32"/>
    <x v="7"/>
    <s v="j2"/>
    <s v="Ijin/Sakit/Alfa"/>
    <x v="0"/>
    <m/>
    <m/>
    <m/>
    <m/>
  </r>
  <r>
    <d v="2026-08-04T00:00:00"/>
    <s v="Tue"/>
    <n v="32"/>
    <x v="7"/>
    <s v="j1"/>
    <s v="Total hari kerja"/>
    <x v="0"/>
    <n v="26"/>
    <n v="7"/>
    <m/>
    <m/>
  </r>
  <r>
    <d v="2026-08-05T00:00:00"/>
    <s v="Wed"/>
    <n v="32"/>
    <x v="7"/>
    <s v="j1"/>
    <s v="Total hari kerja"/>
    <x v="0"/>
    <n v="13"/>
    <n v="6"/>
    <m/>
    <m/>
  </r>
  <r>
    <d v="2026-08-06T00:00:00"/>
    <s v="Thu"/>
    <n v="32"/>
    <x v="7"/>
    <s v="j1"/>
    <s v="Total hari kerja"/>
    <x v="0"/>
    <n v="18"/>
    <n v="2"/>
    <m/>
    <m/>
  </r>
  <r>
    <d v="2026-08-07T00:00:00"/>
    <s v="Fri"/>
    <n v="32"/>
    <x v="7"/>
    <s v="j1"/>
    <s v="Total hari kerja"/>
    <x v="0"/>
    <n v="10"/>
    <n v="1"/>
    <m/>
    <m/>
  </r>
  <r>
    <d v="2026-08-08T00:00:00"/>
    <s v="Sat"/>
    <n v="32"/>
    <x v="7"/>
    <s v="j1"/>
    <s v="Total hari kerja"/>
    <x v="0"/>
    <n v="19"/>
    <n v="10"/>
    <m/>
    <m/>
  </r>
  <r>
    <d v="2026-08-09T00:00:00"/>
    <s v="Sun"/>
    <n v="33"/>
    <x v="7"/>
    <m/>
    <s v=" "/>
    <x v="0"/>
    <m/>
    <m/>
    <m/>
    <m/>
  </r>
  <r>
    <d v="2026-08-10T00:00:00"/>
    <s v="Mon"/>
    <n v="33"/>
    <x v="7"/>
    <s v="j1"/>
    <s v="Total hari kerja"/>
    <x v="0"/>
    <n v="29"/>
    <n v="3"/>
    <m/>
    <m/>
  </r>
  <r>
    <d v="2026-08-11T00:00:00"/>
    <s v="Tue"/>
    <n v="33"/>
    <x v="7"/>
    <s v="j1"/>
    <s v="Total hari kerja"/>
    <x v="0"/>
    <n v="20"/>
    <n v="2"/>
    <m/>
    <m/>
  </r>
  <r>
    <d v="2026-08-12T00:00:00"/>
    <s v="Wed"/>
    <n v="33"/>
    <x v="7"/>
    <s v="j1"/>
    <s v="Total hari kerja"/>
    <x v="0"/>
    <n v="5"/>
    <n v="7"/>
    <n v="3"/>
    <m/>
  </r>
  <r>
    <d v="2026-08-13T00:00:00"/>
    <s v="Thu"/>
    <n v="33"/>
    <x v="7"/>
    <s v="j1"/>
    <s v="Total hari kerja"/>
    <x v="0"/>
    <n v="12"/>
    <n v="3"/>
    <m/>
    <m/>
  </r>
  <r>
    <d v="2026-08-14T00:00:00"/>
    <s v="Fri"/>
    <n v="33"/>
    <x v="7"/>
    <s v="j1"/>
    <s v="Total hari kerja"/>
    <x v="0"/>
    <n v="16"/>
    <n v="6"/>
    <m/>
    <m/>
  </r>
  <r>
    <d v="2026-08-15T00:00:00"/>
    <s v="Sat"/>
    <n v="33"/>
    <x v="7"/>
    <s v="j1"/>
    <s v="Total hari kerja"/>
    <x v="0"/>
    <n v="19"/>
    <n v="3"/>
    <m/>
    <m/>
  </r>
  <r>
    <d v="2026-08-16T00:00:00"/>
    <s v="Sun"/>
    <n v="34"/>
    <x v="7"/>
    <m/>
    <s v=" "/>
    <x v="0"/>
    <m/>
    <m/>
    <m/>
    <m/>
  </r>
  <r>
    <d v="2026-08-17T00:00:00"/>
    <s v="Mon"/>
    <n v="34"/>
    <x v="7"/>
    <s v="j3"/>
    <s v="MERAH"/>
    <x v="0"/>
    <m/>
    <m/>
    <m/>
    <m/>
  </r>
  <r>
    <d v="2026-08-18T00:00:00"/>
    <s v="Tue"/>
    <n v="34"/>
    <x v="7"/>
    <s v="j1"/>
    <s v="Total hari kerja"/>
    <x v="0"/>
    <n v="17"/>
    <n v="10"/>
    <m/>
    <m/>
  </r>
  <r>
    <d v="2026-08-19T00:00:00"/>
    <s v="Wed"/>
    <n v="34"/>
    <x v="7"/>
    <s v="j1"/>
    <s v="Total hari kerja"/>
    <x v="0"/>
    <n v="7"/>
    <n v="2"/>
    <m/>
    <m/>
  </r>
  <r>
    <d v="2026-08-20T00:00:00"/>
    <s v="Thu"/>
    <n v="34"/>
    <x v="7"/>
    <s v="j1"/>
    <s v="Total hari kerja"/>
    <x v="0"/>
    <n v="12"/>
    <n v="3"/>
    <m/>
    <m/>
  </r>
  <r>
    <d v="2026-08-21T00:00:00"/>
    <s v="Fri"/>
    <n v="34"/>
    <x v="7"/>
    <s v="j1"/>
    <s v="Total hari kerja"/>
    <x v="0"/>
    <n v="14"/>
    <n v="8"/>
    <m/>
    <m/>
  </r>
  <r>
    <d v="2026-08-22T00:00:00"/>
    <s v="Sat"/>
    <n v="34"/>
    <x v="7"/>
    <s v="j1"/>
    <s v="Total hari kerja"/>
    <x v="0"/>
    <n v="14"/>
    <n v="9"/>
    <m/>
    <m/>
  </r>
  <r>
    <d v="2026-08-23T00:00:00"/>
    <s v="Sun"/>
    <n v="35"/>
    <x v="7"/>
    <m/>
    <s v=" "/>
    <x v="0"/>
    <m/>
    <m/>
    <m/>
    <m/>
  </r>
  <r>
    <d v="2026-08-24T00:00:00"/>
    <s v="Mon"/>
    <n v="35"/>
    <x v="7"/>
    <s v="j1"/>
    <s v="Total hari kerja"/>
    <x v="0"/>
    <n v="15"/>
    <n v="2"/>
    <m/>
    <m/>
  </r>
  <r>
    <d v="2026-08-25T00:00:00"/>
    <s v="Tue"/>
    <n v="35"/>
    <x v="7"/>
    <s v="j3"/>
    <s v="MERAH"/>
    <x v="0"/>
    <m/>
    <m/>
    <m/>
    <m/>
  </r>
  <r>
    <d v="2026-08-26T00:00:00"/>
    <s v="Wed"/>
    <n v="35"/>
    <x v="7"/>
    <s v="j1"/>
    <s v="Total hari kerja"/>
    <x v="0"/>
    <n v="19"/>
    <n v="2"/>
    <m/>
    <m/>
  </r>
  <r>
    <d v="2026-08-27T00:00:00"/>
    <s v="Thu"/>
    <n v="35"/>
    <x v="7"/>
    <s v="j1"/>
    <s v="Total hari kerja"/>
    <x v="0"/>
    <n v="13"/>
    <n v="4"/>
    <m/>
    <m/>
  </r>
  <r>
    <d v="2026-08-28T00:00:00"/>
    <s v="Fri"/>
    <n v="35"/>
    <x v="7"/>
    <s v="j1"/>
    <s v="Total hari kerja"/>
    <x v="0"/>
    <n v="17"/>
    <n v="1"/>
    <m/>
    <m/>
  </r>
  <r>
    <d v="2026-08-29T00:00:00"/>
    <s v="Sat"/>
    <n v="35"/>
    <x v="7"/>
    <s v="j1"/>
    <s v="Total hari kerja"/>
    <x v="0"/>
    <n v="34"/>
    <n v="3"/>
    <m/>
    <m/>
  </r>
  <r>
    <d v="2026-08-30T00:00:00"/>
    <s v="Sun"/>
    <n v="36"/>
    <x v="7"/>
    <m/>
    <s v=" "/>
    <x v="0"/>
    <m/>
    <m/>
    <m/>
    <m/>
  </r>
  <r>
    <d v="2026-08-31T00:00:00"/>
    <s v="Mon"/>
    <n v="36"/>
    <x v="7"/>
    <s v="j1"/>
    <s v="Total hari kerja"/>
    <x v="0"/>
    <n v="8"/>
    <n v="3"/>
    <m/>
    <m/>
  </r>
  <r>
    <d v="2026-09-01T00:00:00"/>
    <s v="Tue"/>
    <n v="36"/>
    <x v="8"/>
    <s v="j1"/>
    <s v="Total hari kerja"/>
    <x v="0"/>
    <n v="16"/>
    <n v="2"/>
    <m/>
    <m/>
  </r>
  <r>
    <d v="2026-09-02T00:00:00"/>
    <s v="Wed"/>
    <n v="36"/>
    <x v="8"/>
    <s v="j1"/>
    <s v="Total hari kerja"/>
    <x v="0"/>
    <n v="14"/>
    <m/>
    <m/>
    <m/>
  </r>
  <r>
    <d v="2026-09-03T00:00:00"/>
    <s v="Thu"/>
    <n v="36"/>
    <x v="8"/>
    <s v="j1"/>
    <s v="Total hari kerja"/>
    <x v="0"/>
    <n v="24"/>
    <n v="6"/>
    <m/>
    <m/>
  </r>
  <r>
    <d v="2026-09-04T00:00:00"/>
    <s v="Fri"/>
    <n v="36"/>
    <x v="8"/>
    <s v="j1"/>
    <s v="Total hari kerja"/>
    <x v="0"/>
    <n v="10"/>
    <n v="2"/>
    <m/>
    <m/>
  </r>
  <r>
    <d v="2026-09-05T00:00:00"/>
    <s v="Sat"/>
    <n v="36"/>
    <x v="8"/>
    <s v="j1"/>
    <s v="Total hari kerja"/>
    <x v="0"/>
    <n v="16"/>
    <n v="7"/>
    <m/>
    <m/>
  </r>
  <r>
    <d v="2026-09-06T00:00:00"/>
    <s v="Sun"/>
    <n v="37"/>
    <x v="8"/>
    <m/>
    <s v=" "/>
    <x v="0"/>
    <m/>
    <m/>
    <m/>
    <m/>
  </r>
  <r>
    <d v="2026-09-07T00:00:00"/>
    <s v="Mon"/>
    <n v="37"/>
    <x v="8"/>
    <s v="j2"/>
    <s v="Ijin/Sakit/Alfa"/>
    <x v="0"/>
    <m/>
    <m/>
    <m/>
    <m/>
  </r>
  <r>
    <d v="2026-09-08T00:00:00"/>
    <s v="Tue"/>
    <n v="37"/>
    <x v="8"/>
    <s v="j1"/>
    <s v="Total hari kerja"/>
    <x v="0"/>
    <n v="5"/>
    <n v="3"/>
    <m/>
    <m/>
  </r>
  <r>
    <d v="2026-09-09T00:00:00"/>
    <s v="Wed"/>
    <n v="37"/>
    <x v="8"/>
    <s v="j1"/>
    <s v="Total hari kerja"/>
    <x v="0"/>
    <n v="17"/>
    <n v="1"/>
    <m/>
    <m/>
  </r>
  <r>
    <d v="2026-09-10T00:00:00"/>
    <s v="Thu"/>
    <n v="37"/>
    <x v="8"/>
    <s v="j1"/>
    <s v="Total hari kerja"/>
    <x v="0"/>
    <n v="8"/>
    <n v="8"/>
    <m/>
    <m/>
  </r>
  <r>
    <d v="2026-09-11T00:00:00"/>
    <s v="Fri"/>
    <n v="37"/>
    <x v="8"/>
    <s v="j1"/>
    <s v="Total hari kerja"/>
    <x v="0"/>
    <n v="21"/>
    <n v="2"/>
    <m/>
    <m/>
  </r>
  <r>
    <d v="2026-09-12T00:00:00"/>
    <s v="Sat"/>
    <n v="37"/>
    <x v="8"/>
    <s v="j1"/>
    <s v="Total hari kerja"/>
    <x v="0"/>
    <n v="6"/>
    <n v="4"/>
    <m/>
    <m/>
  </r>
  <r>
    <d v="2026-09-13T00:00:00"/>
    <s v="Sun"/>
    <n v="38"/>
    <x v="8"/>
    <m/>
    <s v=" "/>
    <x v="0"/>
    <m/>
    <m/>
    <m/>
    <m/>
  </r>
  <r>
    <d v="2026-09-14T00:00:00"/>
    <s v="Mon"/>
    <n v="38"/>
    <x v="8"/>
    <s v="j1"/>
    <s v="Total hari kerja"/>
    <x v="0"/>
    <n v="10"/>
    <m/>
    <m/>
    <m/>
  </r>
  <r>
    <d v="2026-09-15T00:00:00"/>
    <s v="Tue"/>
    <n v="38"/>
    <x v="8"/>
    <s v="j1"/>
    <s v="Total hari kerja"/>
    <x v="0"/>
    <n v="19"/>
    <n v="2"/>
    <m/>
    <m/>
  </r>
  <r>
    <d v="2026-09-16T00:00:00"/>
    <s v="Wed"/>
    <n v="38"/>
    <x v="8"/>
    <s v="j1"/>
    <s v="Total hari kerja"/>
    <x v="0"/>
    <n v="4"/>
    <n v="1"/>
    <m/>
    <m/>
  </r>
  <r>
    <d v="2026-09-17T00:00:00"/>
    <s v="Thu"/>
    <n v="38"/>
    <x v="8"/>
    <s v="j1"/>
    <s v="Total hari kerja"/>
    <x v="0"/>
    <n v="16"/>
    <n v="5"/>
    <m/>
    <m/>
  </r>
  <r>
    <d v="2026-09-18T00:00:00"/>
    <s v="Fri"/>
    <n v="38"/>
    <x v="8"/>
    <s v="j1"/>
    <s v="Total hari kerja"/>
    <x v="0"/>
    <n v="13"/>
    <n v="4"/>
    <m/>
    <m/>
  </r>
  <r>
    <d v="2026-09-19T00:00:00"/>
    <s v="Sat"/>
    <n v="38"/>
    <x v="8"/>
    <s v="j1"/>
    <s v="Total hari kerja"/>
    <x v="0"/>
    <n v="11"/>
    <n v="1"/>
    <m/>
    <m/>
  </r>
  <r>
    <d v="2026-09-20T00:00:00"/>
    <s v="Sun"/>
    <n v="39"/>
    <x v="8"/>
    <m/>
    <s v=" "/>
    <x v="0"/>
    <m/>
    <m/>
    <m/>
    <m/>
  </r>
  <r>
    <d v="2026-09-21T00:00:00"/>
    <s v="Mon"/>
    <n v="39"/>
    <x v="8"/>
    <s v="j1"/>
    <s v="Total hari kerja"/>
    <x v="0"/>
    <n v="18"/>
    <m/>
    <m/>
    <m/>
  </r>
  <r>
    <d v="2026-09-22T00:00:00"/>
    <s v="Tue"/>
    <n v="39"/>
    <x v="8"/>
    <s v="j1"/>
    <s v="Total hari kerja"/>
    <x v="0"/>
    <n v="12"/>
    <n v="2"/>
    <m/>
    <m/>
  </r>
  <r>
    <d v="2026-09-23T00:00:00"/>
    <s v="Wed"/>
    <n v="39"/>
    <x v="8"/>
    <s v="j1"/>
    <s v="Total hari kerja"/>
    <x v="0"/>
    <n v="5"/>
    <n v="5"/>
    <m/>
    <m/>
  </r>
  <r>
    <d v="2026-09-24T00:00:00"/>
    <s v="Thu"/>
    <n v="39"/>
    <x v="8"/>
    <s v="j1"/>
    <s v="Total hari kerja"/>
    <x v="0"/>
    <n v="12"/>
    <n v="8"/>
    <m/>
    <m/>
  </r>
  <r>
    <d v="2026-09-25T00:00:00"/>
    <s v="Fri"/>
    <n v="39"/>
    <x v="8"/>
    <s v="j1"/>
    <s v="Total hari kerja"/>
    <x v="0"/>
    <n v="5"/>
    <n v="6"/>
    <m/>
    <m/>
  </r>
  <r>
    <d v="2026-09-26T00:00:00"/>
    <s v="Sat"/>
    <n v="39"/>
    <x v="8"/>
    <s v="j1"/>
    <s v="Total hari kerja"/>
    <x v="0"/>
    <n v="4"/>
    <n v="2"/>
    <m/>
    <m/>
  </r>
  <r>
    <d v="2026-09-27T00:00:00"/>
    <s v="Sun"/>
    <n v="40"/>
    <x v="8"/>
    <m/>
    <s v=" "/>
    <x v="0"/>
    <m/>
    <m/>
    <m/>
    <m/>
  </r>
  <r>
    <d v="2026-09-28T00:00:00"/>
    <s v="Mon"/>
    <n v="40"/>
    <x v="8"/>
    <s v="j1"/>
    <s v="Total hari kerja"/>
    <x v="0"/>
    <n v="13"/>
    <m/>
    <m/>
    <m/>
  </r>
  <r>
    <d v="2026-09-29T00:00:00"/>
    <s v="Tue"/>
    <n v="40"/>
    <x v="8"/>
    <s v="j1"/>
    <s v="Total hari kerja"/>
    <x v="0"/>
    <m/>
    <m/>
    <m/>
    <m/>
  </r>
  <r>
    <d v="2026-09-30T00:00:00"/>
    <s v="Wed"/>
    <n v="40"/>
    <x v="8"/>
    <s v="j1"/>
    <s v="Total hari kerja"/>
    <x v="0"/>
    <m/>
    <m/>
    <m/>
    <m/>
  </r>
  <r>
    <d v="2026-10-01T00:00:00"/>
    <s v="Thu"/>
    <n v="40"/>
    <x v="9"/>
    <m/>
    <s v=" "/>
    <x v="0"/>
    <m/>
    <m/>
    <m/>
    <m/>
  </r>
  <r>
    <d v="2026-10-02T00:00:00"/>
    <s v="Fri"/>
    <n v="40"/>
    <x v="9"/>
    <m/>
    <s v=" "/>
    <x v="0"/>
    <m/>
    <m/>
    <m/>
    <m/>
  </r>
  <r>
    <d v="2026-10-03T00:00:00"/>
    <s v="Sat"/>
    <n v="40"/>
    <x v="9"/>
    <m/>
    <s v=" "/>
    <x v="0"/>
    <m/>
    <m/>
    <m/>
    <m/>
  </r>
  <r>
    <d v="2026-10-04T00:00:00"/>
    <s v="Sun"/>
    <n v="41"/>
    <x v="9"/>
    <m/>
    <s v=" "/>
    <x v="0"/>
    <m/>
    <m/>
    <m/>
    <m/>
  </r>
  <r>
    <d v="2026-10-05T00:00:00"/>
    <s v="Mon"/>
    <n v="41"/>
    <x v="9"/>
    <m/>
    <s v=" "/>
    <x v="0"/>
    <m/>
    <m/>
    <m/>
    <m/>
  </r>
  <r>
    <d v="2026-10-06T00:00:00"/>
    <s v="Tue"/>
    <n v="41"/>
    <x v="9"/>
    <m/>
    <s v=" "/>
    <x v="0"/>
    <m/>
    <m/>
    <m/>
    <m/>
  </r>
  <r>
    <d v="2026-10-07T00:00:00"/>
    <s v="Wed"/>
    <n v="41"/>
    <x v="9"/>
    <m/>
    <s v=" "/>
    <x v="0"/>
    <m/>
    <m/>
    <m/>
    <m/>
  </r>
  <r>
    <d v="2026-10-08T00:00:00"/>
    <s v="Thu"/>
    <n v="41"/>
    <x v="9"/>
    <m/>
    <s v=" "/>
    <x v="0"/>
    <m/>
    <m/>
    <m/>
    <m/>
  </r>
  <r>
    <d v="2026-10-09T00:00:00"/>
    <s v="Fri"/>
    <n v="41"/>
    <x v="9"/>
    <m/>
    <s v=" "/>
    <x v="0"/>
    <m/>
    <m/>
    <m/>
    <m/>
  </r>
  <r>
    <d v="2026-10-10T00:00:00"/>
    <s v="Sat"/>
    <n v="41"/>
    <x v="9"/>
    <m/>
    <s v=" "/>
    <x v="0"/>
    <m/>
    <m/>
    <m/>
    <m/>
  </r>
  <r>
    <d v="2026-10-11T00:00:00"/>
    <s v="Sun"/>
    <n v="42"/>
    <x v="9"/>
    <m/>
    <s v=" "/>
    <x v="0"/>
    <m/>
    <m/>
    <m/>
    <m/>
  </r>
  <r>
    <d v="2026-10-12T00:00:00"/>
    <s v="Mon"/>
    <n v="42"/>
    <x v="9"/>
    <m/>
    <s v=" "/>
    <x v="0"/>
    <m/>
    <m/>
    <m/>
    <m/>
  </r>
  <r>
    <d v="2026-10-13T00:00:00"/>
    <s v="Tue"/>
    <n v="42"/>
    <x v="9"/>
    <m/>
    <s v=" "/>
    <x v="0"/>
    <m/>
    <m/>
    <m/>
    <m/>
  </r>
  <r>
    <d v="2026-10-14T00:00:00"/>
    <s v="Wed"/>
    <n v="42"/>
    <x v="9"/>
    <m/>
    <s v=" "/>
    <x v="0"/>
    <m/>
    <m/>
    <m/>
    <m/>
  </r>
  <r>
    <d v="2026-10-15T00:00:00"/>
    <s v="Thu"/>
    <n v="42"/>
    <x v="9"/>
    <m/>
    <s v=" "/>
    <x v="0"/>
    <m/>
    <m/>
    <m/>
    <m/>
  </r>
  <r>
    <d v="2026-10-16T00:00:00"/>
    <s v="Fri"/>
    <n v="42"/>
    <x v="9"/>
    <m/>
    <s v=" "/>
    <x v="0"/>
    <m/>
    <m/>
    <m/>
    <m/>
  </r>
  <r>
    <d v="2026-10-17T00:00:00"/>
    <s v="Sat"/>
    <n v="42"/>
    <x v="9"/>
    <m/>
    <s v=" "/>
    <x v="0"/>
    <m/>
    <m/>
    <m/>
    <m/>
  </r>
  <r>
    <d v="2026-10-18T00:00:00"/>
    <s v="Sun"/>
    <n v="43"/>
    <x v="9"/>
    <m/>
    <s v=" "/>
    <x v="0"/>
    <m/>
    <m/>
    <m/>
    <m/>
  </r>
  <r>
    <d v="2026-10-19T00:00:00"/>
    <s v="Mon"/>
    <n v="43"/>
    <x v="9"/>
    <m/>
    <s v=" "/>
    <x v="0"/>
    <m/>
    <m/>
    <m/>
    <m/>
  </r>
  <r>
    <d v="2026-10-20T00:00:00"/>
    <s v="Tue"/>
    <n v="43"/>
    <x v="9"/>
    <m/>
    <s v=" "/>
    <x v="0"/>
    <m/>
    <m/>
    <m/>
    <m/>
  </r>
  <r>
    <d v="2026-10-21T00:00:00"/>
    <s v="Wed"/>
    <n v="43"/>
    <x v="9"/>
    <m/>
    <s v=" "/>
    <x v="0"/>
    <m/>
    <m/>
    <m/>
    <m/>
  </r>
  <r>
    <d v="2026-10-22T00:00:00"/>
    <s v="Thu"/>
    <n v="43"/>
    <x v="9"/>
    <m/>
    <s v=" "/>
    <x v="0"/>
    <m/>
    <m/>
    <m/>
    <m/>
  </r>
  <r>
    <d v="2026-10-23T00:00:00"/>
    <s v="Fri"/>
    <n v="43"/>
    <x v="9"/>
    <m/>
    <s v=" "/>
    <x v="0"/>
    <m/>
    <m/>
    <m/>
    <m/>
  </r>
  <r>
    <d v="2026-10-24T00:00:00"/>
    <s v="Sat"/>
    <n v="43"/>
    <x v="9"/>
    <m/>
    <s v=" "/>
    <x v="0"/>
    <m/>
    <m/>
    <m/>
    <m/>
  </r>
  <r>
    <d v="2026-10-25T00:00:00"/>
    <s v="Sun"/>
    <n v="44"/>
    <x v="9"/>
    <m/>
    <s v=" "/>
    <x v="0"/>
    <m/>
    <m/>
    <m/>
    <m/>
  </r>
  <r>
    <d v="2026-10-26T00:00:00"/>
    <s v="Mon"/>
    <n v="44"/>
    <x v="9"/>
    <m/>
    <s v=" "/>
    <x v="0"/>
    <m/>
    <m/>
    <m/>
    <m/>
  </r>
  <r>
    <d v="2026-10-27T00:00:00"/>
    <s v="Tue"/>
    <n v="44"/>
    <x v="9"/>
    <m/>
    <s v=" "/>
    <x v="0"/>
    <m/>
    <m/>
    <m/>
    <m/>
  </r>
  <r>
    <d v="2026-10-28T00:00:00"/>
    <s v="Wed"/>
    <n v="44"/>
    <x v="9"/>
    <m/>
    <s v=" "/>
    <x v="0"/>
    <m/>
    <m/>
    <m/>
    <m/>
  </r>
  <r>
    <d v="2026-10-29T00:00:00"/>
    <s v="Thu"/>
    <n v="44"/>
    <x v="9"/>
    <m/>
    <s v=" "/>
    <x v="0"/>
    <m/>
    <m/>
    <m/>
    <m/>
  </r>
  <r>
    <d v="2026-10-30T00:00:00"/>
    <s v="Fri"/>
    <n v="44"/>
    <x v="9"/>
    <m/>
    <s v=" "/>
    <x v="0"/>
    <m/>
    <m/>
    <m/>
    <m/>
  </r>
  <r>
    <d v="2026-10-31T00:00:00"/>
    <s v="Sat"/>
    <n v="44"/>
    <x v="9"/>
    <m/>
    <s v=" "/>
    <x v="0"/>
    <m/>
    <m/>
    <m/>
    <m/>
  </r>
  <r>
    <d v="2026-11-01T00:00:00"/>
    <s v="Sun"/>
    <n v="45"/>
    <x v="10"/>
    <m/>
    <s v=" "/>
    <x v="0"/>
    <m/>
    <m/>
    <m/>
    <m/>
  </r>
  <r>
    <d v="2026-11-02T00:00:00"/>
    <s v="Mon"/>
    <n v="45"/>
    <x v="10"/>
    <m/>
    <s v=" "/>
    <x v="0"/>
    <m/>
    <m/>
    <m/>
    <m/>
  </r>
  <r>
    <d v="2026-11-03T00:00:00"/>
    <s v="Tue"/>
    <n v="45"/>
    <x v="10"/>
    <m/>
    <s v=" "/>
    <x v="0"/>
    <m/>
    <m/>
    <m/>
    <m/>
  </r>
  <r>
    <d v="2026-11-04T00:00:00"/>
    <s v="Wed"/>
    <n v="45"/>
    <x v="10"/>
    <m/>
    <s v=" "/>
    <x v="0"/>
    <m/>
    <m/>
    <m/>
    <m/>
  </r>
  <r>
    <d v="2026-11-05T00:00:00"/>
    <s v="Thu"/>
    <n v="45"/>
    <x v="10"/>
    <m/>
    <s v=" "/>
    <x v="0"/>
    <m/>
    <m/>
    <m/>
    <m/>
  </r>
  <r>
    <d v="2026-11-06T00:00:00"/>
    <s v="Fri"/>
    <n v="45"/>
    <x v="10"/>
    <m/>
    <s v=" "/>
    <x v="0"/>
    <m/>
    <m/>
    <m/>
    <m/>
  </r>
  <r>
    <d v="2026-11-07T00:00:00"/>
    <s v="Sat"/>
    <n v="45"/>
    <x v="10"/>
    <m/>
    <s v=" "/>
    <x v="0"/>
    <m/>
    <m/>
    <m/>
    <m/>
  </r>
  <r>
    <d v="2026-11-08T00:00:00"/>
    <s v="Sun"/>
    <n v="46"/>
    <x v="10"/>
    <m/>
    <s v=" "/>
    <x v="0"/>
    <m/>
    <m/>
    <m/>
    <m/>
  </r>
  <r>
    <d v="2026-11-09T00:00:00"/>
    <s v="Mon"/>
    <n v="46"/>
    <x v="10"/>
    <m/>
    <s v=" "/>
    <x v="0"/>
    <m/>
    <m/>
    <m/>
    <m/>
  </r>
  <r>
    <d v="2026-11-10T00:00:00"/>
    <s v="Tue"/>
    <n v="46"/>
    <x v="10"/>
    <m/>
    <s v=" "/>
    <x v="0"/>
    <m/>
    <m/>
    <m/>
    <m/>
  </r>
  <r>
    <d v="2026-11-11T00:00:00"/>
    <s v="Wed"/>
    <n v="46"/>
    <x v="10"/>
    <m/>
    <s v=" "/>
    <x v="0"/>
    <m/>
    <m/>
    <m/>
    <m/>
  </r>
  <r>
    <d v="2026-11-12T00:00:00"/>
    <s v="Thu"/>
    <n v="46"/>
    <x v="10"/>
    <m/>
    <s v=" "/>
    <x v="0"/>
    <m/>
    <m/>
    <m/>
    <m/>
  </r>
  <r>
    <d v="2026-11-13T00:00:00"/>
    <s v="Fri"/>
    <n v="46"/>
    <x v="10"/>
    <m/>
    <s v=" "/>
    <x v="0"/>
    <m/>
    <m/>
    <m/>
    <m/>
  </r>
  <r>
    <d v="2026-11-14T00:00:00"/>
    <s v="Sat"/>
    <n v="46"/>
    <x v="10"/>
    <m/>
    <s v=" "/>
    <x v="0"/>
    <m/>
    <m/>
    <m/>
    <m/>
  </r>
  <r>
    <d v="2026-11-15T00:00:00"/>
    <s v="Sun"/>
    <n v="47"/>
    <x v="10"/>
    <m/>
    <s v=" "/>
    <x v="0"/>
    <m/>
    <m/>
    <m/>
    <m/>
  </r>
  <r>
    <d v="2026-11-16T00:00:00"/>
    <s v="Mon"/>
    <n v="47"/>
    <x v="10"/>
    <m/>
    <s v=" "/>
    <x v="0"/>
    <m/>
    <m/>
    <m/>
    <m/>
  </r>
  <r>
    <d v="2026-11-17T00:00:00"/>
    <s v="Tue"/>
    <n v="47"/>
    <x v="10"/>
    <m/>
    <s v=" "/>
    <x v="0"/>
    <m/>
    <m/>
    <m/>
    <m/>
  </r>
  <r>
    <d v="2026-11-18T00:00:00"/>
    <s v="Wed"/>
    <n v="47"/>
    <x v="10"/>
    <m/>
    <s v=" "/>
    <x v="0"/>
    <m/>
    <m/>
    <m/>
    <m/>
  </r>
  <r>
    <d v="2026-11-19T00:00:00"/>
    <s v="Thu"/>
    <n v="47"/>
    <x v="10"/>
    <m/>
    <s v=" "/>
    <x v="0"/>
    <m/>
    <m/>
    <m/>
    <m/>
  </r>
  <r>
    <d v="2026-11-20T00:00:00"/>
    <s v="Fri"/>
    <n v="47"/>
    <x v="10"/>
    <m/>
    <s v=" "/>
    <x v="0"/>
    <m/>
    <m/>
    <m/>
    <m/>
  </r>
  <r>
    <d v="2026-11-21T00:00:00"/>
    <s v="Sat"/>
    <n v="47"/>
    <x v="10"/>
    <m/>
    <s v=" "/>
    <x v="0"/>
    <m/>
    <m/>
    <m/>
    <m/>
  </r>
  <r>
    <d v="2026-11-22T00:00:00"/>
    <s v="Sun"/>
    <n v="48"/>
    <x v="10"/>
    <m/>
    <s v=" "/>
    <x v="0"/>
    <m/>
    <m/>
    <m/>
    <m/>
  </r>
  <r>
    <d v="2026-11-23T00:00:00"/>
    <s v="Mon"/>
    <n v="48"/>
    <x v="10"/>
    <m/>
    <s v=" "/>
    <x v="0"/>
    <m/>
    <m/>
    <m/>
    <m/>
  </r>
  <r>
    <d v="2026-11-24T00:00:00"/>
    <s v="Tue"/>
    <n v="48"/>
    <x v="10"/>
    <m/>
    <s v=" "/>
    <x v="0"/>
    <m/>
    <m/>
    <m/>
    <m/>
  </r>
  <r>
    <d v="2026-11-25T00:00:00"/>
    <s v="Wed"/>
    <n v="48"/>
    <x v="10"/>
    <m/>
    <s v=" "/>
    <x v="0"/>
    <m/>
    <m/>
    <m/>
    <m/>
  </r>
  <r>
    <d v="2026-11-26T00:00:00"/>
    <s v="Thu"/>
    <n v="48"/>
    <x v="10"/>
    <m/>
    <s v=" "/>
    <x v="0"/>
    <m/>
    <m/>
    <m/>
    <m/>
  </r>
  <r>
    <d v="2026-11-27T00:00:00"/>
    <s v="Fri"/>
    <n v="48"/>
    <x v="10"/>
    <m/>
    <s v=" "/>
    <x v="0"/>
    <m/>
    <m/>
    <m/>
    <m/>
  </r>
  <r>
    <d v="2026-11-28T00:00:00"/>
    <s v="Sat"/>
    <n v="48"/>
    <x v="10"/>
    <m/>
    <s v=" "/>
    <x v="0"/>
    <m/>
    <m/>
    <m/>
    <m/>
  </r>
  <r>
    <d v="2026-11-29T00:00:00"/>
    <s v="Sun"/>
    <n v="49"/>
    <x v="10"/>
    <m/>
    <s v=" "/>
    <x v="0"/>
    <m/>
    <m/>
    <m/>
    <m/>
  </r>
  <r>
    <d v="2026-11-30T00:00:00"/>
    <s v="Mon"/>
    <n v="49"/>
    <x v="10"/>
    <m/>
    <s v=" "/>
    <x v="0"/>
    <m/>
    <m/>
    <m/>
    <m/>
  </r>
  <r>
    <d v="2026-12-01T00:00:00"/>
    <s v="Tue"/>
    <n v="49"/>
    <x v="11"/>
    <m/>
    <s v=" "/>
    <x v="0"/>
    <m/>
    <m/>
    <m/>
    <m/>
  </r>
  <r>
    <d v="2026-12-02T00:00:00"/>
    <s v="Wed"/>
    <n v="49"/>
    <x v="11"/>
    <m/>
    <s v=" "/>
    <x v="0"/>
    <m/>
    <m/>
    <m/>
    <m/>
  </r>
  <r>
    <d v="2026-12-03T00:00:00"/>
    <s v="Thu"/>
    <n v="49"/>
    <x v="11"/>
    <m/>
    <s v=" "/>
    <x v="0"/>
    <m/>
    <m/>
    <m/>
    <m/>
  </r>
  <r>
    <d v="2026-12-04T00:00:00"/>
    <s v="Fri"/>
    <n v="49"/>
    <x v="11"/>
    <m/>
    <s v=" "/>
    <x v="0"/>
    <m/>
    <m/>
    <m/>
    <m/>
  </r>
  <r>
    <d v="2026-12-05T00:00:00"/>
    <s v="Sat"/>
    <n v="49"/>
    <x v="11"/>
    <m/>
    <s v=" "/>
    <x v="0"/>
    <m/>
    <m/>
    <m/>
    <m/>
  </r>
  <r>
    <d v="2026-12-06T00:00:00"/>
    <s v="Sun"/>
    <n v="50"/>
    <x v="11"/>
    <m/>
    <s v=" "/>
    <x v="0"/>
    <m/>
    <m/>
    <m/>
    <m/>
  </r>
  <r>
    <d v="2026-12-07T00:00:00"/>
    <s v="Mon"/>
    <n v="50"/>
    <x v="11"/>
    <m/>
    <s v=" "/>
    <x v="0"/>
    <m/>
    <m/>
    <m/>
    <m/>
  </r>
  <r>
    <d v="2026-12-08T00:00:00"/>
    <s v="Tue"/>
    <n v="50"/>
    <x v="11"/>
    <m/>
    <s v=" "/>
    <x v="0"/>
    <m/>
    <m/>
    <m/>
    <m/>
  </r>
  <r>
    <d v="2026-12-09T00:00:00"/>
    <s v="Wed"/>
    <n v="50"/>
    <x v="11"/>
    <m/>
    <s v=" "/>
    <x v="0"/>
    <m/>
    <m/>
    <m/>
    <m/>
  </r>
  <r>
    <d v="2026-12-10T00:00:00"/>
    <s v="Thu"/>
    <n v="50"/>
    <x v="11"/>
    <m/>
    <s v=" "/>
    <x v="0"/>
    <m/>
    <m/>
    <m/>
    <m/>
  </r>
  <r>
    <d v="2026-12-11T00:00:00"/>
    <s v="Fri"/>
    <n v="50"/>
    <x v="11"/>
    <m/>
    <s v=" "/>
    <x v="0"/>
    <m/>
    <m/>
    <m/>
    <m/>
  </r>
  <r>
    <d v="2026-12-12T00:00:00"/>
    <s v="Sat"/>
    <n v="50"/>
    <x v="11"/>
    <m/>
    <s v=" "/>
    <x v="0"/>
    <m/>
    <m/>
    <m/>
    <m/>
  </r>
  <r>
    <d v="2026-12-13T00:00:00"/>
    <s v="Sun"/>
    <n v="51"/>
    <x v="11"/>
    <m/>
    <s v=" "/>
    <x v="0"/>
    <m/>
    <m/>
    <m/>
    <m/>
  </r>
  <r>
    <d v="2026-12-14T00:00:00"/>
    <s v="Mon"/>
    <n v="51"/>
    <x v="11"/>
    <m/>
    <s v=" "/>
    <x v="0"/>
    <m/>
    <m/>
    <m/>
    <m/>
  </r>
  <r>
    <d v="2026-12-15T00:00:00"/>
    <s v="Tue"/>
    <n v="51"/>
    <x v="11"/>
    <m/>
    <s v=" "/>
    <x v="0"/>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d v="2026-01-03T00:00:00"/>
    <s v="Sat"/>
    <n v="1"/>
    <x v="0"/>
    <s v="j1"/>
    <s v="Total hari kerja"/>
    <x v="0"/>
    <n v="1"/>
    <m/>
    <m/>
    <m/>
  </r>
  <r>
    <d v="2026-01-04T00:00:00"/>
    <s v="Sun"/>
    <n v="2"/>
    <x v="0"/>
    <m/>
    <s v=" "/>
    <x v="0"/>
    <m/>
    <m/>
    <m/>
    <m/>
  </r>
  <r>
    <d v="2026-01-05T00:00:00"/>
    <s v="Mon"/>
    <n v="2"/>
    <x v="0"/>
    <s v="j1"/>
    <s v="Total hari kerja"/>
    <x v="0"/>
    <n v="4"/>
    <n v="4"/>
    <m/>
    <m/>
  </r>
  <r>
    <d v="2026-01-06T00:00:00"/>
    <s v="Tue"/>
    <n v="2"/>
    <x v="0"/>
    <s v="j1"/>
    <s v="Total hari kerja"/>
    <x v="0"/>
    <n v="2"/>
    <n v="4"/>
    <m/>
    <m/>
  </r>
  <r>
    <d v="2026-01-07T00:00:00"/>
    <s v="Wed"/>
    <n v="2"/>
    <x v="0"/>
    <s v="j1"/>
    <s v="Total hari kerja"/>
    <x v="0"/>
    <n v="4"/>
    <n v="2"/>
    <m/>
    <m/>
  </r>
  <r>
    <d v="2026-01-08T00:00:00"/>
    <s v="Thu"/>
    <n v="2"/>
    <x v="0"/>
    <s v="j1"/>
    <s v="Total hari kerja"/>
    <x v="0"/>
    <n v="3"/>
    <n v="1"/>
    <m/>
    <m/>
  </r>
  <r>
    <d v="2026-01-09T00:00:00"/>
    <s v="Fri"/>
    <n v="2"/>
    <x v="0"/>
    <s v="j2"/>
    <s v="Ijin/Sakit/Alfa"/>
    <x v="0"/>
    <m/>
    <m/>
    <m/>
    <m/>
  </r>
  <r>
    <d v="2026-01-10T00:00:00"/>
    <s v="Sat"/>
    <n v="2"/>
    <x v="0"/>
    <s v="j1"/>
    <s v="Total hari kerja"/>
    <x v="0"/>
    <n v="1"/>
    <m/>
    <m/>
    <m/>
  </r>
  <r>
    <d v="2026-01-11T00:00:00"/>
    <s v="Sun"/>
    <n v="3"/>
    <x v="0"/>
    <m/>
    <s v=" "/>
    <x v="0"/>
    <m/>
    <m/>
    <m/>
    <m/>
  </r>
  <r>
    <d v="2026-01-12T00:00:00"/>
    <s v="Mon"/>
    <n v="3"/>
    <x v="0"/>
    <s v="j1"/>
    <s v="Total hari kerja"/>
    <x v="0"/>
    <n v="3"/>
    <m/>
    <m/>
    <m/>
  </r>
  <r>
    <d v="2026-01-13T00:00:00"/>
    <s v="Tue"/>
    <n v="3"/>
    <x v="0"/>
    <s v="j1"/>
    <s v="Total hari kerja"/>
    <x v="0"/>
    <n v="1"/>
    <m/>
    <m/>
    <m/>
  </r>
  <r>
    <d v="2026-01-14T00:00:00"/>
    <s v="Wed"/>
    <n v="3"/>
    <x v="0"/>
    <s v="j1"/>
    <s v="Total hari kerja"/>
    <x v="0"/>
    <n v="4"/>
    <n v="1"/>
    <m/>
    <m/>
  </r>
  <r>
    <d v="2026-01-15T00:00:00"/>
    <s v="Thu"/>
    <n v="3"/>
    <x v="0"/>
    <s v="j1"/>
    <s v="Total hari kerja"/>
    <x v="0"/>
    <n v="5"/>
    <n v="1"/>
    <m/>
    <m/>
  </r>
  <r>
    <d v="2026-01-16T00:00:00"/>
    <s v="Fri"/>
    <n v="3"/>
    <x v="0"/>
    <s v="j1"/>
    <s v="Total hari kerja"/>
    <x v="0"/>
    <n v="8"/>
    <m/>
    <m/>
    <m/>
  </r>
  <r>
    <d v="2026-01-17T00:00:00"/>
    <s v="Sat"/>
    <n v="3"/>
    <x v="0"/>
    <s v="j2"/>
    <s v="Ijin/Sakit/Alfa"/>
    <x v="0"/>
    <m/>
    <m/>
    <m/>
    <m/>
  </r>
  <r>
    <d v="2026-01-18T00:00:00"/>
    <s v="Sun"/>
    <n v="4"/>
    <x v="0"/>
    <m/>
    <s v=" "/>
    <x v="0"/>
    <m/>
    <m/>
    <m/>
    <m/>
  </r>
  <r>
    <d v="2026-01-19T00:00:00"/>
    <s v="Mon"/>
    <n v="4"/>
    <x v="0"/>
    <s v="j1"/>
    <s v="Total hari kerja"/>
    <x v="0"/>
    <n v="3"/>
    <m/>
    <m/>
    <m/>
  </r>
  <r>
    <d v="2026-01-20T00:00:00"/>
    <s v="Tue"/>
    <n v="4"/>
    <x v="0"/>
    <s v="j1"/>
    <s v="Total hari kerja"/>
    <x v="0"/>
    <n v="3"/>
    <m/>
    <m/>
    <m/>
  </r>
  <r>
    <d v="2026-01-21T00:00:00"/>
    <s v="Wed"/>
    <n v="4"/>
    <x v="0"/>
    <m/>
    <s v=" "/>
    <x v="0"/>
    <m/>
    <m/>
    <m/>
    <m/>
  </r>
  <r>
    <d v="2026-01-22T00:00:00"/>
    <s v="Thu"/>
    <n v="4"/>
    <x v="0"/>
    <m/>
    <s v=" "/>
    <x v="0"/>
    <m/>
    <m/>
    <m/>
    <m/>
  </r>
  <r>
    <d v="2026-01-23T00:00:00"/>
    <s v="Fri"/>
    <n v="4"/>
    <x v="0"/>
    <m/>
    <s v=" "/>
    <x v="0"/>
    <m/>
    <m/>
    <m/>
    <m/>
  </r>
  <r>
    <d v="2026-01-24T00:00:00"/>
    <s v="Sat"/>
    <n v="4"/>
    <x v="0"/>
    <m/>
    <s v=" "/>
    <x v="0"/>
    <m/>
    <m/>
    <m/>
    <m/>
  </r>
  <r>
    <d v="2026-01-25T00:00:00"/>
    <s v="Sun"/>
    <n v="5"/>
    <x v="0"/>
    <m/>
    <s v=" "/>
    <x v="0"/>
    <m/>
    <m/>
    <m/>
    <m/>
  </r>
  <r>
    <d v="2026-01-26T00:00:00"/>
    <s v="Mon"/>
    <n v="5"/>
    <x v="0"/>
    <s v="j1"/>
    <s v="Total hari kerja"/>
    <x v="1"/>
    <n v="3"/>
    <n v="5"/>
    <n v="1"/>
    <m/>
  </r>
  <r>
    <d v="2026-01-27T00:00:00"/>
    <s v="Tue"/>
    <n v="5"/>
    <x v="0"/>
    <s v="j1"/>
    <s v="Total hari kerja"/>
    <x v="1"/>
    <n v="1"/>
    <n v="3"/>
    <n v="4"/>
    <m/>
  </r>
  <r>
    <d v="2026-01-28T00:00:00"/>
    <s v="Wed"/>
    <n v="5"/>
    <x v="0"/>
    <s v="j1"/>
    <s v="Total hari kerja"/>
    <x v="1"/>
    <n v="1"/>
    <n v="2"/>
    <m/>
    <m/>
  </r>
  <r>
    <d v="2026-01-29T00:00:00"/>
    <s v="Thu"/>
    <n v="5"/>
    <x v="0"/>
    <s v="j2"/>
    <s v="Ijin/Sakit/Alfa"/>
    <x v="1"/>
    <m/>
    <m/>
    <m/>
    <m/>
  </r>
  <r>
    <d v="2026-01-30T00:00:00"/>
    <s v="Fri"/>
    <n v="5"/>
    <x v="0"/>
    <s v="j1"/>
    <s v="Total hari kerja"/>
    <x v="1"/>
    <n v="3"/>
    <n v="4"/>
    <n v="2"/>
    <m/>
  </r>
  <r>
    <d v="2026-01-31T00:00:00"/>
    <s v="Sat"/>
    <n v="5"/>
    <x v="0"/>
    <s v="j1"/>
    <s v="Total hari kerja"/>
    <x v="1"/>
    <m/>
    <m/>
    <m/>
    <m/>
  </r>
  <r>
    <d v="2026-02-01T00:00:00"/>
    <s v="Sun"/>
    <n v="6"/>
    <x v="1"/>
    <m/>
    <s v=" "/>
    <x v="1"/>
    <m/>
    <m/>
    <m/>
    <m/>
  </r>
  <r>
    <d v="2026-02-02T00:00:00"/>
    <s v="Mon"/>
    <n v="6"/>
    <x v="1"/>
    <s v="j1"/>
    <s v="Total hari kerja"/>
    <x v="1"/>
    <n v="2"/>
    <n v="1"/>
    <n v="3"/>
    <m/>
  </r>
  <r>
    <d v="2026-02-03T00:00:00"/>
    <s v="Tue"/>
    <n v="6"/>
    <x v="1"/>
    <s v="j1"/>
    <s v="Total hari kerja"/>
    <x v="1"/>
    <n v="3"/>
    <n v="1"/>
    <m/>
    <m/>
  </r>
  <r>
    <d v="2026-02-04T00:00:00"/>
    <s v="Wed"/>
    <n v="6"/>
    <x v="1"/>
    <s v="j1"/>
    <s v="Total hari kerja"/>
    <x v="1"/>
    <n v="2"/>
    <n v="4"/>
    <n v="1"/>
    <m/>
  </r>
  <r>
    <d v="2026-02-05T00:00:00"/>
    <s v="Thu"/>
    <n v="6"/>
    <x v="1"/>
    <s v="j1"/>
    <s v="Total hari kerja"/>
    <x v="1"/>
    <n v="4"/>
    <m/>
    <m/>
    <m/>
  </r>
  <r>
    <d v="2026-02-06T00:00:00"/>
    <s v="Fri"/>
    <n v="6"/>
    <x v="1"/>
    <s v="j1"/>
    <s v="Total hari kerja"/>
    <x v="1"/>
    <n v="1"/>
    <m/>
    <m/>
    <m/>
  </r>
  <r>
    <d v="2026-02-07T00:00:00"/>
    <s v="Sat"/>
    <n v="6"/>
    <x v="1"/>
    <s v="j1"/>
    <s v="Total hari kerja"/>
    <x v="1"/>
    <n v="2"/>
    <n v="1"/>
    <m/>
    <m/>
  </r>
  <r>
    <d v="2026-02-08T00:00:00"/>
    <s v="Sun"/>
    <n v="7"/>
    <x v="1"/>
    <m/>
    <s v=" "/>
    <x v="1"/>
    <m/>
    <m/>
    <m/>
    <m/>
  </r>
  <r>
    <d v="2026-02-09T00:00:00"/>
    <s v="Mon"/>
    <n v="7"/>
    <x v="1"/>
    <s v="j1"/>
    <s v="Total hari kerja"/>
    <x v="1"/>
    <n v="1"/>
    <n v="3"/>
    <m/>
    <m/>
  </r>
  <r>
    <d v="2026-02-10T00:00:00"/>
    <s v="Tue"/>
    <n v="7"/>
    <x v="1"/>
    <s v="j1"/>
    <s v="Total hari kerja"/>
    <x v="1"/>
    <n v="3"/>
    <n v="4"/>
    <m/>
    <m/>
  </r>
  <r>
    <d v="2026-02-11T00:00:00"/>
    <s v="Wed"/>
    <n v="7"/>
    <x v="1"/>
    <s v="j1"/>
    <s v="Total hari kerja"/>
    <x v="1"/>
    <n v="5"/>
    <n v="2"/>
    <n v="2"/>
    <m/>
  </r>
  <r>
    <d v="2026-02-12T00:00:00"/>
    <s v="Thu"/>
    <n v="7"/>
    <x v="1"/>
    <s v="j1"/>
    <s v="Total hari kerja"/>
    <x v="1"/>
    <n v="3"/>
    <n v="3"/>
    <n v="3"/>
    <m/>
  </r>
  <r>
    <d v="2026-02-13T00:00:00"/>
    <s v="Fri"/>
    <n v="7"/>
    <x v="1"/>
    <s v="j1"/>
    <s v="Total hari kerja"/>
    <x v="1"/>
    <n v="4"/>
    <n v="1"/>
    <n v="3"/>
    <m/>
  </r>
  <r>
    <d v="2026-02-14T00:00:00"/>
    <s v="Sat"/>
    <n v="7"/>
    <x v="1"/>
    <s v="j1"/>
    <s v="Total hari kerja"/>
    <x v="1"/>
    <n v="1"/>
    <n v="4"/>
    <n v="1"/>
    <m/>
  </r>
  <r>
    <d v="2026-02-15T00:00:00"/>
    <s v="Sun"/>
    <n v="8"/>
    <x v="1"/>
    <m/>
    <s v=" "/>
    <x v="1"/>
    <m/>
    <m/>
    <m/>
    <m/>
  </r>
  <r>
    <d v="2026-02-16T00:00:00"/>
    <s v="Mon"/>
    <n v="8"/>
    <x v="1"/>
    <s v="j1"/>
    <s v="Total hari kerja"/>
    <x v="1"/>
    <n v="1"/>
    <n v="1"/>
    <m/>
    <m/>
  </r>
  <r>
    <d v="2026-02-17T00:00:00"/>
    <s v="Tue"/>
    <n v="8"/>
    <x v="1"/>
    <s v="j1"/>
    <s v="Total hari kerja"/>
    <x v="1"/>
    <n v="1"/>
    <n v="1"/>
    <m/>
    <m/>
  </r>
  <r>
    <d v="2026-02-18T00:00:00"/>
    <s v="Wed"/>
    <n v="8"/>
    <x v="1"/>
    <s v="j1"/>
    <s v="Total hari kerja"/>
    <x v="1"/>
    <n v="2"/>
    <n v="1"/>
    <m/>
    <m/>
  </r>
  <r>
    <d v="2026-02-19T00:00:00"/>
    <s v="Thu"/>
    <n v="8"/>
    <x v="1"/>
    <s v="j1"/>
    <s v="Total hari kerja"/>
    <x v="1"/>
    <n v="3"/>
    <n v="2"/>
    <m/>
    <m/>
  </r>
  <r>
    <d v="2026-02-20T00:00:00"/>
    <s v="Fri"/>
    <n v="8"/>
    <x v="1"/>
    <s v="j1"/>
    <s v="Total hari kerja"/>
    <x v="1"/>
    <n v="1"/>
    <n v="1"/>
    <m/>
    <m/>
  </r>
  <r>
    <d v="2026-02-21T00:00:00"/>
    <s v="Sat"/>
    <n v="8"/>
    <x v="1"/>
    <s v="j1"/>
    <s v="Total hari kerja"/>
    <x v="1"/>
    <n v="3"/>
    <n v="1"/>
    <n v="1"/>
    <m/>
  </r>
  <r>
    <d v="2026-02-22T00:00:00"/>
    <s v="Sun"/>
    <n v="9"/>
    <x v="1"/>
    <m/>
    <s v=" "/>
    <x v="1"/>
    <m/>
    <m/>
    <m/>
    <m/>
  </r>
  <r>
    <d v="2026-02-23T00:00:00"/>
    <s v="Mon"/>
    <n v="9"/>
    <x v="1"/>
    <s v="j1"/>
    <s v="Total hari kerja"/>
    <x v="1"/>
    <n v="5"/>
    <n v="5"/>
    <n v="3"/>
    <m/>
  </r>
  <r>
    <d v="2026-02-24T00:00:00"/>
    <s v="Tue"/>
    <n v="9"/>
    <x v="1"/>
    <s v="j1"/>
    <s v="Total hari kerja"/>
    <x v="1"/>
    <n v="3"/>
    <n v="1"/>
    <n v="3"/>
    <m/>
  </r>
  <r>
    <d v="2026-02-25T00:00:00"/>
    <s v="Wed"/>
    <n v="9"/>
    <x v="1"/>
    <s v="j1"/>
    <s v="Total hari kerja"/>
    <x v="1"/>
    <n v="5"/>
    <n v="3"/>
    <n v="3"/>
    <m/>
  </r>
  <r>
    <d v="2026-02-26T00:00:00"/>
    <s v="Thu"/>
    <n v="9"/>
    <x v="1"/>
    <s v="j1"/>
    <s v="Total hari kerja"/>
    <x v="1"/>
    <n v="2"/>
    <n v="3"/>
    <m/>
    <m/>
  </r>
  <r>
    <d v="2026-02-27T00:00:00"/>
    <s v="Fri"/>
    <n v="9"/>
    <x v="1"/>
    <s v="j1"/>
    <s v="Total hari kerja"/>
    <x v="1"/>
    <n v="3"/>
    <n v="2"/>
    <n v="6"/>
    <m/>
  </r>
  <r>
    <d v="2026-02-28T00:00:00"/>
    <s v="Sat"/>
    <n v="9"/>
    <x v="1"/>
    <s v="j1"/>
    <s v="Total hari kerja"/>
    <x v="1"/>
    <m/>
    <m/>
    <m/>
    <m/>
  </r>
  <r>
    <d v="2026-03-01T00:00:00"/>
    <s v="Sun"/>
    <n v="10"/>
    <x v="2"/>
    <m/>
    <s v=" "/>
    <x v="1"/>
    <m/>
    <m/>
    <m/>
    <m/>
  </r>
  <r>
    <d v="2026-03-02T00:00:00"/>
    <s v="Mon"/>
    <n v="10"/>
    <x v="2"/>
    <s v="j2"/>
    <s v="Ijin/Sakit/Alfa"/>
    <x v="1"/>
    <m/>
    <m/>
    <m/>
    <m/>
  </r>
  <r>
    <d v="2026-03-03T00:00:00"/>
    <s v="Tue"/>
    <n v="10"/>
    <x v="2"/>
    <s v="j1"/>
    <s v="Total hari kerja"/>
    <x v="1"/>
    <n v="1"/>
    <n v="1"/>
    <n v="5"/>
    <m/>
  </r>
  <r>
    <d v="2026-03-04T00:00:00"/>
    <s v="Wed"/>
    <n v="10"/>
    <x v="2"/>
    <s v="j1"/>
    <s v="Total hari kerja"/>
    <x v="1"/>
    <n v="3"/>
    <n v="2"/>
    <n v="2"/>
    <m/>
  </r>
  <r>
    <d v="2026-03-05T00:00:00"/>
    <s v="Thu"/>
    <n v="10"/>
    <x v="2"/>
    <s v="j1"/>
    <s v="Total hari kerja"/>
    <x v="1"/>
    <n v="1"/>
    <n v="5"/>
    <m/>
    <m/>
  </r>
  <r>
    <d v="2026-03-06T00:00:00"/>
    <s v="Fri"/>
    <n v="10"/>
    <x v="2"/>
    <s v="j1"/>
    <s v="Total hari kerja"/>
    <x v="1"/>
    <n v="2"/>
    <n v="1"/>
    <m/>
    <m/>
  </r>
  <r>
    <d v="2026-03-07T00:00:00"/>
    <s v="Sat"/>
    <n v="10"/>
    <x v="2"/>
    <s v="j1"/>
    <s v="Total hari kerja"/>
    <x v="1"/>
    <n v="1"/>
    <n v="1"/>
    <n v="5"/>
    <m/>
  </r>
  <r>
    <d v="2026-03-08T00:00:00"/>
    <s v="Sun"/>
    <n v="11"/>
    <x v="2"/>
    <m/>
    <s v=" "/>
    <x v="1"/>
    <m/>
    <m/>
    <m/>
    <m/>
  </r>
  <r>
    <d v="2026-03-09T00:00:00"/>
    <s v="Mon"/>
    <n v="11"/>
    <x v="2"/>
    <s v="j1"/>
    <s v="Total hari kerja"/>
    <x v="1"/>
    <n v="3"/>
    <n v="2"/>
    <n v="3"/>
    <m/>
  </r>
  <r>
    <d v="2026-03-10T00:00:00"/>
    <s v="Tue"/>
    <n v="11"/>
    <x v="2"/>
    <s v="j1"/>
    <s v="Total hari kerja"/>
    <x v="1"/>
    <n v="1"/>
    <n v="4"/>
    <n v="6"/>
    <m/>
  </r>
  <r>
    <d v="2026-03-11T00:00:00"/>
    <s v="Wed"/>
    <n v="11"/>
    <x v="2"/>
    <s v="j1"/>
    <s v="Total hari kerja"/>
    <x v="1"/>
    <n v="7"/>
    <n v="1"/>
    <n v="8"/>
    <m/>
  </r>
  <r>
    <d v="2026-03-12T00:00:00"/>
    <s v="Thu"/>
    <n v="11"/>
    <x v="2"/>
    <s v="j1"/>
    <s v="Total hari kerja"/>
    <x v="1"/>
    <n v="2"/>
    <n v="1"/>
    <n v="7"/>
    <m/>
  </r>
  <r>
    <d v="2026-03-13T00:00:00"/>
    <s v="Fri"/>
    <n v="11"/>
    <x v="2"/>
    <s v="j1"/>
    <s v="Total hari kerja"/>
    <x v="1"/>
    <n v="6"/>
    <n v="2"/>
    <n v="2"/>
    <m/>
  </r>
  <r>
    <d v="2026-03-14T00:00:00"/>
    <s v="Sat"/>
    <n v="11"/>
    <x v="2"/>
    <s v="j1"/>
    <s v="Total hari kerja"/>
    <x v="1"/>
    <n v="1"/>
    <n v="3"/>
    <n v="3"/>
    <m/>
  </r>
  <r>
    <d v="2026-03-15T00:00:00"/>
    <s v="Sun"/>
    <n v="12"/>
    <x v="2"/>
    <m/>
    <s v=" "/>
    <x v="1"/>
    <m/>
    <m/>
    <m/>
    <m/>
  </r>
  <r>
    <d v="2026-03-16T00:00:00"/>
    <s v="Mon"/>
    <n v="12"/>
    <x v="2"/>
    <s v="j1"/>
    <s v="Total hari kerja"/>
    <x v="1"/>
    <n v="8"/>
    <n v="1"/>
    <n v="6"/>
    <m/>
  </r>
  <r>
    <d v="2026-03-17T00:00:00"/>
    <s v="Tue"/>
    <n v="12"/>
    <x v="2"/>
    <s v="j1"/>
    <s v="Total hari kerja"/>
    <x v="1"/>
    <n v="4"/>
    <n v="1"/>
    <n v="3"/>
    <m/>
  </r>
  <r>
    <d v="2026-03-18T00:00:00"/>
    <s v="Wed"/>
    <n v="12"/>
    <x v="2"/>
    <s v="j1"/>
    <s v="Total hari kerja"/>
    <x v="1"/>
    <m/>
    <m/>
    <m/>
    <m/>
  </r>
  <r>
    <d v="2026-03-19T00:00:00"/>
    <s v="Thu"/>
    <n v="12"/>
    <x v="2"/>
    <m/>
    <s v=" "/>
    <x v="1"/>
    <m/>
    <m/>
    <m/>
    <m/>
  </r>
  <r>
    <d v="2026-03-20T00:00:00"/>
    <s v="Fri"/>
    <n v="12"/>
    <x v="2"/>
    <m/>
    <s v=" "/>
    <x v="1"/>
    <m/>
    <m/>
    <m/>
    <m/>
  </r>
  <r>
    <d v="2026-03-21T00:00:00"/>
    <s v="Sat"/>
    <n v="12"/>
    <x v="2"/>
    <m/>
    <s v=" "/>
    <x v="1"/>
    <m/>
    <m/>
    <m/>
    <m/>
  </r>
  <r>
    <d v="2026-03-22T00:00:00"/>
    <s v="Sun"/>
    <n v="13"/>
    <x v="2"/>
    <m/>
    <s v=" "/>
    <x v="1"/>
    <m/>
    <m/>
    <m/>
    <m/>
  </r>
  <r>
    <d v="2026-03-23T00:00:00"/>
    <s v="Mon"/>
    <n v="13"/>
    <x v="2"/>
    <m/>
    <s v=" "/>
    <x v="1"/>
    <m/>
    <m/>
    <m/>
    <m/>
  </r>
  <r>
    <d v="2026-03-24T00:00:00"/>
    <s v="Tue"/>
    <n v="13"/>
    <x v="2"/>
    <m/>
    <s v=" "/>
    <x v="1"/>
    <m/>
    <m/>
    <m/>
    <m/>
  </r>
  <r>
    <d v="2026-03-25T00:00:00"/>
    <s v="Wed"/>
    <n v="13"/>
    <x v="2"/>
    <m/>
    <s v=" "/>
    <x v="1"/>
    <m/>
    <m/>
    <m/>
    <m/>
  </r>
  <r>
    <d v="2026-03-26T00:00:00"/>
    <s v="Thu"/>
    <n v="13"/>
    <x v="2"/>
    <m/>
    <s v=" "/>
    <x v="1"/>
    <m/>
    <m/>
    <m/>
    <m/>
  </r>
  <r>
    <d v="2026-03-27T00:00:00"/>
    <s v="Fri"/>
    <n v="13"/>
    <x v="2"/>
    <m/>
    <s v=" "/>
    <x v="1"/>
    <m/>
    <m/>
    <m/>
    <m/>
  </r>
  <r>
    <d v="2026-03-28T00:00:00"/>
    <s v="Sat"/>
    <n v="13"/>
    <x v="2"/>
    <m/>
    <s v=" "/>
    <x v="1"/>
    <m/>
    <m/>
    <m/>
    <m/>
  </r>
  <r>
    <d v="2026-03-29T00:00:00"/>
    <s v="Sun"/>
    <n v="14"/>
    <x v="2"/>
    <m/>
    <s v=" "/>
    <x v="1"/>
    <m/>
    <m/>
    <m/>
    <m/>
  </r>
  <r>
    <d v="2026-03-30T00:00:00"/>
    <s v="Mon"/>
    <n v="14"/>
    <x v="2"/>
    <s v="j1"/>
    <s v="Total hari kerja"/>
    <x v="1"/>
    <n v="21"/>
    <n v="7"/>
    <n v="14"/>
    <m/>
  </r>
  <r>
    <d v="2026-03-31T00:00:00"/>
    <s v="Tue"/>
    <n v="14"/>
    <x v="2"/>
    <s v="j1"/>
    <s v="Total hari kerja"/>
    <x v="1"/>
    <n v="7"/>
    <n v="7"/>
    <n v="22"/>
    <m/>
  </r>
  <r>
    <d v="2026-04-01T00:00:00"/>
    <s v="Wed"/>
    <n v="14"/>
    <x v="3"/>
    <s v="j1"/>
    <s v="Total hari kerja"/>
    <x v="1"/>
    <n v="16"/>
    <n v="3"/>
    <n v="16"/>
    <m/>
  </r>
  <r>
    <d v="2026-04-02T00:00:00"/>
    <s v="Thu"/>
    <n v="14"/>
    <x v="3"/>
    <s v="j1"/>
    <s v="Total hari kerja"/>
    <x v="1"/>
    <n v="11"/>
    <n v="6"/>
    <n v="28"/>
    <m/>
  </r>
  <r>
    <d v="2026-04-03T00:00:00"/>
    <s v="Fri"/>
    <n v="14"/>
    <x v="3"/>
    <s v="j1"/>
    <s v="Total hari kerja"/>
    <x v="1"/>
    <n v="4"/>
    <n v="12"/>
    <n v="13"/>
    <m/>
  </r>
  <r>
    <d v="2026-04-04T00:00:00"/>
    <s v="Sat"/>
    <n v="14"/>
    <x v="3"/>
    <s v="j1"/>
    <s v="Total hari kerja"/>
    <x v="1"/>
    <n v="14"/>
    <n v="11"/>
    <n v="8"/>
    <m/>
  </r>
  <r>
    <d v="2026-04-05T00:00:00"/>
    <s v="Sun"/>
    <n v="15"/>
    <x v="3"/>
    <m/>
    <s v=" "/>
    <x v="1"/>
    <m/>
    <m/>
    <m/>
    <m/>
  </r>
  <r>
    <d v="2026-04-06T00:00:00"/>
    <s v="Mon"/>
    <n v="15"/>
    <x v="3"/>
    <s v="j1"/>
    <s v="Total hari kerja"/>
    <x v="1"/>
    <n v="12"/>
    <n v="2"/>
    <n v="6"/>
    <m/>
  </r>
  <r>
    <d v="2026-04-07T00:00:00"/>
    <s v="Tue"/>
    <n v="15"/>
    <x v="3"/>
    <s v="j1"/>
    <s v="Total hari kerja"/>
    <x v="1"/>
    <n v="19"/>
    <n v="10"/>
    <n v="8"/>
    <m/>
  </r>
  <r>
    <d v="2026-04-08T00:00:00"/>
    <s v="Wed"/>
    <n v="15"/>
    <x v="3"/>
    <s v="j1"/>
    <s v="Total hari kerja"/>
    <x v="1"/>
    <n v="11"/>
    <n v="11"/>
    <n v="12"/>
    <m/>
  </r>
  <r>
    <d v="2026-04-09T00:00:00"/>
    <s v="Thu"/>
    <n v="15"/>
    <x v="3"/>
    <s v="j1"/>
    <s v="Total hari kerja"/>
    <x v="1"/>
    <n v="30"/>
    <n v="10"/>
    <m/>
    <m/>
  </r>
  <r>
    <d v="2026-04-10T00:00:00"/>
    <s v="Fri"/>
    <n v="15"/>
    <x v="3"/>
    <s v="j1"/>
    <s v="Total hari kerja"/>
    <x v="1"/>
    <n v="36"/>
    <n v="4"/>
    <m/>
    <m/>
  </r>
  <r>
    <d v="2026-04-11T00:00:00"/>
    <s v="Sat"/>
    <n v="15"/>
    <x v="3"/>
    <s v="j5"/>
    <s v="1/2 HARI"/>
    <x v="1"/>
    <n v="35"/>
    <m/>
    <m/>
    <m/>
  </r>
  <r>
    <d v="2026-04-12T00:00:00"/>
    <s v="Sun"/>
    <n v="16"/>
    <x v="3"/>
    <m/>
    <s v=" "/>
    <x v="1"/>
    <m/>
    <m/>
    <m/>
    <m/>
  </r>
  <r>
    <d v="2026-04-13T00:00:00"/>
    <s v="Mon"/>
    <n v="16"/>
    <x v="3"/>
    <s v="j1"/>
    <s v="Total hari kerja"/>
    <x v="1"/>
    <n v="27"/>
    <n v="16"/>
    <m/>
    <m/>
  </r>
  <r>
    <d v="2026-04-14T00:00:00"/>
    <s v="Tue"/>
    <n v="16"/>
    <x v="3"/>
    <s v="j1"/>
    <s v="Total hari kerja"/>
    <x v="1"/>
    <n v="55"/>
    <n v="33"/>
    <m/>
    <m/>
  </r>
  <r>
    <d v="2026-04-15T00:00:00"/>
    <s v="Wed"/>
    <n v="16"/>
    <x v="3"/>
    <s v="j1"/>
    <s v="Total hari kerja"/>
    <x v="1"/>
    <n v="20"/>
    <n v="10"/>
    <n v="10"/>
    <m/>
  </r>
  <r>
    <d v="2026-04-16T00:00:00"/>
    <s v="Thu"/>
    <n v="16"/>
    <x v="3"/>
    <s v="j1"/>
    <s v="Total hari kerja"/>
    <x v="1"/>
    <n v="11"/>
    <n v="10"/>
    <n v="17"/>
    <m/>
  </r>
  <r>
    <d v="2026-04-17T00:00:00"/>
    <s v="Fri"/>
    <n v="16"/>
    <x v="3"/>
    <s v="j1"/>
    <s v="Total hari kerja"/>
    <x v="1"/>
    <n v="16"/>
    <n v="5"/>
    <n v="8"/>
    <m/>
  </r>
  <r>
    <d v="2026-04-18T00:00:00"/>
    <s v="Sat"/>
    <n v="16"/>
    <x v="3"/>
    <s v="j1"/>
    <s v="Total hari kerja"/>
    <x v="1"/>
    <n v="9"/>
    <n v="3"/>
    <m/>
    <m/>
  </r>
  <r>
    <d v="2026-04-19T00:00:00"/>
    <s v="Sun"/>
    <n v="17"/>
    <x v="3"/>
    <m/>
    <s v=" "/>
    <x v="1"/>
    <m/>
    <m/>
    <m/>
    <m/>
  </r>
  <r>
    <d v="2026-04-20T00:00:00"/>
    <s v="Mon"/>
    <n v="17"/>
    <x v="3"/>
    <s v="j1"/>
    <s v="Total hari kerja"/>
    <x v="1"/>
    <n v="37"/>
    <m/>
    <m/>
    <m/>
  </r>
  <r>
    <d v="2026-04-21T00:00:00"/>
    <s v="Tue"/>
    <n v="17"/>
    <x v="3"/>
    <s v="j1"/>
    <s v="Total hari kerja"/>
    <x v="1"/>
    <n v="20"/>
    <n v="10"/>
    <m/>
    <m/>
  </r>
  <r>
    <d v="2026-04-22T00:00:00"/>
    <s v="Wed"/>
    <n v="17"/>
    <x v="3"/>
    <s v="j1"/>
    <s v="Total hari kerja"/>
    <x v="1"/>
    <n v="20"/>
    <n v="19"/>
    <m/>
    <m/>
  </r>
  <r>
    <d v="2026-04-23T00:00:00"/>
    <s v="Thu"/>
    <n v="17"/>
    <x v="3"/>
    <s v="j1"/>
    <s v="Total hari kerja"/>
    <x v="1"/>
    <n v="28"/>
    <n v="2"/>
    <m/>
    <m/>
  </r>
  <r>
    <d v="2026-04-24T00:00:00"/>
    <s v="Fri"/>
    <n v="17"/>
    <x v="3"/>
    <s v="j1"/>
    <s v="Total hari kerja"/>
    <x v="1"/>
    <n v="6"/>
    <m/>
    <m/>
    <m/>
  </r>
  <r>
    <d v="2026-04-25T00:00:00"/>
    <s v="Sat"/>
    <n v="17"/>
    <x v="3"/>
    <s v="j1"/>
    <s v="Total hari kerja"/>
    <x v="1"/>
    <n v="12"/>
    <n v="4"/>
    <m/>
    <m/>
  </r>
  <r>
    <d v="2026-04-26T00:00:00"/>
    <s v="Sun"/>
    <n v="18"/>
    <x v="3"/>
    <m/>
    <s v=" "/>
    <x v="1"/>
    <m/>
    <m/>
    <m/>
    <m/>
  </r>
  <r>
    <d v="2026-04-27T00:00:00"/>
    <s v="Mon"/>
    <n v="18"/>
    <x v="3"/>
    <s v="j2"/>
    <s v="Ijin/Sakit/Alfa"/>
    <x v="1"/>
    <m/>
    <m/>
    <m/>
    <m/>
  </r>
  <r>
    <d v="2026-04-28T00:00:00"/>
    <s v="Tue"/>
    <n v="18"/>
    <x v="3"/>
    <s v="j1"/>
    <s v="Total hari kerja"/>
    <x v="1"/>
    <n v="6"/>
    <n v="4"/>
    <m/>
    <m/>
  </r>
  <r>
    <d v="2026-04-29T00:00:00"/>
    <s v="Wed"/>
    <n v="18"/>
    <x v="3"/>
    <m/>
    <s v=" "/>
    <x v="1"/>
    <m/>
    <m/>
    <m/>
    <m/>
  </r>
  <r>
    <d v="2026-04-30T00:00:00"/>
    <s v="Thu"/>
    <n v="18"/>
    <x v="3"/>
    <s v="j1"/>
    <s v="Total hari kerja"/>
    <x v="1"/>
    <n v="28"/>
    <m/>
    <m/>
    <m/>
  </r>
  <r>
    <d v="2026-05-01T00:00:00"/>
    <s v="Fri"/>
    <n v="18"/>
    <x v="4"/>
    <s v="j1"/>
    <s v="Total hari kerja"/>
    <x v="1"/>
    <n v="27"/>
    <n v="9"/>
    <m/>
    <m/>
  </r>
  <r>
    <d v="2026-05-02T00:00:00"/>
    <s v="Sat"/>
    <n v="18"/>
    <x v="4"/>
    <s v="j1"/>
    <s v="Total hari kerja"/>
    <x v="1"/>
    <n v="11"/>
    <n v="4"/>
    <m/>
    <m/>
  </r>
  <r>
    <d v="2026-05-03T00:00:00"/>
    <s v="Sun"/>
    <n v="19"/>
    <x v="4"/>
    <m/>
    <s v=" "/>
    <x v="1"/>
    <m/>
    <m/>
    <m/>
    <m/>
  </r>
  <r>
    <d v="2026-05-04T00:00:00"/>
    <s v="Mon"/>
    <n v="19"/>
    <x v="4"/>
    <s v="j1"/>
    <s v="Total hari kerja"/>
    <x v="1"/>
    <n v="15"/>
    <n v="7"/>
    <m/>
    <m/>
  </r>
  <r>
    <d v="2026-05-05T00:00:00"/>
    <s v="Tue"/>
    <n v="19"/>
    <x v="4"/>
    <s v="j1"/>
    <s v="Total hari kerja"/>
    <x v="1"/>
    <n v="29"/>
    <n v="5"/>
    <m/>
    <m/>
  </r>
  <r>
    <d v="2026-05-06T00:00:00"/>
    <s v="Wed"/>
    <n v="19"/>
    <x v="4"/>
    <s v="j1"/>
    <s v="Total hari kerja"/>
    <x v="1"/>
    <n v="28"/>
    <n v="5"/>
    <m/>
    <m/>
  </r>
  <r>
    <d v="2026-05-07T00:00:00"/>
    <s v="Thu"/>
    <n v="19"/>
    <x v="4"/>
    <s v="j1"/>
    <s v="Total hari kerja"/>
    <x v="1"/>
    <n v="11"/>
    <m/>
    <m/>
    <m/>
  </r>
  <r>
    <d v="2026-05-08T00:00:00"/>
    <s v="Fri"/>
    <n v="19"/>
    <x v="4"/>
    <s v="j1"/>
    <s v="Total hari kerja"/>
    <x v="1"/>
    <n v="10"/>
    <n v="4"/>
    <m/>
    <m/>
  </r>
  <r>
    <d v="2026-05-09T00:00:00"/>
    <s v="Sat"/>
    <n v="19"/>
    <x v="4"/>
    <s v="j1"/>
    <s v="Total hari kerja"/>
    <x v="1"/>
    <n v="7"/>
    <n v="7"/>
    <m/>
    <m/>
  </r>
  <r>
    <d v="2026-05-10T00:00:00"/>
    <s v="Sun"/>
    <n v="20"/>
    <x v="4"/>
    <m/>
    <s v=" "/>
    <x v="1"/>
    <m/>
    <m/>
    <m/>
    <m/>
  </r>
  <r>
    <d v="2026-05-11T00:00:00"/>
    <s v="Mon"/>
    <n v="20"/>
    <x v="4"/>
    <s v="j1"/>
    <s v="Total hari kerja"/>
    <x v="1"/>
    <n v="23"/>
    <n v="10"/>
    <m/>
    <m/>
  </r>
  <r>
    <d v="2026-05-12T00:00:00"/>
    <s v="Tue"/>
    <n v="20"/>
    <x v="4"/>
    <s v="j1"/>
    <s v="Total hari kerja"/>
    <x v="1"/>
    <n v="19"/>
    <m/>
    <m/>
    <m/>
  </r>
  <r>
    <d v="2026-05-13T00:00:00"/>
    <s v="Wed"/>
    <n v="20"/>
    <x v="4"/>
    <s v="j1"/>
    <s v="Total hari kerja"/>
    <x v="1"/>
    <n v="14"/>
    <n v="5"/>
    <m/>
    <m/>
  </r>
  <r>
    <d v="2026-05-14T00:00:00"/>
    <s v="Thu"/>
    <n v="20"/>
    <x v="4"/>
    <s v="j1"/>
    <s v="Total hari kerja"/>
    <x v="1"/>
    <n v="26"/>
    <n v="10"/>
    <m/>
    <m/>
  </r>
  <r>
    <d v="2026-05-15T00:00:00"/>
    <s v="Fri"/>
    <n v="20"/>
    <x v="4"/>
    <s v="j1"/>
    <s v="Total hari kerja"/>
    <x v="1"/>
    <n v="10"/>
    <n v="7"/>
    <m/>
    <m/>
  </r>
  <r>
    <d v="2026-05-16T00:00:00"/>
    <s v="Sat"/>
    <n v="20"/>
    <x v="4"/>
    <s v="j3"/>
    <s v="MERAH"/>
    <x v="1"/>
    <m/>
    <m/>
    <m/>
    <m/>
  </r>
  <r>
    <d v="2026-05-17T00:00:00"/>
    <s v="Sun"/>
    <n v="21"/>
    <x v="4"/>
    <m/>
    <s v=" "/>
    <x v="1"/>
    <m/>
    <m/>
    <m/>
    <m/>
  </r>
  <r>
    <d v="2026-05-18T00:00:00"/>
    <s v="Mon"/>
    <n v="21"/>
    <x v="4"/>
    <s v="j1"/>
    <s v="Total hari kerja"/>
    <x v="1"/>
    <n v="10"/>
    <n v="11"/>
    <m/>
    <m/>
  </r>
  <r>
    <d v="2026-05-19T00:00:00"/>
    <s v="Tue"/>
    <n v="21"/>
    <x v="4"/>
    <s v="j1"/>
    <s v="Total hari kerja"/>
    <x v="1"/>
    <n v="8"/>
    <n v="4"/>
    <n v="4"/>
    <m/>
  </r>
  <r>
    <d v="2026-05-20T00:00:00"/>
    <s v="Wed"/>
    <n v="21"/>
    <x v="4"/>
    <s v="j1"/>
    <s v="Total hari kerja"/>
    <x v="1"/>
    <n v="12"/>
    <n v="6"/>
    <m/>
    <m/>
  </r>
  <r>
    <d v="2026-05-21T00:00:00"/>
    <s v="Thu"/>
    <n v="21"/>
    <x v="4"/>
    <s v="j1"/>
    <s v="Total hari kerja"/>
    <x v="1"/>
    <n v="10"/>
    <m/>
    <m/>
    <m/>
  </r>
  <r>
    <d v="2026-05-22T00:00:00"/>
    <s v="Fri"/>
    <n v="21"/>
    <x v="4"/>
    <s v="j1"/>
    <s v="Total hari kerja"/>
    <x v="1"/>
    <n v="6"/>
    <n v="8"/>
    <m/>
    <m/>
  </r>
  <r>
    <d v="2026-05-23T00:00:00"/>
    <s v="Sat"/>
    <n v="21"/>
    <x v="4"/>
    <s v="j1"/>
    <s v="Total hari kerja"/>
    <x v="1"/>
    <n v="6"/>
    <n v="2"/>
    <m/>
    <m/>
  </r>
  <r>
    <d v="2026-05-24T00:00:00"/>
    <s v="Sun"/>
    <n v="22"/>
    <x v="4"/>
    <m/>
    <s v=" "/>
    <x v="1"/>
    <m/>
    <m/>
    <m/>
    <m/>
  </r>
  <r>
    <d v="2026-05-25T00:00:00"/>
    <s v="Mon"/>
    <n v="22"/>
    <x v="4"/>
    <s v="j1"/>
    <s v="Total hari kerja"/>
    <x v="1"/>
    <n v="8"/>
    <n v="4"/>
    <m/>
    <m/>
  </r>
  <r>
    <d v="2026-05-26T00:00:00"/>
    <s v="Tue"/>
    <n v="22"/>
    <x v="4"/>
    <s v="j1"/>
    <s v="Total hari kerja"/>
    <x v="1"/>
    <n v="5"/>
    <n v="12"/>
    <m/>
    <m/>
  </r>
  <r>
    <d v="2026-05-27T00:00:00"/>
    <s v="Wed"/>
    <n v="22"/>
    <x v="4"/>
    <s v="j3"/>
    <s v="MERAH"/>
    <x v="1"/>
    <m/>
    <m/>
    <m/>
    <m/>
  </r>
  <r>
    <d v="2026-05-28T00:00:00"/>
    <s v="Thu"/>
    <n v="22"/>
    <x v="4"/>
    <s v="j1"/>
    <s v="Total hari kerja"/>
    <x v="1"/>
    <n v="3"/>
    <n v="8"/>
    <m/>
    <m/>
  </r>
  <r>
    <d v="2026-05-29T00:00:00"/>
    <s v="Fri"/>
    <n v="22"/>
    <x v="4"/>
    <s v="j1"/>
    <s v="Total hari kerja"/>
    <x v="1"/>
    <n v="6"/>
    <n v="5"/>
    <m/>
    <m/>
  </r>
  <r>
    <d v="2026-05-30T00:00:00"/>
    <s v="Sat"/>
    <n v="22"/>
    <x v="4"/>
    <s v="j1"/>
    <s v="Total hari kerja"/>
    <x v="1"/>
    <n v="8"/>
    <m/>
    <m/>
    <m/>
  </r>
  <r>
    <d v="2026-05-31T00:00:00"/>
    <s v="Sun"/>
    <n v="23"/>
    <x v="4"/>
    <m/>
    <s v=" "/>
    <x v="1"/>
    <m/>
    <m/>
    <m/>
    <m/>
  </r>
  <r>
    <d v="2026-06-01T00:00:00"/>
    <s v="Mon"/>
    <n v="23"/>
    <x v="5"/>
    <s v="j1"/>
    <s v="Total hari kerja"/>
    <x v="1"/>
    <n v="17"/>
    <n v="4"/>
    <m/>
    <m/>
  </r>
  <r>
    <d v="2026-06-02T00:00:00"/>
    <s v="Tue"/>
    <n v="23"/>
    <x v="5"/>
    <s v="j1"/>
    <s v="Total hari kerja"/>
    <x v="1"/>
    <n v="8"/>
    <n v="16"/>
    <m/>
    <m/>
  </r>
  <r>
    <d v="2026-06-03T00:00:00"/>
    <s v="Wed"/>
    <n v="23"/>
    <x v="5"/>
    <s v="j1"/>
    <s v="Total hari kerja"/>
    <x v="1"/>
    <n v="3"/>
    <n v="9"/>
    <m/>
    <m/>
  </r>
  <r>
    <d v="2026-06-04T00:00:00"/>
    <s v="Thu"/>
    <n v="23"/>
    <x v="5"/>
    <s v="j2"/>
    <s v="Ijin/Sakit/Alfa"/>
    <x v="1"/>
    <m/>
    <m/>
    <m/>
    <m/>
  </r>
  <r>
    <d v="2026-06-05T00:00:00"/>
    <s v="Fri"/>
    <n v="23"/>
    <x v="5"/>
    <s v="j1"/>
    <s v="Total hari kerja"/>
    <x v="1"/>
    <n v="7"/>
    <n v="3"/>
    <m/>
    <m/>
  </r>
  <r>
    <d v="2026-06-06T00:00:00"/>
    <s v="Sat"/>
    <n v="23"/>
    <x v="5"/>
    <s v="j1"/>
    <s v="Total hari kerja"/>
    <x v="1"/>
    <n v="12"/>
    <n v="8"/>
    <m/>
    <m/>
  </r>
  <r>
    <d v="2026-06-07T00:00:00"/>
    <s v="Sun"/>
    <n v="24"/>
    <x v="5"/>
    <m/>
    <s v=" "/>
    <x v="1"/>
    <m/>
    <m/>
    <m/>
    <m/>
  </r>
  <r>
    <d v="2026-06-08T00:00:00"/>
    <s v="Mon"/>
    <n v="24"/>
    <x v="5"/>
    <s v="j1"/>
    <s v="Total hari kerja"/>
    <x v="1"/>
    <n v="14"/>
    <n v="10"/>
    <m/>
    <m/>
  </r>
  <r>
    <d v="2026-06-09T00:00:00"/>
    <s v="Tue"/>
    <n v="24"/>
    <x v="5"/>
    <s v="j1"/>
    <s v="Total hari kerja"/>
    <x v="1"/>
    <n v="6"/>
    <m/>
    <m/>
    <m/>
  </r>
  <r>
    <d v="2026-06-10T00:00:00"/>
    <s v="Wed"/>
    <n v="24"/>
    <x v="5"/>
    <s v="j1"/>
    <s v="Total hari kerja"/>
    <x v="1"/>
    <n v="8"/>
    <n v="9"/>
    <m/>
    <m/>
  </r>
  <r>
    <d v="2026-06-11T00:00:00"/>
    <s v="Thu"/>
    <n v="24"/>
    <x v="5"/>
    <s v="j1"/>
    <s v="Total hari kerja"/>
    <x v="1"/>
    <n v="15"/>
    <n v="9"/>
    <m/>
    <m/>
  </r>
  <r>
    <d v="2026-06-12T00:00:00"/>
    <s v="Fri"/>
    <n v="24"/>
    <x v="5"/>
    <s v="j1"/>
    <s v="Total hari kerja"/>
    <x v="1"/>
    <n v="4"/>
    <n v="6"/>
    <m/>
    <m/>
  </r>
  <r>
    <d v="2026-06-13T00:00:00"/>
    <s v="Sat"/>
    <n v="24"/>
    <x v="5"/>
    <s v="j1"/>
    <s v="Total hari kerja"/>
    <x v="1"/>
    <n v="1"/>
    <n v="4"/>
    <m/>
    <m/>
  </r>
  <r>
    <d v="2026-06-14T00:00:00"/>
    <s v="Sun"/>
    <n v="25"/>
    <x v="5"/>
    <m/>
    <s v=" "/>
    <x v="1"/>
    <m/>
    <m/>
    <m/>
    <m/>
  </r>
  <r>
    <d v="2026-06-15T00:00:00"/>
    <s v="Mon"/>
    <n v="25"/>
    <x v="5"/>
    <s v="j1"/>
    <s v="Total hari kerja"/>
    <x v="1"/>
    <n v="4"/>
    <n v="1"/>
    <m/>
    <m/>
  </r>
  <r>
    <d v="2026-06-16T00:00:00"/>
    <s v="Tue"/>
    <n v="25"/>
    <x v="5"/>
    <s v="j1"/>
    <s v="Total hari kerja"/>
    <x v="1"/>
    <n v="6"/>
    <n v="4"/>
    <m/>
    <m/>
  </r>
  <r>
    <d v="2026-06-17T00:00:00"/>
    <s v="Wed"/>
    <n v="25"/>
    <x v="5"/>
    <s v="j5"/>
    <s v="1/2 HARI"/>
    <x v="1"/>
    <m/>
    <m/>
    <m/>
    <m/>
  </r>
  <r>
    <d v="2026-06-18T00:00:00"/>
    <s v="Thu"/>
    <n v="25"/>
    <x v="5"/>
    <s v="j2"/>
    <s v="Ijin/Sakit/Alfa"/>
    <x v="1"/>
    <m/>
    <m/>
    <m/>
    <m/>
  </r>
  <r>
    <d v="2026-06-19T00:00:00"/>
    <s v="Fri"/>
    <n v="25"/>
    <x v="5"/>
    <s v="j1"/>
    <s v="Total hari kerja"/>
    <x v="1"/>
    <n v="3"/>
    <n v="7"/>
    <m/>
    <m/>
  </r>
  <r>
    <d v="2026-06-20T00:00:00"/>
    <s v="Sat"/>
    <n v="25"/>
    <x v="5"/>
    <s v="j1"/>
    <s v="Total hari kerja"/>
    <x v="1"/>
    <n v="4"/>
    <n v="8"/>
    <m/>
    <m/>
  </r>
  <r>
    <d v="2026-06-21T00:00:00"/>
    <s v="Sun"/>
    <n v="26"/>
    <x v="5"/>
    <m/>
    <s v=" "/>
    <x v="1"/>
    <m/>
    <m/>
    <m/>
    <m/>
  </r>
  <r>
    <d v="2026-06-22T00:00:00"/>
    <s v="Mon"/>
    <n v="26"/>
    <x v="5"/>
    <s v="j1"/>
    <s v="Total hari kerja"/>
    <x v="1"/>
    <n v="0"/>
    <n v="5"/>
    <m/>
    <m/>
  </r>
  <r>
    <d v="2026-06-23T00:00:00"/>
    <s v="Tue"/>
    <n v="26"/>
    <x v="5"/>
    <s v="j1"/>
    <s v="Total hari kerja"/>
    <x v="1"/>
    <n v="4"/>
    <n v="2"/>
    <m/>
    <m/>
  </r>
  <r>
    <d v="2026-06-24T00:00:00"/>
    <s v="Wed"/>
    <n v="26"/>
    <x v="5"/>
    <s v="j1"/>
    <s v="Total hari kerja"/>
    <x v="1"/>
    <n v="1"/>
    <m/>
    <m/>
    <m/>
  </r>
  <r>
    <d v="2026-06-25T00:00:00"/>
    <s v="Thu"/>
    <n v="26"/>
    <x v="5"/>
    <s v="j1"/>
    <s v="Total hari kerja"/>
    <x v="1"/>
    <n v="0"/>
    <n v="3"/>
    <m/>
    <m/>
  </r>
  <r>
    <d v="2026-06-26T00:00:00"/>
    <s v="Fri"/>
    <n v="26"/>
    <x v="5"/>
    <s v="j1"/>
    <s v="Total hari kerja"/>
    <x v="1"/>
    <n v="3"/>
    <n v="3"/>
    <m/>
    <m/>
  </r>
  <r>
    <d v="2026-06-27T00:00:00"/>
    <s v="Sat"/>
    <n v="26"/>
    <x v="5"/>
    <s v="j1"/>
    <s v="Total hari kerja"/>
    <x v="1"/>
    <n v="2"/>
    <n v="7"/>
    <m/>
    <m/>
  </r>
  <r>
    <d v="2026-06-28T00:00:00"/>
    <s v="Sun"/>
    <n v="27"/>
    <x v="5"/>
    <m/>
    <s v=" "/>
    <x v="1"/>
    <m/>
    <m/>
    <m/>
    <m/>
  </r>
  <r>
    <d v="2026-06-29T00:00:00"/>
    <s v="Mon"/>
    <n v="27"/>
    <x v="5"/>
    <s v="j1"/>
    <s v="Total hari kerja"/>
    <x v="1"/>
    <n v="4"/>
    <n v="7"/>
    <m/>
    <m/>
  </r>
  <r>
    <d v="2026-06-30T00:00:00"/>
    <s v="Tue"/>
    <n v="27"/>
    <x v="5"/>
    <s v="j1"/>
    <s v="Total hari kerja"/>
    <x v="1"/>
    <n v="2"/>
    <n v="5"/>
    <m/>
    <m/>
  </r>
  <r>
    <d v="2026-07-01T00:00:00"/>
    <s v="Wed"/>
    <n v="27"/>
    <x v="6"/>
    <s v="j1"/>
    <s v="Total hari kerja"/>
    <x v="1"/>
    <n v="2"/>
    <n v="6"/>
    <m/>
    <m/>
  </r>
  <r>
    <d v="2026-07-02T00:00:00"/>
    <s v="Thu"/>
    <n v="27"/>
    <x v="6"/>
    <s v="j1"/>
    <s v="Total hari kerja"/>
    <x v="1"/>
    <n v="4"/>
    <n v="4"/>
    <m/>
    <m/>
  </r>
  <r>
    <d v="2026-07-03T00:00:00"/>
    <s v="Fri"/>
    <n v="27"/>
    <x v="6"/>
    <s v="j1"/>
    <s v="Total hari kerja"/>
    <x v="1"/>
    <n v="7"/>
    <n v="5"/>
    <m/>
    <m/>
  </r>
  <r>
    <d v="2026-07-04T00:00:00"/>
    <s v="Sat"/>
    <n v="27"/>
    <x v="6"/>
    <s v="j1"/>
    <s v="Total hari kerja"/>
    <x v="1"/>
    <n v="4"/>
    <n v="6"/>
    <m/>
    <m/>
  </r>
  <r>
    <d v="2026-07-05T00:00:00"/>
    <s v="Sun"/>
    <n v="28"/>
    <x v="6"/>
    <m/>
    <s v=" "/>
    <x v="1"/>
    <m/>
    <m/>
    <m/>
    <m/>
  </r>
  <r>
    <d v="2026-07-06T00:00:00"/>
    <s v="Mon"/>
    <n v="28"/>
    <x v="6"/>
    <s v="j2"/>
    <s v="Ijin/Sakit/Alfa"/>
    <x v="1"/>
    <m/>
    <m/>
    <m/>
    <m/>
  </r>
  <r>
    <d v="2026-07-07T00:00:00"/>
    <s v="Tue"/>
    <n v="28"/>
    <x v="6"/>
    <s v="j1"/>
    <s v="Total hari kerja"/>
    <x v="1"/>
    <n v="3"/>
    <n v="4"/>
    <m/>
    <m/>
  </r>
  <r>
    <d v="2026-07-08T00:00:00"/>
    <s v="Wed"/>
    <n v="28"/>
    <x v="6"/>
    <s v="j1"/>
    <s v="Total hari kerja"/>
    <x v="1"/>
    <n v="2"/>
    <n v="4"/>
    <n v="2"/>
    <m/>
  </r>
  <r>
    <d v="2026-07-09T00:00:00"/>
    <s v="Thu"/>
    <n v="28"/>
    <x v="6"/>
    <s v="j1"/>
    <s v="Total hari kerja"/>
    <x v="1"/>
    <n v="3"/>
    <n v="3"/>
    <m/>
    <m/>
  </r>
  <r>
    <d v="2026-07-10T00:00:00"/>
    <s v="Fri"/>
    <n v="28"/>
    <x v="6"/>
    <s v="j1"/>
    <s v="Total hari kerja"/>
    <x v="1"/>
    <m/>
    <m/>
    <m/>
    <m/>
  </r>
  <r>
    <d v="2026-07-11T00:00:00"/>
    <s v="Sat"/>
    <n v="28"/>
    <x v="6"/>
    <s v="j1"/>
    <s v="Total hari kerja"/>
    <x v="1"/>
    <n v="8"/>
    <n v="2"/>
    <m/>
    <m/>
  </r>
  <r>
    <d v="2026-07-12T00:00:00"/>
    <s v="Sun"/>
    <n v="29"/>
    <x v="6"/>
    <m/>
    <s v=" "/>
    <x v="1"/>
    <m/>
    <m/>
    <m/>
    <m/>
  </r>
  <r>
    <d v="2026-07-13T00:00:00"/>
    <s v="Mon"/>
    <n v="29"/>
    <x v="6"/>
    <s v="j1"/>
    <s v="Total hari kerja"/>
    <x v="1"/>
    <n v="9"/>
    <n v="14"/>
    <m/>
    <m/>
  </r>
  <r>
    <d v="2026-07-14T00:00:00"/>
    <s v="Tue"/>
    <n v="29"/>
    <x v="6"/>
    <s v="j1"/>
    <s v="Total hari kerja"/>
    <x v="1"/>
    <n v="18"/>
    <n v="6"/>
    <m/>
    <m/>
  </r>
  <r>
    <d v="2026-07-15T00:00:00"/>
    <s v="Wed"/>
    <n v="29"/>
    <x v="6"/>
    <s v="j1"/>
    <s v="Total hari kerja"/>
    <x v="1"/>
    <n v="10"/>
    <n v="7"/>
    <m/>
    <m/>
  </r>
  <r>
    <d v="2026-07-16T00:00:00"/>
    <s v="Thu"/>
    <n v="29"/>
    <x v="6"/>
    <s v="j1"/>
    <s v="Total hari kerja"/>
    <x v="1"/>
    <n v="6"/>
    <n v="14"/>
    <m/>
    <m/>
  </r>
  <r>
    <d v="2026-07-17T00:00:00"/>
    <s v="Fri"/>
    <n v="29"/>
    <x v="6"/>
    <s v="j1"/>
    <s v="Total hari kerja"/>
    <x v="1"/>
    <n v="9"/>
    <n v="5"/>
    <m/>
    <m/>
  </r>
  <r>
    <d v="2026-07-18T00:00:00"/>
    <s v="Sat"/>
    <n v="29"/>
    <x v="6"/>
    <s v="j1"/>
    <s v="Total hari kerja"/>
    <x v="1"/>
    <n v="7"/>
    <n v="10"/>
    <m/>
    <m/>
  </r>
  <r>
    <d v="2026-07-19T00:00:00"/>
    <s v="Sun"/>
    <n v="30"/>
    <x v="6"/>
    <m/>
    <s v=" "/>
    <x v="1"/>
    <m/>
    <m/>
    <m/>
    <m/>
  </r>
  <r>
    <d v="2026-07-20T00:00:00"/>
    <s v="Mon"/>
    <n v="30"/>
    <x v="6"/>
    <s v="j1"/>
    <s v="Total hari kerja"/>
    <x v="1"/>
    <n v="9"/>
    <n v="5"/>
    <m/>
    <m/>
  </r>
  <r>
    <d v="2026-07-21T00:00:00"/>
    <s v="Tue"/>
    <n v="30"/>
    <x v="6"/>
    <s v="j1"/>
    <s v="Total hari kerja"/>
    <x v="1"/>
    <n v="13"/>
    <n v="8"/>
    <m/>
    <m/>
  </r>
  <r>
    <d v="2026-07-22T00:00:00"/>
    <s v="Wed"/>
    <n v="30"/>
    <x v="6"/>
    <s v="j1"/>
    <s v="Total hari kerja"/>
    <x v="1"/>
    <n v="4"/>
    <n v="1"/>
    <n v="13"/>
    <m/>
  </r>
  <r>
    <d v="2026-07-23T00:00:00"/>
    <s v="Thu"/>
    <n v="30"/>
    <x v="6"/>
    <s v="j1"/>
    <s v="Total hari kerja"/>
    <x v="1"/>
    <n v="11"/>
    <n v="18"/>
    <m/>
    <m/>
  </r>
  <r>
    <d v="2026-07-24T00:00:00"/>
    <s v="Fri"/>
    <n v="30"/>
    <x v="6"/>
    <s v="j1"/>
    <s v="Total hari kerja"/>
    <x v="1"/>
    <n v="12"/>
    <n v="5"/>
    <m/>
    <m/>
  </r>
  <r>
    <d v="2026-07-25T00:00:00"/>
    <s v="Sat"/>
    <n v="30"/>
    <x v="6"/>
    <s v="j1"/>
    <s v="Total hari kerja"/>
    <x v="1"/>
    <n v="1"/>
    <n v="6"/>
    <m/>
    <m/>
  </r>
  <r>
    <d v="2026-07-26T00:00:00"/>
    <s v="Sun"/>
    <n v="31"/>
    <x v="6"/>
    <m/>
    <s v=" "/>
    <x v="1"/>
    <m/>
    <m/>
    <m/>
    <m/>
  </r>
  <r>
    <d v="2026-07-27T00:00:00"/>
    <s v="Mon"/>
    <n v="31"/>
    <x v="6"/>
    <s v="j1"/>
    <s v="Total hari kerja"/>
    <x v="1"/>
    <n v="2"/>
    <n v="8"/>
    <m/>
    <m/>
  </r>
  <r>
    <d v="2026-07-28T00:00:00"/>
    <s v="Tue"/>
    <n v="31"/>
    <x v="6"/>
    <s v="j1"/>
    <s v="Total hari kerja"/>
    <x v="1"/>
    <n v="6"/>
    <n v="8"/>
    <m/>
    <m/>
  </r>
  <r>
    <d v="2026-07-29T00:00:00"/>
    <s v="Wed"/>
    <n v="31"/>
    <x v="6"/>
    <s v="j1"/>
    <s v="Total hari kerja"/>
    <x v="1"/>
    <n v="3"/>
    <n v="11"/>
    <m/>
    <m/>
  </r>
  <r>
    <d v="2026-07-30T00:00:00"/>
    <s v="Thu"/>
    <n v="31"/>
    <x v="6"/>
    <s v="j1"/>
    <s v="Total hari kerja"/>
    <x v="1"/>
    <n v="7"/>
    <n v="5"/>
    <m/>
    <m/>
  </r>
  <r>
    <d v="2026-07-31T00:00:00"/>
    <s v="Fri"/>
    <n v="31"/>
    <x v="6"/>
    <s v="j1"/>
    <s v="Total hari kerja"/>
    <x v="1"/>
    <n v="5"/>
    <n v="4"/>
    <m/>
    <m/>
  </r>
  <r>
    <d v="2026-08-01T00:00:00"/>
    <s v="Sat"/>
    <n v="31"/>
    <x v="7"/>
    <s v="j1"/>
    <s v="Total hari kerja"/>
    <x v="1"/>
    <n v="2"/>
    <n v="5"/>
    <m/>
    <m/>
  </r>
  <r>
    <d v="2026-08-02T00:00:00"/>
    <s v="Sun"/>
    <n v="32"/>
    <x v="7"/>
    <m/>
    <s v=" "/>
    <x v="1"/>
    <m/>
    <m/>
    <m/>
    <m/>
  </r>
  <r>
    <d v="2026-08-03T00:00:00"/>
    <s v="Mon"/>
    <n v="32"/>
    <x v="7"/>
    <s v="j1"/>
    <s v="Total hari kerja"/>
    <x v="1"/>
    <n v="6"/>
    <m/>
    <m/>
    <m/>
  </r>
  <r>
    <d v="2026-08-04T00:00:00"/>
    <s v="Tue"/>
    <n v="32"/>
    <x v="7"/>
    <s v="j1"/>
    <s v="Total hari kerja"/>
    <x v="1"/>
    <n v="1"/>
    <n v="6"/>
    <n v="2"/>
    <m/>
  </r>
  <r>
    <d v="2026-08-05T00:00:00"/>
    <s v="Wed"/>
    <n v="32"/>
    <x v="7"/>
    <s v="j2"/>
    <s v="Ijin/Sakit/Alfa"/>
    <x v="1"/>
    <m/>
    <m/>
    <m/>
    <m/>
  </r>
  <r>
    <d v="2026-08-06T00:00:00"/>
    <s v="Thu"/>
    <n v="32"/>
    <x v="7"/>
    <s v="j1"/>
    <s v="Total hari kerja"/>
    <x v="1"/>
    <n v="6"/>
    <n v="8"/>
    <m/>
    <m/>
  </r>
  <r>
    <d v="2026-08-07T00:00:00"/>
    <s v="Fri"/>
    <n v="32"/>
    <x v="7"/>
    <s v="j1"/>
    <s v="Total hari kerja"/>
    <x v="1"/>
    <n v="6"/>
    <n v="5"/>
    <m/>
    <m/>
  </r>
  <r>
    <d v="2026-08-08T00:00:00"/>
    <s v="Sat"/>
    <n v="32"/>
    <x v="7"/>
    <s v="j1"/>
    <s v="Total hari kerja"/>
    <x v="1"/>
    <n v="2"/>
    <n v="6"/>
    <m/>
    <m/>
  </r>
  <r>
    <d v="2026-08-09T00:00:00"/>
    <s v="Sun"/>
    <n v="33"/>
    <x v="7"/>
    <m/>
    <s v=" "/>
    <x v="1"/>
    <m/>
    <m/>
    <m/>
    <m/>
  </r>
  <r>
    <d v="2026-08-10T00:00:00"/>
    <s v="Mon"/>
    <n v="33"/>
    <x v="7"/>
    <s v="j1"/>
    <s v="Total hari kerja"/>
    <x v="1"/>
    <n v="2"/>
    <n v="9"/>
    <n v="2"/>
    <m/>
  </r>
  <r>
    <d v="2026-08-11T00:00:00"/>
    <s v="Tue"/>
    <n v="33"/>
    <x v="7"/>
    <s v="j1"/>
    <s v="Total hari kerja"/>
    <x v="1"/>
    <n v="2"/>
    <n v="13"/>
    <m/>
    <m/>
  </r>
  <r>
    <d v="2026-08-12T00:00:00"/>
    <s v="Wed"/>
    <n v="33"/>
    <x v="7"/>
    <s v="j1"/>
    <s v="Total hari kerja"/>
    <x v="1"/>
    <n v="1"/>
    <n v="11"/>
    <m/>
    <m/>
  </r>
  <r>
    <d v="2026-08-13T00:00:00"/>
    <s v="Thu"/>
    <n v="33"/>
    <x v="7"/>
    <s v="j1"/>
    <s v="Total hari kerja"/>
    <x v="1"/>
    <n v="3"/>
    <n v="8"/>
    <m/>
    <m/>
  </r>
  <r>
    <d v="2026-08-14T00:00:00"/>
    <s v="Fri"/>
    <n v="33"/>
    <x v="7"/>
    <s v="j1"/>
    <s v="Total hari kerja"/>
    <x v="1"/>
    <n v="6"/>
    <n v="5"/>
    <m/>
    <m/>
  </r>
  <r>
    <d v="2026-08-15T00:00:00"/>
    <s v="Sat"/>
    <n v="33"/>
    <x v="7"/>
    <s v="j1"/>
    <s v="Total hari kerja"/>
    <x v="1"/>
    <n v="1"/>
    <n v="8"/>
    <m/>
    <m/>
  </r>
  <r>
    <d v="2026-08-16T00:00:00"/>
    <s v="Sun"/>
    <n v="34"/>
    <x v="7"/>
    <m/>
    <s v=" "/>
    <x v="1"/>
    <m/>
    <m/>
    <m/>
    <m/>
  </r>
  <r>
    <d v="2026-08-17T00:00:00"/>
    <s v="Mon"/>
    <n v="34"/>
    <x v="7"/>
    <s v="j3"/>
    <s v="MERAH"/>
    <x v="1"/>
    <m/>
    <m/>
    <m/>
    <m/>
  </r>
  <r>
    <d v="2026-08-18T00:00:00"/>
    <s v="Tue"/>
    <n v="34"/>
    <x v="7"/>
    <s v="j1"/>
    <s v="Total hari kerja"/>
    <x v="1"/>
    <n v="7"/>
    <n v="2"/>
    <m/>
    <m/>
  </r>
  <r>
    <d v="2026-08-19T00:00:00"/>
    <s v="Wed"/>
    <n v="34"/>
    <x v="7"/>
    <s v="j1"/>
    <s v="Total hari kerja"/>
    <x v="1"/>
    <n v="1"/>
    <n v="1"/>
    <n v="1"/>
    <m/>
  </r>
  <r>
    <d v="2026-08-20T00:00:00"/>
    <s v="Thu"/>
    <n v="34"/>
    <x v="7"/>
    <s v="j1"/>
    <s v="Total hari kerja"/>
    <x v="1"/>
    <n v="1"/>
    <n v="1"/>
    <m/>
    <m/>
  </r>
  <r>
    <d v="2026-08-21T00:00:00"/>
    <s v="Fri"/>
    <n v="34"/>
    <x v="7"/>
    <s v="j1"/>
    <s v="Total hari kerja"/>
    <x v="1"/>
    <n v="1"/>
    <n v="1"/>
    <m/>
    <m/>
  </r>
  <r>
    <d v="2026-08-22T00:00:00"/>
    <s v="Sat"/>
    <n v="34"/>
    <x v="7"/>
    <s v="j1"/>
    <s v="Total hari kerja"/>
    <x v="1"/>
    <n v="7"/>
    <n v="1"/>
    <n v="4"/>
    <m/>
  </r>
  <r>
    <d v="2026-08-23T00:00:00"/>
    <s v="Sun"/>
    <n v="35"/>
    <x v="7"/>
    <m/>
    <s v=" "/>
    <x v="1"/>
    <m/>
    <m/>
    <m/>
    <m/>
  </r>
  <r>
    <d v="2026-08-24T00:00:00"/>
    <s v="Mon"/>
    <n v="35"/>
    <x v="7"/>
    <s v="j1"/>
    <s v="Total hari kerja"/>
    <x v="1"/>
    <n v="3"/>
    <n v="1"/>
    <m/>
    <m/>
  </r>
  <r>
    <d v="2026-08-25T00:00:00"/>
    <s v="Tue"/>
    <n v="35"/>
    <x v="7"/>
    <s v="j3"/>
    <s v="MERAH"/>
    <x v="1"/>
    <m/>
    <m/>
    <m/>
    <m/>
  </r>
  <r>
    <d v="2026-08-26T00:00:00"/>
    <s v="Wed"/>
    <n v="35"/>
    <x v="7"/>
    <s v="j1"/>
    <s v="Total hari kerja"/>
    <x v="1"/>
    <n v="2"/>
    <m/>
    <m/>
    <m/>
  </r>
  <r>
    <d v="2026-08-27T00:00:00"/>
    <s v="Thu"/>
    <n v="35"/>
    <x v="7"/>
    <s v="j1"/>
    <s v="Total hari kerja"/>
    <x v="1"/>
    <n v="13"/>
    <n v="4"/>
    <m/>
    <m/>
  </r>
  <r>
    <d v="2026-08-28T00:00:00"/>
    <s v="Fri"/>
    <n v="35"/>
    <x v="7"/>
    <s v="j1"/>
    <s v="Total hari kerja"/>
    <x v="1"/>
    <n v="4"/>
    <n v="7"/>
    <m/>
    <m/>
  </r>
  <r>
    <d v="2026-08-29T00:00:00"/>
    <s v="Sat"/>
    <n v="35"/>
    <x v="7"/>
    <s v="j1"/>
    <s v="Total hari kerja"/>
    <x v="1"/>
    <n v="1"/>
    <n v="1"/>
    <m/>
    <m/>
  </r>
  <r>
    <d v="2026-08-30T00:00:00"/>
    <s v="Sun"/>
    <n v="36"/>
    <x v="7"/>
    <m/>
    <s v=" "/>
    <x v="1"/>
    <m/>
    <m/>
    <m/>
    <m/>
  </r>
  <r>
    <d v="2026-08-31T00:00:00"/>
    <s v="Mon"/>
    <n v="36"/>
    <x v="7"/>
    <s v="j1"/>
    <s v="Total hari kerja"/>
    <x v="1"/>
    <n v="4"/>
    <n v="6"/>
    <m/>
    <m/>
  </r>
  <r>
    <d v="2026-09-01T00:00:00"/>
    <s v="Tue"/>
    <n v="36"/>
    <x v="8"/>
    <s v="j1"/>
    <s v="Total hari kerja"/>
    <x v="1"/>
    <n v="2"/>
    <n v="1"/>
    <m/>
    <m/>
  </r>
  <r>
    <d v="2026-09-02T00:00:00"/>
    <s v="Wed"/>
    <n v="36"/>
    <x v="8"/>
    <s v="j1"/>
    <s v="Total hari kerja"/>
    <x v="1"/>
    <n v="4"/>
    <n v="1"/>
    <m/>
    <m/>
  </r>
  <r>
    <d v="2026-09-03T00:00:00"/>
    <s v="Thu"/>
    <n v="36"/>
    <x v="8"/>
    <s v="j1"/>
    <s v="Total hari kerja"/>
    <x v="1"/>
    <n v="3"/>
    <n v="6"/>
    <m/>
    <m/>
  </r>
  <r>
    <d v="2026-09-04T00:00:00"/>
    <s v="Fri"/>
    <n v="36"/>
    <x v="8"/>
    <s v="j1"/>
    <s v="Total hari kerja"/>
    <x v="1"/>
    <n v="3"/>
    <n v="3"/>
    <m/>
    <m/>
  </r>
  <r>
    <d v="2026-09-05T00:00:00"/>
    <s v="Sat"/>
    <n v="36"/>
    <x v="8"/>
    <s v="j1"/>
    <s v="Total hari kerja"/>
    <x v="1"/>
    <n v="4"/>
    <n v="2"/>
    <m/>
    <m/>
  </r>
  <r>
    <d v="2026-09-06T00:00:00"/>
    <s v="Sun"/>
    <n v="37"/>
    <x v="8"/>
    <m/>
    <s v=" "/>
    <x v="1"/>
    <m/>
    <m/>
    <m/>
    <m/>
  </r>
  <r>
    <d v="2026-09-07T00:00:00"/>
    <s v="Mon"/>
    <n v="37"/>
    <x v="8"/>
    <s v="j1"/>
    <s v="Total hari kerja"/>
    <x v="1"/>
    <n v="6"/>
    <n v="3"/>
    <m/>
    <m/>
  </r>
  <r>
    <d v="2026-09-08T00:00:00"/>
    <s v="Tue"/>
    <n v="37"/>
    <x v="8"/>
    <s v="j1"/>
    <s v="Total hari kerja"/>
    <x v="1"/>
    <n v="3"/>
    <m/>
    <m/>
    <m/>
  </r>
  <r>
    <d v="2026-09-09T00:00:00"/>
    <s v="Wed"/>
    <n v="37"/>
    <x v="8"/>
    <s v="j1"/>
    <s v="Total hari kerja"/>
    <x v="1"/>
    <n v="3"/>
    <n v="2"/>
    <m/>
    <m/>
  </r>
  <r>
    <d v="2026-09-10T00:00:00"/>
    <s v="Thu"/>
    <n v="37"/>
    <x v="8"/>
    <s v="j1"/>
    <s v="Total hari kerja"/>
    <x v="1"/>
    <n v="4"/>
    <n v="3"/>
    <n v="6"/>
    <m/>
  </r>
  <r>
    <d v="2026-09-11T00:00:00"/>
    <s v="Fri"/>
    <n v="37"/>
    <x v="8"/>
    <s v="j1"/>
    <s v="Total hari kerja"/>
    <x v="1"/>
    <n v="3"/>
    <n v="11"/>
    <n v="7"/>
    <m/>
  </r>
  <r>
    <d v="2026-09-12T00:00:00"/>
    <s v="Sat"/>
    <n v="37"/>
    <x v="8"/>
    <s v="j1"/>
    <s v="Total hari kerja"/>
    <x v="1"/>
    <n v="3"/>
    <n v="1"/>
    <m/>
    <m/>
  </r>
  <r>
    <d v="2026-09-13T00:00:00"/>
    <s v="Sun"/>
    <n v="38"/>
    <x v="8"/>
    <m/>
    <s v=" "/>
    <x v="1"/>
    <m/>
    <m/>
    <m/>
    <m/>
  </r>
  <r>
    <d v="2026-09-14T00:00:00"/>
    <s v="Mon"/>
    <n v="38"/>
    <x v="8"/>
    <s v="j1"/>
    <s v="Total hari kerja"/>
    <x v="1"/>
    <n v="1"/>
    <n v="3"/>
    <m/>
    <m/>
  </r>
  <r>
    <d v="2026-09-15T00:00:00"/>
    <s v="Tue"/>
    <n v="38"/>
    <x v="8"/>
    <s v="j1"/>
    <s v="Total hari kerja"/>
    <x v="1"/>
    <n v="5"/>
    <n v="2"/>
    <m/>
    <m/>
  </r>
  <r>
    <d v="2026-09-16T00:00:00"/>
    <s v="Wed"/>
    <n v="38"/>
    <x v="8"/>
    <s v="j1"/>
    <s v="Total hari kerja"/>
    <x v="1"/>
    <n v="9"/>
    <n v="9"/>
    <m/>
    <m/>
  </r>
  <r>
    <d v="2026-09-17T00:00:00"/>
    <s v="Thu"/>
    <n v="38"/>
    <x v="8"/>
    <s v="j1"/>
    <s v="Total hari kerja"/>
    <x v="1"/>
    <n v="1"/>
    <n v="3"/>
    <m/>
    <m/>
  </r>
  <r>
    <d v="2026-09-18T00:00:00"/>
    <s v="Fri"/>
    <n v="38"/>
    <x v="8"/>
    <s v="j1"/>
    <s v="Total hari kerja"/>
    <x v="1"/>
    <n v="6"/>
    <n v="2"/>
    <m/>
    <m/>
  </r>
  <r>
    <d v="2026-09-19T00:00:00"/>
    <s v="Sat"/>
    <n v="38"/>
    <x v="8"/>
    <s v="j1"/>
    <s v="Total hari kerja"/>
    <x v="1"/>
    <n v="3"/>
    <n v="2"/>
    <n v="3"/>
    <m/>
  </r>
  <r>
    <d v="2026-09-20T00:00:00"/>
    <s v="Sun"/>
    <n v="39"/>
    <x v="8"/>
    <m/>
    <s v=" "/>
    <x v="1"/>
    <m/>
    <m/>
    <m/>
    <m/>
  </r>
  <r>
    <d v="2026-09-21T00:00:00"/>
    <s v="Mon"/>
    <n v="39"/>
    <x v="8"/>
    <s v="j1"/>
    <s v="Total hari kerja"/>
    <x v="1"/>
    <n v="1"/>
    <n v="1"/>
    <n v="2"/>
    <m/>
  </r>
  <r>
    <d v="2026-09-22T00:00:00"/>
    <s v="Tue"/>
    <n v="39"/>
    <x v="8"/>
    <s v="j1"/>
    <s v="Total hari kerja"/>
    <x v="1"/>
    <n v="7"/>
    <n v="3"/>
    <m/>
    <m/>
  </r>
  <r>
    <d v="2026-09-23T00:00:00"/>
    <s v="Wed"/>
    <n v="39"/>
    <x v="8"/>
    <s v="j1"/>
    <s v="Total hari kerja"/>
    <x v="1"/>
    <n v="2"/>
    <n v="1"/>
    <m/>
    <m/>
  </r>
  <r>
    <d v="2026-09-24T00:00:00"/>
    <s v="Thu"/>
    <n v="39"/>
    <x v="8"/>
    <s v="j1"/>
    <s v="Total hari kerja"/>
    <x v="1"/>
    <n v="8"/>
    <n v="3"/>
    <m/>
    <m/>
  </r>
  <r>
    <d v="2026-09-25T00:00:00"/>
    <s v="Fri"/>
    <n v="39"/>
    <x v="8"/>
    <s v="j1"/>
    <s v="Total hari kerja"/>
    <x v="1"/>
    <n v="4"/>
    <n v="4"/>
    <m/>
    <m/>
  </r>
  <r>
    <d v="2026-09-26T00:00:00"/>
    <s v="Sat"/>
    <n v="39"/>
    <x v="8"/>
    <s v="j1"/>
    <s v="Total hari kerja"/>
    <x v="1"/>
    <n v="8"/>
    <n v="4"/>
    <m/>
    <m/>
  </r>
  <r>
    <d v="2026-09-27T00:00:00"/>
    <s v="Sun"/>
    <n v="40"/>
    <x v="8"/>
    <m/>
    <s v=" "/>
    <x v="1"/>
    <m/>
    <m/>
    <m/>
    <m/>
  </r>
  <r>
    <d v="2026-09-28T00:00:00"/>
    <s v="Mon"/>
    <n v="40"/>
    <x v="8"/>
    <s v="j1"/>
    <s v="Total hari kerja"/>
    <x v="1"/>
    <n v="5"/>
    <n v="2"/>
    <m/>
    <m/>
  </r>
  <r>
    <d v="2026-09-29T00:00:00"/>
    <s v="Tue"/>
    <n v="40"/>
    <x v="8"/>
    <s v="j1"/>
    <s v="Total hari kerja"/>
    <x v="1"/>
    <m/>
    <m/>
    <m/>
    <m/>
  </r>
  <r>
    <d v="2026-09-30T00:00:00"/>
    <s v="Wed"/>
    <n v="40"/>
    <x v="8"/>
    <s v="j1"/>
    <s v="Total hari kerja"/>
    <x v="1"/>
    <m/>
    <m/>
    <m/>
    <m/>
  </r>
  <r>
    <d v="2026-10-01T00:00:00"/>
    <s v="Thu"/>
    <n v="40"/>
    <x v="9"/>
    <m/>
    <s v=" "/>
    <x v="1"/>
    <m/>
    <m/>
    <m/>
    <m/>
  </r>
  <r>
    <d v="2026-10-02T00:00:00"/>
    <s v="Fri"/>
    <n v="40"/>
    <x v="9"/>
    <m/>
    <s v=" "/>
    <x v="1"/>
    <m/>
    <m/>
    <m/>
    <m/>
  </r>
  <r>
    <d v="2026-10-03T00:00:00"/>
    <s v="Sat"/>
    <n v="40"/>
    <x v="9"/>
    <m/>
    <s v=" "/>
    <x v="1"/>
    <m/>
    <m/>
    <m/>
    <m/>
  </r>
  <r>
    <d v="2026-10-04T00:00:00"/>
    <s v="Sun"/>
    <n v="41"/>
    <x v="9"/>
    <m/>
    <s v=" "/>
    <x v="1"/>
    <m/>
    <m/>
    <m/>
    <m/>
  </r>
  <r>
    <d v="2026-10-05T00:00:00"/>
    <s v="Mon"/>
    <n v="41"/>
    <x v="9"/>
    <m/>
    <s v=" "/>
    <x v="1"/>
    <m/>
    <m/>
    <m/>
    <m/>
  </r>
  <r>
    <d v="2026-10-06T00:00:00"/>
    <s v="Tue"/>
    <n v="41"/>
    <x v="9"/>
    <m/>
    <s v=" "/>
    <x v="1"/>
    <m/>
    <m/>
    <m/>
    <m/>
  </r>
  <r>
    <d v="2026-10-07T00:00:00"/>
    <s v="Wed"/>
    <n v="41"/>
    <x v="9"/>
    <m/>
    <s v=" "/>
    <x v="1"/>
    <m/>
    <m/>
    <m/>
    <m/>
  </r>
  <r>
    <d v="2026-10-08T00:00:00"/>
    <s v="Thu"/>
    <n v="41"/>
    <x v="9"/>
    <m/>
    <s v=" "/>
    <x v="1"/>
    <m/>
    <m/>
    <m/>
    <m/>
  </r>
  <r>
    <d v="2026-10-09T00:00:00"/>
    <s v="Fri"/>
    <n v="41"/>
    <x v="9"/>
    <m/>
    <s v=" "/>
    <x v="1"/>
    <m/>
    <m/>
    <m/>
    <m/>
  </r>
  <r>
    <d v="2026-10-10T00:00:00"/>
    <s v="Sat"/>
    <n v="41"/>
    <x v="9"/>
    <m/>
    <s v=" "/>
    <x v="1"/>
    <m/>
    <m/>
    <m/>
    <m/>
  </r>
  <r>
    <d v="2026-10-11T00:00:00"/>
    <s v="Sun"/>
    <n v="42"/>
    <x v="9"/>
    <m/>
    <s v=" "/>
    <x v="1"/>
    <m/>
    <m/>
    <m/>
    <m/>
  </r>
  <r>
    <d v="2026-10-12T00:00:00"/>
    <s v="Mon"/>
    <n v="42"/>
    <x v="9"/>
    <m/>
    <s v=" "/>
    <x v="1"/>
    <m/>
    <m/>
    <m/>
    <m/>
  </r>
  <r>
    <d v="2026-10-13T00:00:00"/>
    <s v="Tue"/>
    <n v="42"/>
    <x v="9"/>
    <m/>
    <s v=" "/>
    <x v="1"/>
    <m/>
    <m/>
    <m/>
    <m/>
  </r>
  <r>
    <d v="2026-10-14T00:00:00"/>
    <s v="Wed"/>
    <n v="42"/>
    <x v="9"/>
    <m/>
    <s v=" "/>
    <x v="1"/>
    <m/>
    <m/>
    <m/>
    <m/>
  </r>
  <r>
    <d v="2026-10-15T00:00:00"/>
    <s v="Thu"/>
    <n v="42"/>
    <x v="9"/>
    <m/>
    <s v=" "/>
    <x v="1"/>
    <m/>
    <m/>
    <m/>
    <m/>
  </r>
  <r>
    <d v="2026-10-16T00:00:00"/>
    <s v="Fri"/>
    <n v="42"/>
    <x v="9"/>
    <m/>
    <s v=" "/>
    <x v="1"/>
    <m/>
    <m/>
    <m/>
    <m/>
  </r>
  <r>
    <d v="2026-10-17T00:00:00"/>
    <s v="Sat"/>
    <n v="42"/>
    <x v="9"/>
    <m/>
    <s v=" "/>
    <x v="1"/>
    <m/>
    <m/>
    <m/>
    <m/>
  </r>
  <r>
    <d v="2026-10-18T00:00:00"/>
    <s v="Sun"/>
    <n v="43"/>
    <x v="9"/>
    <m/>
    <s v=" "/>
    <x v="1"/>
    <m/>
    <m/>
    <m/>
    <m/>
  </r>
  <r>
    <d v="2026-10-19T00:00:00"/>
    <s v="Mon"/>
    <n v="43"/>
    <x v="9"/>
    <m/>
    <s v=" "/>
    <x v="1"/>
    <m/>
    <m/>
    <m/>
    <m/>
  </r>
  <r>
    <d v="2026-10-20T00:00:00"/>
    <s v="Tue"/>
    <n v="43"/>
    <x v="9"/>
    <m/>
    <s v=" "/>
    <x v="1"/>
    <m/>
    <m/>
    <m/>
    <m/>
  </r>
  <r>
    <d v="2026-10-21T00:00:00"/>
    <s v="Wed"/>
    <n v="43"/>
    <x v="9"/>
    <m/>
    <s v=" "/>
    <x v="1"/>
    <m/>
    <m/>
    <m/>
    <m/>
  </r>
  <r>
    <d v="2026-10-22T00:00:00"/>
    <s v="Thu"/>
    <n v="43"/>
    <x v="9"/>
    <m/>
    <s v=" "/>
    <x v="1"/>
    <m/>
    <m/>
    <m/>
    <m/>
  </r>
  <r>
    <d v="2026-10-23T00:00:00"/>
    <s v="Fri"/>
    <n v="43"/>
    <x v="9"/>
    <m/>
    <s v=" "/>
    <x v="1"/>
    <m/>
    <m/>
    <m/>
    <m/>
  </r>
  <r>
    <d v="2026-10-24T00:00:00"/>
    <s v="Sat"/>
    <n v="43"/>
    <x v="9"/>
    <m/>
    <s v=" "/>
    <x v="1"/>
    <m/>
    <m/>
    <m/>
    <m/>
  </r>
  <r>
    <d v="2026-10-25T00:00:00"/>
    <s v="Sun"/>
    <n v="44"/>
    <x v="9"/>
    <m/>
    <s v=" "/>
    <x v="1"/>
    <m/>
    <m/>
    <m/>
    <m/>
  </r>
  <r>
    <d v="2026-10-26T00:00:00"/>
    <s v="Mon"/>
    <n v="44"/>
    <x v="9"/>
    <m/>
    <s v=" "/>
    <x v="1"/>
    <m/>
    <m/>
    <m/>
    <m/>
  </r>
  <r>
    <d v="2026-10-27T00:00:00"/>
    <s v="Tue"/>
    <n v="44"/>
    <x v="9"/>
    <m/>
    <s v=" "/>
    <x v="1"/>
    <m/>
    <m/>
    <m/>
    <m/>
  </r>
  <r>
    <d v="2026-10-28T00:00:00"/>
    <s v="Wed"/>
    <n v="44"/>
    <x v="9"/>
    <m/>
    <s v=" "/>
    <x v="1"/>
    <m/>
    <m/>
    <m/>
    <m/>
  </r>
  <r>
    <d v="2026-10-29T00:00:00"/>
    <s v="Thu"/>
    <n v="44"/>
    <x v="9"/>
    <m/>
    <s v=" "/>
    <x v="1"/>
    <m/>
    <m/>
    <m/>
    <m/>
  </r>
  <r>
    <d v="2026-10-30T00:00:00"/>
    <s v="Fri"/>
    <n v="44"/>
    <x v="9"/>
    <m/>
    <s v=" "/>
    <x v="1"/>
    <m/>
    <m/>
    <m/>
    <m/>
  </r>
  <r>
    <d v="2026-10-31T00:00:00"/>
    <s v="Sat"/>
    <n v="44"/>
    <x v="9"/>
    <m/>
    <s v=" "/>
    <x v="1"/>
    <m/>
    <m/>
    <m/>
    <m/>
  </r>
  <r>
    <d v="2026-11-01T00:00:00"/>
    <s v="Sun"/>
    <n v="45"/>
    <x v="10"/>
    <m/>
    <s v=" "/>
    <x v="1"/>
    <m/>
    <m/>
    <m/>
    <m/>
  </r>
  <r>
    <d v="2026-11-02T00:00:00"/>
    <s v="Mon"/>
    <n v="45"/>
    <x v="10"/>
    <m/>
    <s v=" "/>
    <x v="1"/>
    <m/>
    <m/>
    <m/>
    <m/>
  </r>
  <r>
    <d v="2026-11-03T00:00:00"/>
    <s v="Tue"/>
    <n v="45"/>
    <x v="10"/>
    <m/>
    <s v=" "/>
    <x v="1"/>
    <m/>
    <m/>
    <m/>
    <m/>
  </r>
  <r>
    <d v="2026-11-04T00:00:00"/>
    <s v="Wed"/>
    <n v="45"/>
    <x v="10"/>
    <m/>
    <s v=" "/>
    <x v="1"/>
    <m/>
    <m/>
    <m/>
    <m/>
  </r>
  <r>
    <d v="2026-11-05T00:00:00"/>
    <s v="Thu"/>
    <n v="45"/>
    <x v="10"/>
    <m/>
    <s v=" "/>
    <x v="1"/>
    <m/>
    <m/>
    <m/>
    <m/>
  </r>
  <r>
    <d v="2026-11-06T00:00:00"/>
    <s v="Fri"/>
    <n v="45"/>
    <x v="10"/>
    <m/>
    <s v=" "/>
    <x v="1"/>
    <m/>
    <m/>
    <m/>
    <m/>
  </r>
  <r>
    <d v="2026-11-07T00:00:00"/>
    <s v="Sat"/>
    <n v="45"/>
    <x v="10"/>
    <m/>
    <s v=" "/>
    <x v="1"/>
    <m/>
    <m/>
    <m/>
    <m/>
  </r>
  <r>
    <d v="2026-11-08T00:00:00"/>
    <s v="Sun"/>
    <n v="46"/>
    <x v="10"/>
    <m/>
    <s v=" "/>
    <x v="1"/>
    <m/>
    <m/>
    <m/>
    <m/>
  </r>
  <r>
    <d v="2026-11-09T00:00:00"/>
    <s v="Mon"/>
    <n v="46"/>
    <x v="10"/>
    <m/>
    <s v=" "/>
    <x v="1"/>
    <m/>
    <m/>
    <m/>
    <m/>
  </r>
  <r>
    <d v="2026-11-10T00:00:00"/>
    <s v="Tue"/>
    <n v="46"/>
    <x v="10"/>
    <m/>
    <s v=" "/>
    <x v="1"/>
    <m/>
    <m/>
    <m/>
    <m/>
  </r>
  <r>
    <d v="2026-11-11T00:00:00"/>
    <s v="Wed"/>
    <n v="46"/>
    <x v="10"/>
    <m/>
    <s v=" "/>
    <x v="1"/>
    <m/>
    <m/>
    <m/>
    <m/>
  </r>
  <r>
    <d v="2026-11-12T00:00:00"/>
    <s v="Thu"/>
    <n v="46"/>
    <x v="10"/>
    <m/>
    <s v=" "/>
    <x v="1"/>
    <m/>
    <m/>
    <m/>
    <m/>
  </r>
  <r>
    <d v="2026-11-13T00:00:00"/>
    <s v="Fri"/>
    <n v="46"/>
    <x v="10"/>
    <m/>
    <s v=" "/>
    <x v="1"/>
    <m/>
    <m/>
    <m/>
    <m/>
  </r>
  <r>
    <d v="2026-11-14T00:00:00"/>
    <s v="Sat"/>
    <n v="46"/>
    <x v="10"/>
    <m/>
    <s v=" "/>
    <x v="1"/>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x v="0"/>
    <s v="Sun"/>
    <n v="6"/>
    <x v="0"/>
    <x v="0"/>
    <x v="0"/>
    <x v="0"/>
    <m/>
  </r>
  <r>
    <x v="1"/>
    <s v="Mon"/>
    <n v="6"/>
    <x v="0"/>
    <x v="1"/>
    <x v="1"/>
    <x v="0"/>
    <m/>
  </r>
  <r>
    <x v="2"/>
    <s v="Tue"/>
    <n v="6"/>
    <x v="0"/>
    <x v="1"/>
    <x v="1"/>
    <x v="0"/>
    <m/>
  </r>
  <r>
    <x v="3"/>
    <s v="Wed"/>
    <n v="6"/>
    <x v="0"/>
    <x v="1"/>
    <x v="1"/>
    <x v="0"/>
    <m/>
  </r>
  <r>
    <x v="4"/>
    <s v="Thu"/>
    <n v="6"/>
    <x v="0"/>
    <x v="1"/>
    <x v="1"/>
    <x v="0"/>
    <m/>
  </r>
  <r>
    <x v="5"/>
    <s v="Fri"/>
    <n v="6"/>
    <x v="0"/>
    <x v="1"/>
    <x v="1"/>
    <x v="0"/>
    <m/>
  </r>
  <r>
    <x v="6"/>
    <s v="Sat"/>
    <n v="6"/>
    <x v="0"/>
    <x v="1"/>
    <x v="1"/>
    <x v="0"/>
    <m/>
  </r>
  <r>
    <x v="7"/>
    <s v="Sun"/>
    <n v="7"/>
    <x v="0"/>
    <x v="0"/>
    <x v="0"/>
    <x v="0"/>
    <m/>
  </r>
  <r>
    <x v="8"/>
    <s v="Mon"/>
    <n v="7"/>
    <x v="0"/>
    <x v="1"/>
    <x v="1"/>
    <x v="0"/>
    <m/>
  </r>
  <r>
    <x v="9"/>
    <s v="Tue"/>
    <n v="7"/>
    <x v="0"/>
    <x v="1"/>
    <x v="1"/>
    <x v="0"/>
    <m/>
  </r>
  <r>
    <x v="10"/>
    <s v="Wed"/>
    <n v="7"/>
    <x v="0"/>
    <x v="1"/>
    <x v="1"/>
    <x v="0"/>
    <m/>
  </r>
  <r>
    <x v="11"/>
    <s v="Thu"/>
    <n v="7"/>
    <x v="0"/>
    <x v="1"/>
    <x v="1"/>
    <x v="0"/>
    <m/>
  </r>
  <r>
    <x v="12"/>
    <s v="Fri"/>
    <n v="7"/>
    <x v="0"/>
    <x v="1"/>
    <x v="1"/>
    <x v="0"/>
    <m/>
  </r>
  <r>
    <x v="13"/>
    <s v="Sat"/>
    <n v="7"/>
    <x v="0"/>
    <x v="1"/>
    <x v="1"/>
    <x v="0"/>
    <m/>
  </r>
  <r>
    <x v="14"/>
    <s v="Sun"/>
    <n v="8"/>
    <x v="0"/>
    <x v="0"/>
    <x v="0"/>
    <x v="0"/>
    <m/>
  </r>
  <r>
    <x v="15"/>
    <s v="Mon"/>
    <n v="8"/>
    <x v="0"/>
    <x v="1"/>
    <x v="1"/>
    <x v="0"/>
    <m/>
  </r>
  <r>
    <x v="16"/>
    <s v="Tue"/>
    <n v="8"/>
    <x v="0"/>
    <x v="1"/>
    <x v="1"/>
    <x v="0"/>
    <m/>
  </r>
  <r>
    <x v="17"/>
    <s v="Wed"/>
    <n v="8"/>
    <x v="0"/>
    <x v="1"/>
    <x v="1"/>
    <x v="0"/>
    <m/>
  </r>
  <r>
    <x v="18"/>
    <s v="Thu"/>
    <n v="8"/>
    <x v="0"/>
    <x v="1"/>
    <x v="1"/>
    <x v="0"/>
    <m/>
  </r>
  <r>
    <x v="19"/>
    <s v="Fri"/>
    <n v="8"/>
    <x v="0"/>
    <x v="1"/>
    <x v="1"/>
    <x v="0"/>
    <m/>
  </r>
  <r>
    <x v="20"/>
    <s v="Sat"/>
    <n v="8"/>
    <x v="0"/>
    <x v="1"/>
    <x v="1"/>
    <x v="0"/>
    <m/>
  </r>
  <r>
    <x v="21"/>
    <s v="Sun"/>
    <n v="9"/>
    <x v="0"/>
    <x v="0"/>
    <x v="0"/>
    <x v="0"/>
    <m/>
  </r>
  <r>
    <x v="22"/>
    <s v="Mon"/>
    <n v="9"/>
    <x v="0"/>
    <x v="1"/>
    <x v="1"/>
    <x v="0"/>
    <m/>
  </r>
  <r>
    <x v="23"/>
    <s v="Tue"/>
    <n v="9"/>
    <x v="0"/>
    <x v="1"/>
    <x v="1"/>
    <x v="0"/>
    <m/>
  </r>
  <r>
    <x v="24"/>
    <s v="Wed"/>
    <n v="9"/>
    <x v="0"/>
    <x v="1"/>
    <x v="1"/>
    <x v="0"/>
    <m/>
  </r>
  <r>
    <x v="25"/>
    <s v="Thu"/>
    <n v="9"/>
    <x v="0"/>
    <x v="1"/>
    <x v="1"/>
    <x v="0"/>
    <m/>
  </r>
  <r>
    <x v="26"/>
    <s v="Fri"/>
    <n v="9"/>
    <x v="0"/>
    <x v="1"/>
    <x v="1"/>
    <x v="0"/>
    <m/>
  </r>
  <r>
    <x v="27"/>
    <s v="Sat"/>
    <n v="9"/>
    <x v="0"/>
    <x v="1"/>
    <x v="1"/>
    <x v="0"/>
    <m/>
  </r>
  <r>
    <x v="28"/>
    <s v="Sun"/>
    <n v="10"/>
    <x v="1"/>
    <x v="0"/>
    <x v="0"/>
    <x v="0"/>
    <m/>
  </r>
  <r>
    <x v="29"/>
    <s v="Mon"/>
    <n v="10"/>
    <x v="1"/>
    <x v="1"/>
    <x v="1"/>
    <x v="0"/>
    <m/>
  </r>
  <r>
    <x v="30"/>
    <s v="Tue"/>
    <n v="10"/>
    <x v="1"/>
    <x v="1"/>
    <x v="1"/>
    <x v="0"/>
    <m/>
  </r>
  <r>
    <x v="31"/>
    <s v="Wed"/>
    <n v="10"/>
    <x v="1"/>
    <x v="1"/>
    <x v="1"/>
    <x v="0"/>
    <m/>
  </r>
  <r>
    <x v="32"/>
    <s v="Thu"/>
    <n v="10"/>
    <x v="1"/>
    <x v="1"/>
    <x v="1"/>
    <x v="0"/>
    <m/>
  </r>
  <r>
    <x v="33"/>
    <s v="Fri"/>
    <n v="10"/>
    <x v="1"/>
    <x v="1"/>
    <x v="1"/>
    <x v="0"/>
    <n v="1"/>
  </r>
  <r>
    <x v="34"/>
    <s v="Sat"/>
    <n v="10"/>
    <x v="1"/>
    <x v="1"/>
    <x v="1"/>
    <x v="0"/>
    <n v="1"/>
  </r>
  <r>
    <x v="35"/>
    <s v="Sun"/>
    <n v="11"/>
    <x v="1"/>
    <x v="0"/>
    <x v="0"/>
    <x v="0"/>
    <m/>
  </r>
  <r>
    <x v="36"/>
    <s v="Mon"/>
    <n v="11"/>
    <x v="1"/>
    <x v="1"/>
    <x v="1"/>
    <x v="0"/>
    <n v="1"/>
  </r>
  <r>
    <x v="37"/>
    <s v="Tue"/>
    <n v="11"/>
    <x v="1"/>
    <x v="1"/>
    <x v="1"/>
    <x v="0"/>
    <n v="1"/>
  </r>
  <r>
    <x v="38"/>
    <s v="Wed"/>
    <n v="11"/>
    <x v="1"/>
    <x v="1"/>
    <x v="1"/>
    <x v="0"/>
    <n v="1"/>
  </r>
  <r>
    <x v="39"/>
    <s v="Thu"/>
    <n v="11"/>
    <x v="1"/>
    <x v="1"/>
    <x v="1"/>
    <x v="0"/>
    <n v="1"/>
  </r>
  <r>
    <x v="40"/>
    <s v="Fri"/>
    <n v="11"/>
    <x v="1"/>
    <x v="1"/>
    <x v="1"/>
    <x v="0"/>
    <n v="1"/>
  </r>
  <r>
    <x v="41"/>
    <s v="Sat"/>
    <n v="11"/>
    <x v="1"/>
    <x v="1"/>
    <x v="1"/>
    <x v="0"/>
    <n v="1"/>
  </r>
  <r>
    <x v="42"/>
    <s v="Sun"/>
    <n v="12"/>
    <x v="1"/>
    <x v="0"/>
    <x v="0"/>
    <x v="0"/>
    <m/>
  </r>
  <r>
    <x v="43"/>
    <s v="Mon"/>
    <n v="12"/>
    <x v="1"/>
    <x v="1"/>
    <x v="1"/>
    <x v="0"/>
    <n v="1"/>
  </r>
  <r>
    <x v="44"/>
    <s v="Tue"/>
    <n v="12"/>
    <x v="1"/>
    <x v="1"/>
    <x v="1"/>
    <x v="0"/>
    <n v="1"/>
  </r>
  <r>
    <x v="45"/>
    <s v="Wed"/>
    <n v="12"/>
    <x v="1"/>
    <x v="1"/>
    <x v="1"/>
    <x v="0"/>
    <n v="1"/>
  </r>
  <r>
    <x v="46"/>
    <s v="Thu"/>
    <n v="12"/>
    <x v="1"/>
    <x v="1"/>
    <x v="1"/>
    <x v="0"/>
    <n v="1"/>
  </r>
  <r>
    <x v="47"/>
    <s v="Fri"/>
    <n v="12"/>
    <x v="1"/>
    <x v="0"/>
    <x v="0"/>
    <x v="0"/>
    <m/>
  </r>
  <r>
    <x v="48"/>
    <s v="Sat"/>
    <n v="12"/>
    <x v="1"/>
    <x v="0"/>
    <x v="0"/>
    <x v="0"/>
    <m/>
  </r>
  <r>
    <x v="49"/>
    <s v="Sun"/>
    <n v="13"/>
    <x v="1"/>
    <x v="0"/>
    <x v="0"/>
    <x v="0"/>
    <m/>
  </r>
  <r>
    <x v="50"/>
    <s v="Mon"/>
    <n v="13"/>
    <x v="1"/>
    <x v="0"/>
    <x v="0"/>
    <x v="0"/>
    <m/>
  </r>
  <r>
    <x v="51"/>
    <s v="Tue"/>
    <n v="13"/>
    <x v="1"/>
    <x v="0"/>
    <x v="0"/>
    <x v="0"/>
    <m/>
  </r>
  <r>
    <x v="52"/>
    <s v="Wed"/>
    <n v="13"/>
    <x v="1"/>
    <x v="0"/>
    <x v="0"/>
    <x v="0"/>
    <m/>
  </r>
  <r>
    <x v="53"/>
    <s v="Thu"/>
    <n v="13"/>
    <x v="1"/>
    <x v="1"/>
    <x v="1"/>
    <x v="0"/>
    <n v="4"/>
  </r>
  <r>
    <x v="54"/>
    <s v="Fri"/>
    <n v="13"/>
    <x v="1"/>
    <x v="1"/>
    <x v="1"/>
    <x v="0"/>
    <n v="1"/>
  </r>
  <r>
    <x v="55"/>
    <s v="Sat"/>
    <n v="13"/>
    <x v="1"/>
    <x v="1"/>
    <x v="1"/>
    <x v="0"/>
    <n v="1"/>
  </r>
  <r>
    <x v="56"/>
    <s v="Sun"/>
    <n v="14"/>
    <x v="1"/>
    <x v="0"/>
    <x v="0"/>
    <x v="0"/>
    <m/>
  </r>
  <r>
    <x v="57"/>
    <s v="Mon"/>
    <n v="14"/>
    <x v="1"/>
    <x v="1"/>
    <x v="1"/>
    <x v="0"/>
    <n v="3"/>
  </r>
  <r>
    <x v="58"/>
    <s v="Tue"/>
    <n v="14"/>
    <x v="1"/>
    <x v="1"/>
    <x v="1"/>
    <x v="0"/>
    <n v="3"/>
  </r>
  <r>
    <x v="59"/>
    <s v="Wed"/>
    <n v="14"/>
    <x v="2"/>
    <x v="1"/>
    <x v="1"/>
    <x v="0"/>
    <n v="4"/>
  </r>
  <r>
    <x v="60"/>
    <s v="Thu"/>
    <n v="14"/>
    <x v="2"/>
    <x v="1"/>
    <x v="1"/>
    <x v="0"/>
    <n v="3"/>
  </r>
  <r>
    <x v="61"/>
    <s v="Fri"/>
    <n v="14"/>
    <x v="2"/>
    <x v="1"/>
    <x v="1"/>
    <x v="0"/>
    <n v="5"/>
  </r>
  <r>
    <x v="62"/>
    <s v="Sat"/>
    <n v="14"/>
    <x v="2"/>
    <x v="1"/>
    <x v="1"/>
    <x v="0"/>
    <n v="5"/>
  </r>
  <r>
    <x v="63"/>
    <s v="Sun"/>
    <n v="15"/>
    <x v="2"/>
    <x v="0"/>
    <x v="0"/>
    <x v="0"/>
    <m/>
  </r>
  <r>
    <x v="64"/>
    <s v="Mon"/>
    <n v="15"/>
    <x v="2"/>
    <x v="1"/>
    <x v="1"/>
    <x v="0"/>
    <n v="5"/>
  </r>
  <r>
    <x v="65"/>
    <s v="Tue"/>
    <n v="15"/>
    <x v="2"/>
    <x v="1"/>
    <x v="1"/>
    <x v="0"/>
    <n v="5"/>
  </r>
  <r>
    <x v="66"/>
    <s v="Wed"/>
    <n v="15"/>
    <x v="2"/>
    <x v="1"/>
    <x v="1"/>
    <x v="0"/>
    <n v="5"/>
  </r>
  <r>
    <x v="67"/>
    <s v="Thu"/>
    <n v="15"/>
    <x v="2"/>
    <x v="1"/>
    <x v="1"/>
    <x v="0"/>
    <n v="5"/>
  </r>
  <r>
    <x v="68"/>
    <s v="Fri"/>
    <n v="15"/>
    <x v="2"/>
    <x v="1"/>
    <x v="1"/>
    <x v="0"/>
    <n v="5"/>
  </r>
  <r>
    <x v="69"/>
    <s v="Sat"/>
    <n v="15"/>
    <x v="2"/>
    <x v="1"/>
    <x v="1"/>
    <x v="0"/>
    <n v="4.5"/>
  </r>
  <r>
    <x v="70"/>
    <s v="Sun"/>
    <n v="16"/>
    <x v="2"/>
    <x v="0"/>
    <x v="0"/>
    <x v="0"/>
    <m/>
  </r>
  <r>
    <x v="71"/>
    <s v="Mon"/>
    <n v="16"/>
    <x v="2"/>
    <x v="1"/>
    <x v="1"/>
    <x v="0"/>
    <n v="5"/>
  </r>
  <r>
    <x v="72"/>
    <s v="Tue"/>
    <n v="16"/>
    <x v="2"/>
    <x v="1"/>
    <x v="1"/>
    <x v="0"/>
    <n v="5"/>
  </r>
  <r>
    <x v="73"/>
    <s v="Wed"/>
    <n v="16"/>
    <x v="2"/>
    <x v="1"/>
    <x v="1"/>
    <x v="0"/>
    <n v="5"/>
  </r>
  <r>
    <x v="74"/>
    <s v="Thu"/>
    <n v="16"/>
    <x v="2"/>
    <x v="1"/>
    <x v="1"/>
    <x v="0"/>
    <n v="5"/>
  </r>
  <r>
    <x v="75"/>
    <s v="Fri"/>
    <n v="16"/>
    <x v="2"/>
    <x v="1"/>
    <x v="1"/>
    <x v="0"/>
    <n v="4"/>
  </r>
  <r>
    <x v="76"/>
    <s v="Sat"/>
    <n v="16"/>
    <x v="2"/>
    <x v="1"/>
    <x v="1"/>
    <x v="0"/>
    <n v="3"/>
  </r>
  <r>
    <x v="77"/>
    <s v="Sun"/>
    <n v="17"/>
    <x v="2"/>
    <x v="0"/>
    <x v="0"/>
    <x v="0"/>
    <m/>
  </r>
  <r>
    <x v="78"/>
    <s v="Mon"/>
    <n v="17"/>
    <x v="2"/>
    <x v="1"/>
    <x v="1"/>
    <x v="0"/>
    <n v="2.5"/>
  </r>
  <r>
    <x v="79"/>
    <s v="Tue"/>
    <n v="17"/>
    <x v="2"/>
    <x v="1"/>
    <x v="1"/>
    <x v="0"/>
    <n v="2.5"/>
  </r>
  <r>
    <x v="80"/>
    <s v="Wed"/>
    <n v="17"/>
    <x v="2"/>
    <x v="1"/>
    <x v="1"/>
    <x v="0"/>
    <n v="2.5"/>
  </r>
  <r>
    <x v="81"/>
    <s v="Thu"/>
    <n v="17"/>
    <x v="2"/>
    <x v="1"/>
    <x v="1"/>
    <x v="0"/>
    <n v="2.5"/>
  </r>
  <r>
    <x v="82"/>
    <s v="Fri"/>
    <n v="17"/>
    <x v="2"/>
    <x v="1"/>
    <x v="1"/>
    <x v="0"/>
    <n v="3"/>
  </r>
  <r>
    <x v="83"/>
    <s v="Sat"/>
    <n v="17"/>
    <x v="2"/>
    <x v="1"/>
    <x v="1"/>
    <x v="0"/>
    <n v="1.5"/>
  </r>
  <r>
    <x v="84"/>
    <s v="Sun"/>
    <n v="18"/>
    <x v="2"/>
    <x v="0"/>
    <x v="0"/>
    <x v="0"/>
    <m/>
  </r>
  <r>
    <x v="85"/>
    <s v="Mon"/>
    <n v="18"/>
    <x v="2"/>
    <x v="1"/>
    <x v="1"/>
    <x v="0"/>
    <n v="0.5"/>
  </r>
  <r>
    <x v="86"/>
    <s v="Tue"/>
    <n v="18"/>
    <x v="2"/>
    <x v="1"/>
    <x v="1"/>
    <x v="0"/>
    <n v="1"/>
  </r>
  <r>
    <x v="87"/>
    <s v="Wed"/>
    <n v="18"/>
    <x v="2"/>
    <x v="1"/>
    <x v="1"/>
    <x v="0"/>
    <n v="1"/>
  </r>
  <r>
    <x v="88"/>
    <s v="Thu"/>
    <n v="18"/>
    <x v="2"/>
    <x v="1"/>
    <x v="1"/>
    <x v="0"/>
    <n v="2.5"/>
  </r>
  <r>
    <x v="89"/>
    <s v="Fri"/>
    <n v="18"/>
    <x v="3"/>
    <x v="1"/>
    <x v="1"/>
    <x v="0"/>
    <n v="2"/>
  </r>
  <r>
    <x v="90"/>
    <s v="Sat"/>
    <n v="18"/>
    <x v="3"/>
    <x v="1"/>
    <x v="1"/>
    <x v="0"/>
    <n v="2.5"/>
  </r>
  <r>
    <x v="91"/>
    <s v="Sun"/>
    <n v="19"/>
    <x v="3"/>
    <x v="0"/>
    <x v="0"/>
    <x v="0"/>
    <m/>
  </r>
  <r>
    <x v="92"/>
    <s v="Mon"/>
    <n v="19"/>
    <x v="3"/>
    <x v="1"/>
    <x v="1"/>
    <x v="0"/>
    <n v="3"/>
  </r>
  <r>
    <x v="93"/>
    <s v="Tue"/>
    <n v="19"/>
    <x v="3"/>
    <x v="1"/>
    <x v="1"/>
    <x v="0"/>
    <n v="3.5"/>
  </r>
  <r>
    <x v="94"/>
    <s v="Wed"/>
    <n v="19"/>
    <x v="3"/>
    <x v="1"/>
    <x v="1"/>
    <x v="0"/>
    <n v="2"/>
  </r>
  <r>
    <x v="95"/>
    <s v="Thu"/>
    <n v="19"/>
    <x v="3"/>
    <x v="1"/>
    <x v="1"/>
    <x v="0"/>
    <n v="2"/>
  </r>
  <r>
    <x v="96"/>
    <s v="Fri"/>
    <n v="19"/>
    <x v="3"/>
    <x v="1"/>
    <x v="1"/>
    <x v="0"/>
    <n v="1"/>
  </r>
  <r>
    <x v="97"/>
    <s v="Sat"/>
    <n v="19"/>
    <x v="3"/>
    <x v="1"/>
    <x v="1"/>
    <x v="0"/>
    <n v="2"/>
  </r>
  <r>
    <x v="98"/>
    <s v="Sun"/>
    <n v="20"/>
    <x v="3"/>
    <x v="0"/>
    <x v="0"/>
    <x v="0"/>
    <m/>
  </r>
  <r>
    <x v="99"/>
    <s v="Mon"/>
    <n v="20"/>
    <x v="3"/>
    <x v="1"/>
    <x v="1"/>
    <x v="0"/>
    <n v="2"/>
  </r>
  <r>
    <x v="100"/>
    <s v="Tue"/>
    <n v="20"/>
    <x v="3"/>
    <x v="1"/>
    <x v="1"/>
    <x v="0"/>
    <n v="2"/>
  </r>
  <r>
    <x v="101"/>
    <s v="Wed"/>
    <n v="20"/>
    <x v="3"/>
    <x v="1"/>
    <x v="1"/>
    <x v="0"/>
    <n v="1"/>
  </r>
  <r>
    <x v="102"/>
    <s v="Thu"/>
    <n v="20"/>
    <x v="3"/>
    <x v="1"/>
    <x v="1"/>
    <x v="0"/>
    <n v="2"/>
  </r>
  <r>
    <x v="103"/>
    <s v="Fri"/>
    <n v="20"/>
    <x v="3"/>
    <x v="1"/>
    <x v="1"/>
    <x v="0"/>
    <n v="2"/>
  </r>
  <r>
    <x v="104"/>
    <s v="Sat"/>
    <n v="20"/>
    <x v="3"/>
    <x v="1"/>
    <x v="1"/>
    <x v="0"/>
    <n v="1"/>
  </r>
  <r>
    <x v="105"/>
    <s v="Sun"/>
    <n v="21"/>
    <x v="3"/>
    <x v="0"/>
    <x v="0"/>
    <x v="0"/>
    <m/>
  </r>
  <r>
    <x v="106"/>
    <s v="Mon"/>
    <n v="21"/>
    <x v="3"/>
    <x v="1"/>
    <x v="1"/>
    <x v="0"/>
    <n v="2"/>
  </r>
  <r>
    <x v="107"/>
    <s v="Tue"/>
    <n v="21"/>
    <x v="3"/>
    <x v="1"/>
    <x v="1"/>
    <x v="0"/>
    <n v="2"/>
  </r>
  <r>
    <x v="108"/>
    <s v="Wed"/>
    <n v="21"/>
    <x v="3"/>
    <x v="1"/>
    <x v="1"/>
    <x v="0"/>
    <n v="1.5"/>
  </r>
  <r>
    <x v="109"/>
    <s v="Thu"/>
    <n v="21"/>
    <x v="3"/>
    <x v="1"/>
    <x v="1"/>
    <x v="0"/>
    <n v="2"/>
  </r>
  <r>
    <x v="110"/>
    <s v="Fri"/>
    <n v="21"/>
    <x v="3"/>
    <x v="1"/>
    <x v="1"/>
    <x v="0"/>
    <n v="1"/>
  </r>
  <r>
    <x v="111"/>
    <s v="Sat"/>
    <n v="21"/>
    <x v="3"/>
    <x v="1"/>
    <x v="1"/>
    <x v="0"/>
    <n v="1"/>
  </r>
  <r>
    <x v="112"/>
    <s v="Sun"/>
    <n v="22"/>
    <x v="3"/>
    <x v="0"/>
    <x v="0"/>
    <x v="0"/>
    <m/>
  </r>
  <r>
    <x v="113"/>
    <s v="Mon"/>
    <n v="22"/>
    <x v="3"/>
    <x v="1"/>
    <x v="1"/>
    <x v="0"/>
    <n v="3.5"/>
  </r>
  <r>
    <x v="114"/>
    <s v="Tue"/>
    <n v="22"/>
    <x v="3"/>
    <x v="1"/>
    <x v="1"/>
    <x v="0"/>
    <n v="1"/>
  </r>
  <r>
    <x v="115"/>
    <s v="Wed"/>
    <n v="22"/>
    <x v="3"/>
    <x v="2"/>
    <x v="2"/>
    <x v="0"/>
    <m/>
  </r>
  <r>
    <x v="116"/>
    <s v="Thu"/>
    <n v="22"/>
    <x v="3"/>
    <x v="1"/>
    <x v="1"/>
    <x v="0"/>
    <n v="2"/>
  </r>
  <r>
    <x v="117"/>
    <s v="Fri"/>
    <n v="22"/>
    <x v="3"/>
    <x v="1"/>
    <x v="1"/>
    <x v="0"/>
    <n v="2"/>
  </r>
  <r>
    <x v="118"/>
    <s v="Sat"/>
    <n v="22"/>
    <x v="3"/>
    <x v="1"/>
    <x v="1"/>
    <x v="0"/>
    <m/>
  </r>
  <r>
    <x v="119"/>
    <s v="Sun"/>
    <n v="23"/>
    <x v="3"/>
    <x v="0"/>
    <x v="0"/>
    <x v="0"/>
    <m/>
  </r>
  <r>
    <x v="120"/>
    <s v="Mon"/>
    <n v="23"/>
    <x v="4"/>
    <x v="1"/>
    <x v="1"/>
    <x v="0"/>
    <n v="4"/>
  </r>
  <r>
    <x v="121"/>
    <s v="Tue"/>
    <n v="23"/>
    <x v="4"/>
    <x v="1"/>
    <x v="1"/>
    <x v="0"/>
    <n v="1"/>
  </r>
  <r>
    <x v="122"/>
    <s v="Wed"/>
    <n v="23"/>
    <x v="4"/>
    <x v="1"/>
    <x v="1"/>
    <x v="0"/>
    <n v="1"/>
  </r>
  <r>
    <x v="123"/>
    <s v="Thu"/>
    <n v="23"/>
    <x v="4"/>
    <x v="1"/>
    <x v="1"/>
    <x v="0"/>
    <n v="2.5"/>
  </r>
  <r>
    <x v="124"/>
    <s v="Fri"/>
    <n v="23"/>
    <x v="4"/>
    <x v="1"/>
    <x v="1"/>
    <x v="0"/>
    <n v="2"/>
  </r>
  <r>
    <x v="125"/>
    <s v="Sat"/>
    <n v="23"/>
    <x v="4"/>
    <x v="1"/>
    <x v="1"/>
    <x v="0"/>
    <n v="3"/>
  </r>
  <r>
    <x v="126"/>
    <s v="Sun"/>
    <n v="24"/>
    <x v="4"/>
    <x v="0"/>
    <x v="0"/>
    <x v="0"/>
    <m/>
  </r>
  <r>
    <x v="127"/>
    <s v="Mon"/>
    <n v="24"/>
    <x v="4"/>
    <x v="1"/>
    <x v="1"/>
    <x v="0"/>
    <n v="4.5"/>
  </r>
  <r>
    <x v="128"/>
    <s v="Tue"/>
    <n v="24"/>
    <x v="4"/>
    <x v="1"/>
    <x v="1"/>
    <x v="0"/>
    <n v="3"/>
  </r>
  <r>
    <x v="129"/>
    <s v="Wed"/>
    <n v="24"/>
    <x v="4"/>
    <x v="1"/>
    <x v="1"/>
    <x v="0"/>
    <n v="1"/>
  </r>
  <r>
    <x v="130"/>
    <s v="Thu"/>
    <n v="24"/>
    <x v="4"/>
    <x v="1"/>
    <x v="1"/>
    <x v="0"/>
    <n v="2"/>
  </r>
  <r>
    <x v="131"/>
    <s v="Fri"/>
    <n v="24"/>
    <x v="4"/>
    <x v="1"/>
    <x v="1"/>
    <x v="0"/>
    <n v="4"/>
  </r>
  <r>
    <x v="132"/>
    <s v="Sat"/>
    <n v="24"/>
    <x v="4"/>
    <x v="1"/>
    <x v="1"/>
    <x v="0"/>
    <n v="1.5"/>
  </r>
  <r>
    <x v="133"/>
    <s v="Sun"/>
    <n v="25"/>
    <x v="4"/>
    <x v="0"/>
    <x v="0"/>
    <x v="0"/>
    <m/>
  </r>
  <r>
    <x v="134"/>
    <s v="Mon"/>
    <n v="25"/>
    <x v="4"/>
    <x v="1"/>
    <x v="1"/>
    <x v="0"/>
    <n v="3.5"/>
  </r>
  <r>
    <x v="135"/>
    <s v="Tue"/>
    <n v="25"/>
    <x v="4"/>
    <x v="1"/>
    <x v="1"/>
    <x v="0"/>
    <n v="1"/>
  </r>
  <r>
    <x v="136"/>
    <s v="Wed"/>
    <n v="25"/>
    <x v="4"/>
    <x v="1"/>
    <x v="1"/>
    <x v="0"/>
    <n v="0"/>
  </r>
  <r>
    <x v="137"/>
    <s v="Thu"/>
    <n v="25"/>
    <x v="4"/>
    <x v="1"/>
    <x v="1"/>
    <x v="0"/>
    <n v="1"/>
  </r>
  <r>
    <x v="138"/>
    <s v="Fri"/>
    <n v="25"/>
    <x v="4"/>
    <x v="1"/>
    <x v="1"/>
    <x v="0"/>
    <n v="1"/>
  </r>
  <r>
    <x v="139"/>
    <s v="Sat"/>
    <n v="25"/>
    <x v="4"/>
    <x v="1"/>
    <x v="1"/>
    <x v="0"/>
    <n v="1.5"/>
  </r>
  <r>
    <x v="140"/>
    <s v="Sun"/>
    <n v="26"/>
    <x v="4"/>
    <x v="0"/>
    <x v="0"/>
    <x v="0"/>
    <m/>
  </r>
  <r>
    <x v="141"/>
    <s v="Mon"/>
    <n v="26"/>
    <x v="4"/>
    <x v="1"/>
    <x v="1"/>
    <x v="0"/>
    <n v="1"/>
  </r>
  <r>
    <x v="142"/>
    <s v="Tue"/>
    <n v="26"/>
    <x v="4"/>
    <x v="1"/>
    <x v="1"/>
    <x v="0"/>
    <n v="1.5"/>
  </r>
  <r>
    <x v="143"/>
    <s v="Wed"/>
    <n v="26"/>
    <x v="4"/>
    <x v="1"/>
    <x v="1"/>
    <x v="0"/>
    <n v="0"/>
  </r>
  <r>
    <x v="144"/>
    <s v="Thu"/>
    <n v="26"/>
    <x v="4"/>
    <x v="1"/>
    <x v="1"/>
    <x v="0"/>
    <n v="0"/>
  </r>
  <r>
    <x v="145"/>
    <s v="Fri"/>
    <n v="26"/>
    <x v="4"/>
    <x v="1"/>
    <x v="1"/>
    <x v="0"/>
    <n v="0"/>
  </r>
  <r>
    <x v="146"/>
    <s v="Sat"/>
    <n v="26"/>
    <x v="4"/>
    <x v="1"/>
    <x v="1"/>
    <x v="0"/>
    <n v="1"/>
  </r>
  <r>
    <x v="147"/>
    <s v="Sun"/>
    <n v="27"/>
    <x v="4"/>
    <x v="0"/>
    <x v="0"/>
    <x v="0"/>
    <n v="0"/>
  </r>
  <r>
    <x v="148"/>
    <s v="Mon"/>
    <n v="27"/>
    <x v="4"/>
    <x v="1"/>
    <x v="1"/>
    <x v="0"/>
    <n v="1"/>
  </r>
  <r>
    <x v="149"/>
    <s v="Tue"/>
    <n v="27"/>
    <x v="4"/>
    <x v="1"/>
    <x v="1"/>
    <x v="0"/>
    <n v="1"/>
  </r>
  <r>
    <x v="150"/>
    <s v="Wed"/>
    <n v="27"/>
    <x v="5"/>
    <x v="1"/>
    <x v="1"/>
    <x v="0"/>
    <m/>
  </r>
  <r>
    <x v="151"/>
    <s v="Thu"/>
    <n v="27"/>
    <x v="5"/>
    <x v="1"/>
    <x v="1"/>
    <x v="0"/>
    <m/>
  </r>
  <r>
    <x v="152"/>
    <s v="Fri"/>
    <n v="27"/>
    <x v="5"/>
    <x v="1"/>
    <x v="1"/>
    <x v="0"/>
    <m/>
  </r>
  <r>
    <x v="153"/>
    <s v="Sat"/>
    <n v="27"/>
    <x v="5"/>
    <x v="1"/>
    <x v="1"/>
    <x v="0"/>
    <n v="1"/>
  </r>
  <r>
    <x v="154"/>
    <s v="Sun"/>
    <n v="28"/>
    <x v="5"/>
    <x v="0"/>
    <x v="0"/>
    <x v="0"/>
    <m/>
  </r>
  <r>
    <x v="155"/>
    <s v="Mon"/>
    <n v="28"/>
    <x v="5"/>
    <x v="1"/>
    <x v="1"/>
    <x v="0"/>
    <n v="1"/>
  </r>
  <r>
    <x v="156"/>
    <s v="Tue"/>
    <n v="28"/>
    <x v="5"/>
    <x v="1"/>
    <x v="1"/>
    <x v="0"/>
    <m/>
  </r>
  <r>
    <x v="157"/>
    <s v="Wed"/>
    <n v="28"/>
    <x v="5"/>
    <x v="1"/>
    <x v="1"/>
    <x v="0"/>
    <m/>
  </r>
  <r>
    <x v="158"/>
    <s v="Thu"/>
    <n v="28"/>
    <x v="5"/>
    <x v="1"/>
    <x v="1"/>
    <x v="0"/>
    <m/>
  </r>
  <r>
    <x v="159"/>
    <s v="Fri"/>
    <n v="28"/>
    <x v="5"/>
    <x v="1"/>
    <x v="1"/>
    <x v="0"/>
    <m/>
  </r>
  <r>
    <x v="160"/>
    <s v="Sat"/>
    <n v="28"/>
    <x v="5"/>
    <x v="1"/>
    <x v="1"/>
    <x v="0"/>
    <m/>
  </r>
  <r>
    <x v="161"/>
    <s v="Sun"/>
    <n v="29"/>
    <x v="5"/>
    <x v="0"/>
    <x v="0"/>
    <x v="0"/>
    <m/>
  </r>
  <r>
    <x v="162"/>
    <s v="Mon"/>
    <n v="29"/>
    <x v="5"/>
    <x v="1"/>
    <x v="1"/>
    <x v="0"/>
    <n v="1"/>
  </r>
  <r>
    <x v="163"/>
    <s v="Tue"/>
    <n v="29"/>
    <x v="5"/>
    <x v="1"/>
    <x v="1"/>
    <x v="0"/>
    <m/>
  </r>
  <r>
    <x v="164"/>
    <s v="Wed"/>
    <n v="29"/>
    <x v="5"/>
    <x v="1"/>
    <x v="1"/>
    <x v="0"/>
    <n v="1"/>
  </r>
  <r>
    <x v="165"/>
    <s v="Thu"/>
    <n v="29"/>
    <x v="5"/>
    <x v="1"/>
    <x v="1"/>
    <x v="0"/>
    <n v="1"/>
  </r>
  <r>
    <x v="166"/>
    <s v="Fri"/>
    <n v="29"/>
    <x v="5"/>
    <x v="1"/>
    <x v="1"/>
    <x v="0"/>
    <n v="1"/>
  </r>
  <r>
    <x v="167"/>
    <s v="Sat"/>
    <n v="29"/>
    <x v="5"/>
    <x v="1"/>
    <x v="1"/>
    <x v="0"/>
    <n v="2"/>
  </r>
  <r>
    <x v="168"/>
    <s v="Sun"/>
    <n v="30"/>
    <x v="5"/>
    <x v="0"/>
    <x v="0"/>
    <x v="0"/>
    <m/>
  </r>
  <r>
    <x v="169"/>
    <s v="Mon"/>
    <n v="30"/>
    <x v="5"/>
    <x v="1"/>
    <x v="1"/>
    <x v="0"/>
    <n v="2"/>
  </r>
  <r>
    <x v="170"/>
    <s v="Tue"/>
    <n v="30"/>
    <x v="5"/>
    <x v="1"/>
    <x v="1"/>
    <x v="0"/>
    <n v="1"/>
  </r>
  <r>
    <x v="171"/>
    <s v="Wed"/>
    <n v="30"/>
    <x v="5"/>
    <x v="1"/>
    <x v="1"/>
    <x v="0"/>
    <n v="1"/>
  </r>
  <r>
    <x v="172"/>
    <s v="Thu"/>
    <n v="30"/>
    <x v="5"/>
    <x v="1"/>
    <x v="1"/>
    <x v="0"/>
    <n v="1"/>
  </r>
  <r>
    <x v="173"/>
    <s v="Fri"/>
    <n v="30"/>
    <x v="5"/>
    <x v="1"/>
    <x v="1"/>
    <x v="0"/>
    <m/>
  </r>
  <r>
    <x v="174"/>
    <s v="Sat"/>
    <n v="30"/>
    <x v="5"/>
    <x v="1"/>
    <x v="1"/>
    <x v="0"/>
    <m/>
  </r>
  <r>
    <x v="175"/>
    <s v="Sun"/>
    <n v="31"/>
    <x v="5"/>
    <x v="0"/>
    <x v="0"/>
    <x v="0"/>
    <m/>
  </r>
  <r>
    <x v="176"/>
    <s v="Mon"/>
    <n v="31"/>
    <x v="5"/>
    <x v="1"/>
    <x v="1"/>
    <x v="0"/>
    <m/>
  </r>
  <r>
    <x v="177"/>
    <s v="Tue"/>
    <n v="31"/>
    <x v="5"/>
    <x v="1"/>
    <x v="1"/>
    <x v="0"/>
    <m/>
  </r>
  <r>
    <x v="178"/>
    <s v="Wed"/>
    <n v="31"/>
    <x v="5"/>
    <x v="1"/>
    <x v="1"/>
    <x v="0"/>
    <m/>
  </r>
  <r>
    <x v="179"/>
    <s v="Thu"/>
    <n v="31"/>
    <x v="5"/>
    <x v="1"/>
    <x v="1"/>
    <x v="0"/>
    <m/>
  </r>
  <r>
    <x v="180"/>
    <s v="Fri"/>
    <n v="31"/>
    <x v="5"/>
    <x v="1"/>
    <x v="1"/>
    <x v="0"/>
    <m/>
  </r>
  <r>
    <x v="181"/>
    <s v="Sat"/>
    <n v="31"/>
    <x v="6"/>
    <x v="1"/>
    <x v="1"/>
    <x v="0"/>
    <n v="1.5"/>
  </r>
  <r>
    <x v="182"/>
    <s v="Sun"/>
    <n v="32"/>
    <x v="6"/>
    <x v="0"/>
    <x v="0"/>
    <x v="0"/>
    <m/>
  </r>
  <r>
    <x v="183"/>
    <s v="Mon"/>
    <n v="32"/>
    <x v="6"/>
    <x v="1"/>
    <x v="1"/>
    <x v="0"/>
    <n v="2.5"/>
  </r>
  <r>
    <x v="184"/>
    <s v="Tue"/>
    <n v="32"/>
    <x v="6"/>
    <x v="1"/>
    <x v="1"/>
    <x v="0"/>
    <n v="2.5"/>
  </r>
  <r>
    <x v="185"/>
    <s v="Wed"/>
    <n v="32"/>
    <x v="6"/>
    <x v="1"/>
    <x v="1"/>
    <x v="0"/>
    <n v="1"/>
  </r>
  <r>
    <x v="186"/>
    <s v="Thu"/>
    <n v="32"/>
    <x v="6"/>
    <x v="1"/>
    <x v="1"/>
    <x v="0"/>
    <n v="1"/>
  </r>
  <r>
    <x v="187"/>
    <s v="Fri"/>
    <n v="32"/>
    <x v="6"/>
    <x v="1"/>
    <x v="1"/>
    <x v="0"/>
    <n v="1.5"/>
  </r>
  <r>
    <x v="188"/>
    <s v="Sat"/>
    <n v="32"/>
    <x v="6"/>
    <x v="1"/>
    <x v="1"/>
    <x v="0"/>
    <n v="1"/>
  </r>
  <r>
    <x v="189"/>
    <s v="Sun"/>
    <n v="33"/>
    <x v="6"/>
    <x v="0"/>
    <x v="0"/>
    <x v="0"/>
    <m/>
  </r>
  <r>
    <x v="190"/>
    <s v="Mon"/>
    <n v="33"/>
    <x v="6"/>
    <x v="1"/>
    <x v="1"/>
    <x v="0"/>
    <n v="4"/>
  </r>
  <r>
    <x v="191"/>
    <s v="Tue"/>
    <n v="33"/>
    <x v="6"/>
    <x v="1"/>
    <x v="1"/>
    <x v="0"/>
    <n v="2"/>
  </r>
  <r>
    <x v="192"/>
    <s v="Wed"/>
    <n v="33"/>
    <x v="6"/>
    <x v="1"/>
    <x v="1"/>
    <x v="0"/>
    <n v="2"/>
  </r>
  <r>
    <x v="193"/>
    <s v="Thu"/>
    <n v="33"/>
    <x v="6"/>
    <x v="1"/>
    <x v="1"/>
    <x v="0"/>
    <n v="2"/>
  </r>
  <r>
    <x v="194"/>
    <s v="Fri"/>
    <n v="33"/>
    <x v="6"/>
    <x v="1"/>
    <x v="1"/>
    <x v="0"/>
    <n v="1.5"/>
  </r>
  <r>
    <x v="195"/>
    <s v="Sat"/>
    <n v="33"/>
    <x v="6"/>
    <x v="1"/>
    <x v="1"/>
    <x v="0"/>
    <n v="1"/>
  </r>
  <r>
    <x v="196"/>
    <s v="Sun"/>
    <n v="34"/>
    <x v="6"/>
    <x v="0"/>
    <x v="0"/>
    <x v="0"/>
    <m/>
  </r>
  <r>
    <x v="197"/>
    <s v="Mon"/>
    <n v="34"/>
    <x v="6"/>
    <x v="1"/>
    <x v="1"/>
    <x v="0"/>
    <m/>
  </r>
  <r>
    <x v="198"/>
    <s v="Tue"/>
    <n v="34"/>
    <x v="6"/>
    <x v="1"/>
    <x v="1"/>
    <x v="0"/>
    <n v="2.5"/>
  </r>
  <r>
    <x v="199"/>
    <s v="Wed"/>
    <n v="34"/>
    <x v="6"/>
    <x v="1"/>
    <x v="1"/>
    <x v="0"/>
    <n v="1"/>
  </r>
  <r>
    <x v="200"/>
    <s v="Thu"/>
    <n v="34"/>
    <x v="6"/>
    <x v="1"/>
    <x v="1"/>
    <x v="0"/>
    <n v="1"/>
  </r>
  <r>
    <x v="201"/>
    <s v="Fri"/>
    <n v="34"/>
    <x v="6"/>
    <x v="1"/>
    <x v="1"/>
    <x v="0"/>
    <n v="1.5"/>
  </r>
  <r>
    <x v="202"/>
    <s v="Sat"/>
    <n v="34"/>
    <x v="6"/>
    <x v="1"/>
    <x v="1"/>
    <x v="0"/>
    <n v="1"/>
  </r>
  <r>
    <x v="203"/>
    <s v="Sun"/>
    <n v="35"/>
    <x v="6"/>
    <x v="0"/>
    <x v="0"/>
    <x v="0"/>
    <m/>
  </r>
  <r>
    <x v="204"/>
    <s v="Mon"/>
    <n v="35"/>
    <x v="6"/>
    <x v="1"/>
    <x v="1"/>
    <x v="0"/>
    <n v="1.5"/>
  </r>
  <r>
    <x v="205"/>
    <s v="Tue"/>
    <n v="35"/>
    <x v="6"/>
    <x v="1"/>
    <x v="1"/>
    <x v="0"/>
    <n v="1.5"/>
  </r>
  <r>
    <x v="206"/>
    <s v="Wed"/>
    <n v="35"/>
    <x v="6"/>
    <x v="1"/>
    <x v="1"/>
    <x v="0"/>
    <n v="1"/>
  </r>
  <r>
    <x v="207"/>
    <s v="Thu"/>
    <n v="35"/>
    <x v="6"/>
    <x v="1"/>
    <x v="1"/>
    <x v="0"/>
    <n v="2.5"/>
  </r>
  <r>
    <x v="208"/>
    <s v="Fri"/>
    <n v="35"/>
    <x v="6"/>
    <x v="1"/>
    <x v="1"/>
    <x v="0"/>
    <m/>
  </r>
  <r>
    <x v="209"/>
    <s v="Sat"/>
    <n v="35"/>
    <x v="6"/>
    <x v="1"/>
    <x v="1"/>
    <x v="0"/>
    <m/>
  </r>
  <r>
    <x v="210"/>
    <s v="Sun"/>
    <n v="36"/>
    <x v="6"/>
    <x v="0"/>
    <x v="0"/>
    <x v="0"/>
    <m/>
  </r>
  <r>
    <x v="211"/>
    <s v="Mon"/>
    <n v="36"/>
    <x v="6"/>
    <x v="1"/>
    <x v="1"/>
    <x v="0"/>
    <n v="2"/>
  </r>
  <r>
    <x v="212"/>
    <s v="Tue"/>
    <n v="36"/>
    <x v="7"/>
    <x v="1"/>
    <x v="1"/>
    <x v="0"/>
    <n v="1"/>
  </r>
  <r>
    <x v="213"/>
    <s v="Wed"/>
    <n v="36"/>
    <x v="7"/>
    <x v="1"/>
    <x v="1"/>
    <x v="0"/>
    <n v="2"/>
  </r>
  <r>
    <x v="214"/>
    <s v="Thu"/>
    <n v="36"/>
    <x v="7"/>
    <x v="1"/>
    <x v="1"/>
    <x v="0"/>
    <m/>
  </r>
  <r>
    <x v="215"/>
    <s v="Fri"/>
    <n v="36"/>
    <x v="7"/>
    <x v="1"/>
    <x v="1"/>
    <x v="0"/>
    <n v="1.5"/>
  </r>
  <r>
    <x v="216"/>
    <s v="Sat"/>
    <n v="36"/>
    <x v="7"/>
    <x v="1"/>
    <x v="1"/>
    <x v="0"/>
    <n v="1"/>
  </r>
  <r>
    <x v="217"/>
    <s v="Sun"/>
    <n v="37"/>
    <x v="7"/>
    <x v="0"/>
    <x v="0"/>
    <x v="0"/>
    <m/>
  </r>
  <r>
    <x v="218"/>
    <s v="Mon"/>
    <n v="37"/>
    <x v="7"/>
    <x v="1"/>
    <x v="1"/>
    <x v="0"/>
    <n v="1"/>
  </r>
  <r>
    <x v="219"/>
    <s v="Tue"/>
    <n v="37"/>
    <x v="7"/>
    <x v="1"/>
    <x v="1"/>
    <x v="0"/>
    <n v="1"/>
  </r>
  <r>
    <x v="220"/>
    <s v="Wed"/>
    <n v="37"/>
    <x v="7"/>
    <x v="1"/>
    <x v="1"/>
    <x v="0"/>
    <n v="2"/>
  </r>
  <r>
    <x v="221"/>
    <s v="Thu"/>
    <n v="37"/>
    <x v="7"/>
    <x v="1"/>
    <x v="1"/>
    <x v="0"/>
    <n v="1"/>
  </r>
  <r>
    <x v="222"/>
    <s v="Fri"/>
    <n v="37"/>
    <x v="7"/>
    <x v="1"/>
    <x v="1"/>
    <x v="0"/>
    <n v="2"/>
  </r>
  <r>
    <x v="223"/>
    <s v="Sat"/>
    <n v="37"/>
    <x v="7"/>
    <x v="1"/>
    <x v="1"/>
    <x v="0"/>
    <n v="1"/>
  </r>
  <r>
    <x v="224"/>
    <s v="Sun"/>
    <n v="38"/>
    <x v="7"/>
    <x v="0"/>
    <x v="0"/>
    <x v="0"/>
    <m/>
  </r>
  <r>
    <x v="225"/>
    <s v="Mon"/>
    <n v="38"/>
    <x v="7"/>
    <x v="1"/>
    <x v="1"/>
    <x v="0"/>
    <n v="2"/>
  </r>
  <r>
    <x v="226"/>
    <s v="Tue"/>
    <n v="38"/>
    <x v="7"/>
    <x v="1"/>
    <x v="1"/>
    <x v="0"/>
    <m/>
  </r>
  <r>
    <x v="227"/>
    <s v="Wed"/>
    <n v="38"/>
    <x v="7"/>
    <x v="1"/>
    <x v="1"/>
    <x v="0"/>
    <n v="1"/>
  </r>
  <r>
    <x v="228"/>
    <s v="Thu"/>
    <n v="38"/>
    <x v="7"/>
    <x v="1"/>
    <x v="1"/>
    <x v="0"/>
    <n v="2"/>
  </r>
  <r>
    <x v="229"/>
    <s v="Fri"/>
    <n v="38"/>
    <x v="7"/>
    <x v="1"/>
    <x v="1"/>
    <x v="0"/>
    <m/>
  </r>
  <r>
    <x v="230"/>
    <s v="Sat"/>
    <n v="38"/>
    <x v="7"/>
    <x v="1"/>
    <x v="1"/>
    <x v="0"/>
    <n v="1"/>
  </r>
  <r>
    <x v="231"/>
    <s v="Sun"/>
    <n v="39"/>
    <x v="7"/>
    <x v="0"/>
    <x v="0"/>
    <x v="0"/>
    <m/>
  </r>
  <r>
    <x v="232"/>
    <s v="Mon"/>
    <n v="39"/>
    <x v="7"/>
    <x v="1"/>
    <x v="1"/>
    <x v="0"/>
    <n v="2"/>
  </r>
  <r>
    <x v="233"/>
    <s v="Tue"/>
    <n v="39"/>
    <x v="7"/>
    <x v="1"/>
    <x v="1"/>
    <x v="0"/>
    <n v="1"/>
  </r>
  <r>
    <x v="234"/>
    <s v="Wed"/>
    <n v="39"/>
    <x v="7"/>
    <x v="1"/>
    <x v="1"/>
    <x v="0"/>
    <n v="1"/>
  </r>
  <r>
    <x v="235"/>
    <s v="Thu"/>
    <n v="39"/>
    <x v="7"/>
    <x v="1"/>
    <x v="1"/>
    <x v="0"/>
    <n v="1"/>
  </r>
  <r>
    <x v="236"/>
    <s v="Fri"/>
    <n v="39"/>
    <x v="7"/>
    <x v="1"/>
    <x v="1"/>
    <x v="0"/>
    <n v="2"/>
  </r>
  <r>
    <x v="237"/>
    <s v="Sat"/>
    <n v="39"/>
    <x v="7"/>
    <x v="1"/>
    <x v="1"/>
    <x v="0"/>
    <m/>
  </r>
  <r>
    <x v="238"/>
    <s v="Sun"/>
    <n v="40"/>
    <x v="7"/>
    <x v="0"/>
    <x v="0"/>
    <x v="0"/>
    <m/>
  </r>
  <r>
    <x v="239"/>
    <s v="Mon"/>
    <n v="40"/>
    <x v="7"/>
    <x v="1"/>
    <x v="1"/>
    <x v="0"/>
    <n v="2"/>
  </r>
  <r>
    <x v="240"/>
    <s v="Tue"/>
    <n v="40"/>
    <x v="7"/>
    <x v="1"/>
    <x v="1"/>
    <x v="0"/>
    <m/>
  </r>
  <r>
    <x v="241"/>
    <s v="Wed"/>
    <n v="40"/>
    <x v="7"/>
    <x v="1"/>
    <x v="1"/>
    <x v="0"/>
    <m/>
  </r>
  <r>
    <x v="242"/>
    <s v="Thu"/>
    <n v="40"/>
    <x v="8"/>
    <x v="0"/>
    <x v="0"/>
    <x v="0"/>
    <m/>
  </r>
  <r>
    <x v="243"/>
    <s v="Fri"/>
    <n v="40"/>
    <x v="8"/>
    <x v="0"/>
    <x v="0"/>
    <x v="0"/>
    <m/>
  </r>
  <r>
    <x v="244"/>
    <s v="Sat"/>
    <n v="40"/>
    <x v="8"/>
    <x v="0"/>
    <x v="0"/>
    <x v="0"/>
    <m/>
  </r>
  <r>
    <x v="245"/>
    <s v="Sun"/>
    <n v="41"/>
    <x v="8"/>
    <x v="0"/>
    <x v="0"/>
    <x v="0"/>
    <m/>
  </r>
  <r>
    <x v="246"/>
    <s v="Mon"/>
    <n v="41"/>
    <x v="8"/>
    <x v="0"/>
    <x v="0"/>
    <x v="0"/>
    <m/>
  </r>
  <r>
    <x v="247"/>
    <s v="Tue"/>
    <n v="41"/>
    <x v="8"/>
    <x v="0"/>
    <x v="0"/>
    <x v="0"/>
    <m/>
  </r>
  <r>
    <x v="248"/>
    <s v="Wed"/>
    <n v="41"/>
    <x v="8"/>
    <x v="0"/>
    <x v="0"/>
    <x v="0"/>
    <m/>
  </r>
  <r>
    <x v="249"/>
    <s v="Thu"/>
    <n v="41"/>
    <x v="8"/>
    <x v="0"/>
    <x v="0"/>
    <x v="0"/>
    <m/>
  </r>
  <r>
    <x v="250"/>
    <s v="Fri"/>
    <n v="41"/>
    <x v="8"/>
    <x v="0"/>
    <x v="0"/>
    <x v="0"/>
    <m/>
  </r>
  <r>
    <x v="251"/>
    <s v="Sat"/>
    <n v="41"/>
    <x v="8"/>
    <x v="0"/>
    <x v="0"/>
    <x v="0"/>
    <m/>
  </r>
  <r>
    <x v="252"/>
    <s v="Sun"/>
    <n v="42"/>
    <x v="8"/>
    <x v="0"/>
    <x v="0"/>
    <x v="0"/>
    <m/>
  </r>
  <r>
    <x v="253"/>
    <s v="Mon"/>
    <n v="42"/>
    <x v="8"/>
    <x v="0"/>
    <x v="0"/>
    <x v="0"/>
    <m/>
  </r>
  <r>
    <x v="254"/>
    <s v="Tue"/>
    <n v="42"/>
    <x v="8"/>
    <x v="0"/>
    <x v="0"/>
    <x v="0"/>
    <m/>
  </r>
  <r>
    <x v="255"/>
    <s v="Wed"/>
    <n v="42"/>
    <x v="8"/>
    <x v="0"/>
    <x v="0"/>
    <x v="0"/>
    <m/>
  </r>
  <r>
    <x v="256"/>
    <s v="Thu"/>
    <n v="42"/>
    <x v="8"/>
    <x v="0"/>
    <x v="0"/>
    <x v="0"/>
    <m/>
  </r>
  <r>
    <x v="257"/>
    <s v="Fri"/>
    <n v="42"/>
    <x v="8"/>
    <x v="0"/>
    <x v="0"/>
    <x v="0"/>
    <m/>
  </r>
  <r>
    <x v="258"/>
    <s v="Sat"/>
    <n v="42"/>
    <x v="8"/>
    <x v="0"/>
    <x v="0"/>
    <x v="0"/>
    <m/>
  </r>
  <r>
    <x v="259"/>
    <s v="Sun"/>
    <n v="43"/>
    <x v="8"/>
    <x v="0"/>
    <x v="0"/>
    <x v="0"/>
    <m/>
  </r>
  <r>
    <x v="260"/>
    <s v="Mon"/>
    <n v="43"/>
    <x v="8"/>
    <x v="0"/>
    <x v="0"/>
    <x v="0"/>
    <m/>
  </r>
  <r>
    <x v="261"/>
    <s v="Tue"/>
    <n v="43"/>
    <x v="8"/>
    <x v="0"/>
    <x v="0"/>
    <x v="0"/>
    <m/>
  </r>
  <r>
    <x v="262"/>
    <s v="Wed"/>
    <n v="43"/>
    <x v="8"/>
    <x v="0"/>
    <x v="0"/>
    <x v="0"/>
    <m/>
  </r>
  <r>
    <x v="263"/>
    <s v="Thu"/>
    <n v="43"/>
    <x v="8"/>
    <x v="0"/>
    <x v="0"/>
    <x v="0"/>
    <m/>
  </r>
  <r>
    <x v="264"/>
    <s v="Fri"/>
    <n v="43"/>
    <x v="8"/>
    <x v="0"/>
    <x v="0"/>
    <x v="0"/>
    <m/>
  </r>
  <r>
    <x v="265"/>
    <s v="Sat"/>
    <n v="43"/>
    <x v="8"/>
    <x v="0"/>
    <x v="0"/>
    <x v="0"/>
    <m/>
  </r>
  <r>
    <x v="266"/>
    <s v="Sun"/>
    <n v="44"/>
    <x v="8"/>
    <x v="0"/>
    <x v="0"/>
    <x v="0"/>
    <m/>
  </r>
  <r>
    <x v="267"/>
    <s v="Mon"/>
    <n v="44"/>
    <x v="8"/>
    <x v="0"/>
    <x v="0"/>
    <x v="0"/>
    <m/>
  </r>
  <r>
    <x v="268"/>
    <s v="Tue"/>
    <n v="44"/>
    <x v="8"/>
    <x v="0"/>
    <x v="0"/>
    <x v="0"/>
    <m/>
  </r>
  <r>
    <x v="269"/>
    <s v="Wed"/>
    <n v="44"/>
    <x v="8"/>
    <x v="0"/>
    <x v="0"/>
    <x v="0"/>
    <m/>
  </r>
  <r>
    <x v="270"/>
    <s v="Thu"/>
    <n v="44"/>
    <x v="8"/>
    <x v="0"/>
    <x v="0"/>
    <x v="0"/>
    <m/>
  </r>
  <r>
    <x v="271"/>
    <s v="Fri"/>
    <n v="44"/>
    <x v="8"/>
    <x v="0"/>
    <x v="0"/>
    <x v="0"/>
    <m/>
  </r>
  <r>
    <x v="272"/>
    <s v="Sat"/>
    <n v="44"/>
    <x v="8"/>
    <x v="0"/>
    <x v="0"/>
    <x v="0"/>
    <m/>
  </r>
  <r>
    <x v="273"/>
    <s v="Sun"/>
    <n v="45"/>
    <x v="9"/>
    <x v="0"/>
    <x v="0"/>
    <x v="0"/>
    <m/>
  </r>
  <r>
    <x v="274"/>
    <s v="Mon"/>
    <n v="45"/>
    <x v="9"/>
    <x v="0"/>
    <x v="0"/>
    <x v="0"/>
    <m/>
  </r>
  <r>
    <x v="275"/>
    <s v="Tue"/>
    <n v="45"/>
    <x v="9"/>
    <x v="0"/>
    <x v="0"/>
    <x v="0"/>
    <m/>
  </r>
  <r>
    <x v="276"/>
    <s v="Wed"/>
    <n v="45"/>
    <x v="9"/>
    <x v="0"/>
    <x v="0"/>
    <x v="0"/>
    <m/>
  </r>
  <r>
    <x v="277"/>
    <s v="Thu"/>
    <n v="45"/>
    <x v="9"/>
    <x v="0"/>
    <x v="0"/>
    <x v="0"/>
    <m/>
  </r>
  <r>
    <x v="278"/>
    <s v="Fri"/>
    <n v="45"/>
    <x v="9"/>
    <x v="0"/>
    <x v="0"/>
    <x v="0"/>
    <m/>
  </r>
  <r>
    <x v="279"/>
    <s v="Sat"/>
    <n v="45"/>
    <x v="9"/>
    <x v="0"/>
    <x v="0"/>
    <x v="0"/>
    <m/>
  </r>
  <r>
    <x v="280"/>
    <s v="Sun"/>
    <n v="46"/>
    <x v="9"/>
    <x v="0"/>
    <x v="0"/>
    <x v="0"/>
    <m/>
  </r>
  <r>
    <x v="281"/>
    <s v="Mon"/>
    <n v="46"/>
    <x v="9"/>
    <x v="0"/>
    <x v="0"/>
    <x v="0"/>
    <m/>
  </r>
  <r>
    <x v="282"/>
    <s v="Tue"/>
    <n v="46"/>
    <x v="9"/>
    <x v="0"/>
    <x v="0"/>
    <x v="0"/>
    <m/>
  </r>
  <r>
    <x v="283"/>
    <s v="Wed"/>
    <n v="46"/>
    <x v="9"/>
    <x v="0"/>
    <x v="0"/>
    <x v="0"/>
    <m/>
  </r>
  <r>
    <x v="284"/>
    <s v="Thu"/>
    <n v="46"/>
    <x v="9"/>
    <x v="0"/>
    <x v="0"/>
    <x v="0"/>
    <m/>
  </r>
  <r>
    <x v="285"/>
    <s v="Fri"/>
    <n v="46"/>
    <x v="9"/>
    <x v="0"/>
    <x v="0"/>
    <x v="0"/>
    <m/>
  </r>
  <r>
    <x v="286"/>
    <s v="Sat"/>
    <n v="46"/>
    <x v="9"/>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9CA4D8-F5A6-4CD4-BFEC-0085BB6DF49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P84:T85" firstHeaderRow="0" firstDataRow="1" firstDataCol="3"/>
  <pivotFields count="8">
    <pivotField dataField="1" compact="0" numFmtId="164" outline="0" showAll="0" defaultSubtotal="0">
      <items count="22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s>
    </pivotField>
    <pivotField compact="0" outline="0" showAll="0" defaultSubtotal="0"/>
    <pivotField compact="0" outline="0" showAll="0" defaultSubtotal="0"/>
    <pivotField compact="0" outline="0" showAll="0" defaultSubtotal="0">
      <items count="8">
        <item h="1" x="0"/>
        <item h="1" x="1"/>
        <item h="1" x="2"/>
        <item h="1" x="3"/>
        <item x="4"/>
        <item h="1" x="5"/>
        <item h="1" x="6"/>
        <item h="1" x="7"/>
      </items>
    </pivotField>
    <pivotField axis="axisRow" compact="0" outline="0" showAll="0" defaultSubtotal="0">
      <items count="4">
        <item x="1"/>
        <item x="0"/>
        <item x="2"/>
        <item x="3"/>
      </items>
    </pivotField>
    <pivotField axis="axisRow" compact="0" outline="0" showAll="0" defaultSubtotal="0">
      <items count="4">
        <item x="1"/>
        <item x="0"/>
        <item x="2"/>
        <item x="3"/>
      </items>
    </pivotField>
    <pivotField axis="axisRow" compact="0" outline="0" showAll="0" defaultSubtotal="0">
      <items count="1">
        <item x="0"/>
      </items>
    </pivotField>
    <pivotField dataField="1" compact="0" outline="0" showAll="0" defaultSubtotal="0"/>
  </pivotFields>
  <rowFields count="3">
    <field x="6"/>
    <field x="4"/>
    <field x="5"/>
  </rowFields>
  <rowItems count="1">
    <i>
      <x/>
      <x/>
      <x/>
    </i>
  </rowItems>
  <colFields count="1">
    <field x="-2"/>
  </colFields>
  <colItems count="2">
    <i>
      <x/>
    </i>
    <i i="1">
      <x v="1"/>
    </i>
  </colItems>
  <dataFields count="2">
    <dataField name="Count of DATE" fld="0" subtotal="count" baseField="0" baseItem="0"/>
    <dataField name="Sum of LEMBUR"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B0FDEE-FDD9-4643-B325-302CA80B2AF6}" name="PivotTable3"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P61:T63" firstHeaderRow="0" firstDataRow="1" firstDataCol="3"/>
  <pivotFields count="8">
    <pivotField dataField="1" compact="0" numFmtId="164" outline="0" showAll="0" defaultSubtotal="0">
      <items count="287">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s>
    </pivotField>
    <pivotField compact="0" outline="0" showAll="0" defaultSubtotal="0"/>
    <pivotField compact="0" outline="0" showAll="0" defaultSubtotal="0"/>
    <pivotField compact="0" outline="0" showAll="0" defaultSubtotal="0">
      <items count="10">
        <item h="1" x="0"/>
        <item h="1" x="1"/>
        <item h="1" x="2"/>
        <item h="1" x="3"/>
        <item h="1" x="4"/>
        <item h="1" x="5"/>
        <item h="1" x="6"/>
        <item x="7"/>
        <item h="1" x="8"/>
        <item h="1" x="9"/>
      </items>
    </pivotField>
    <pivotField axis="axisRow" compact="0" outline="0" showAll="0" defaultSubtotal="0">
      <items count="5">
        <item x="0"/>
        <item x="1"/>
        <item m="1" x="4"/>
        <item m="1" x="3"/>
        <item x="2"/>
      </items>
    </pivotField>
    <pivotField axis="axisRow" compact="0" outline="0" showAll="0" defaultSubtotal="0">
      <items count="5">
        <item x="0"/>
        <item x="1"/>
        <item m="1" x="4"/>
        <item m="1" x="3"/>
        <item x="2"/>
      </items>
    </pivotField>
    <pivotField axis="axisRow" compact="0" outline="0" showAll="0" defaultSubtotal="0">
      <items count="1">
        <item x="0"/>
      </items>
    </pivotField>
    <pivotField dataField="1" compact="0" outline="0" subtotalTop="0" showAll="0" defaultSubtotal="0"/>
  </pivotFields>
  <rowFields count="3">
    <field x="6"/>
    <field x="4"/>
    <field x="5"/>
  </rowFields>
  <rowItems count="2">
    <i>
      <x/>
      <x/>
      <x/>
    </i>
    <i r="1">
      <x v="1"/>
      <x v="1"/>
    </i>
  </rowItems>
  <colFields count="1">
    <field x="-2"/>
  </colFields>
  <colItems count="2">
    <i>
      <x/>
    </i>
    <i i="1">
      <x v="1"/>
    </i>
  </colItems>
  <dataFields count="2">
    <dataField name="Count of DATE" fld="0" subtotal="count" baseField="0" baseItem="0"/>
    <dataField name="Sum of LEMBUR" fld="7"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21CF64-7193-4B8F-97E9-8E462089D56E}"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P2:S5" firstHeaderRow="1" firstDataRow="1" firstDataCol="3"/>
  <pivotFields count="7">
    <pivotField dataField="1" compact="0" numFmtId="164" outline="0" showAll="0" defaultSubtotal="0">
      <items count="347">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s>
    </pivotField>
    <pivotField compact="0" outline="0" showAll="0" defaultSubtotal="0"/>
    <pivotField compact="0" outline="0" showAll="0" defaultSubtotal="0"/>
    <pivotField compact="0" outline="0" showAll="0" defaultSubtotal="0">
      <items count="21">
        <item h="1" x="0"/>
        <item h="1" x="1"/>
        <item h="1" x="2"/>
        <item h="1" x="3"/>
        <item h="1" x="4"/>
        <item h="1" x="5"/>
        <item h="1" x="6"/>
        <item h="1" x="7"/>
        <item x="8"/>
        <item h="1" x="9"/>
        <item h="1" x="10"/>
        <item h="1" x="11"/>
        <item h="1" m="1" x="12"/>
        <item h="1" m="1" x="19"/>
        <item h="1" m="1" x="13"/>
        <item h="1" m="1" x="16"/>
        <item h="1" m="1" x="15"/>
        <item h="1" m="1" x="18"/>
        <item h="1" m="1" x="20"/>
        <item h="1" m="1" x="17"/>
        <item h="1" m="1" x="14"/>
      </items>
    </pivotField>
    <pivotField axis="axisRow" compact="0" outline="0" showAll="0" defaultSubtotal="0">
      <items count="6">
        <item x="1"/>
        <item x="0"/>
        <item x="3"/>
        <item x="2"/>
        <item x="4"/>
        <item m="1" x="5"/>
      </items>
    </pivotField>
    <pivotField axis="axisRow" compact="0" outline="0" showAll="0" defaultSubtotal="0">
      <items count="10">
        <item x="1"/>
        <item m="1" x="9"/>
        <item m="1" x="7"/>
        <item m="1" x="8"/>
        <item x="3"/>
        <item x="4"/>
        <item x="0"/>
        <item x="2"/>
        <item m="1" x="6"/>
        <item x="5"/>
      </items>
    </pivotField>
    <pivotField axis="axisRow" compact="0" outline="0" showAll="0" defaultSubtotal="0">
      <items count="1">
        <item x="0"/>
      </items>
    </pivotField>
  </pivotFields>
  <rowFields count="3">
    <field x="6"/>
    <field x="4"/>
    <field x="5"/>
  </rowFields>
  <rowItems count="3">
    <i>
      <x/>
      <x/>
      <x/>
    </i>
    <i r="1">
      <x v="1"/>
      <x v="6"/>
    </i>
    <i r="1">
      <x v="3"/>
      <x v="7"/>
    </i>
  </rowItems>
  <colItems count="1">
    <i/>
  </colItems>
  <dataFields count="1">
    <dataField name="Count of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0E8239-9595-446D-834E-C0E46DCFD3D9}"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P24:S26" firstHeaderRow="1" firstDataRow="1" firstDataCol="3"/>
  <pivotFields count="7">
    <pivotField dataField="1" compact="0" numFmtId="164" outline="0" showAll="0" defaultSubtotal="0">
      <items count="316">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s>
    </pivotField>
    <pivotField compact="0" outline="0" showAll="0" defaultSubtotal="0"/>
    <pivotField compact="0" outline="0" showAll="0" defaultSubtotal="0"/>
    <pivotField compact="0" outline="0" showAll="0" defaultSubtotal="0">
      <items count="21">
        <item h="1" x="0"/>
        <item h="1" x="1"/>
        <item h="1" x="2"/>
        <item h="1" x="3"/>
        <item h="1" x="4"/>
        <item h="1" x="5"/>
        <item h="1" x="6"/>
        <item h="1" x="7"/>
        <item x="8"/>
        <item h="1" x="9"/>
        <item h="1" x="10"/>
        <item h="1" m="1" x="11"/>
        <item h="1" m="1" x="12"/>
        <item h="1" m="1" x="19"/>
        <item h="1" m="1" x="13"/>
        <item h="1" m="1" x="16"/>
        <item h="1" m="1" x="15"/>
        <item h="1" m="1" x="18"/>
        <item h="1" m="1" x="20"/>
        <item h="1" m="1" x="17"/>
        <item h="1" m="1" x="14"/>
      </items>
    </pivotField>
    <pivotField axis="axisRow" compact="0" outline="0" showAll="0" defaultSubtotal="0">
      <items count="6">
        <item x="1"/>
        <item x="0"/>
        <item x="2"/>
        <item x="4"/>
        <item x="3"/>
        <item m="1" x="5"/>
      </items>
    </pivotField>
    <pivotField axis="axisRow" compact="0" outline="0" showAll="0" defaultSubtotal="0">
      <items count="8">
        <item x="1"/>
        <item m="1" x="6"/>
        <item m="1" x="7"/>
        <item x="4"/>
        <item x="3"/>
        <item x="0"/>
        <item x="2"/>
        <item m="1" x="5"/>
      </items>
    </pivotField>
    <pivotField axis="axisRow" compact="0" outline="0" showAll="0" defaultSubtotal="0">
      <items count="2">
        <item x="0"/>
        <item x="1"/>
      </items>
    </pivotField>
  </pivotFields>
  <rowFields count="3">
    <field x="6"/>
    <field x="4"/>
    <field x="5"/>
  </rowFields>
  <rowItems count="2">
    <i>
      <x v="1"/>
      <x/>
      <x/>
    </i>
    <i r="1">
      <x v="1"/>
      <x v="5"/>
    </i>
  </rowItems>
  <colItems count="1">
    <i/>
  </colItems>
  <dataFields count="1">
    <dataField name="Count of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0E205A-3857-4F98-BB5D-49AE137BDCF6}"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M1:R13" firstHeaderRow="0" firstDataRow="1" firstDataCol="2"/>
  <pivotFields count="11">
    <pivotField compact="0" numFmtId="164" outline="0" showAll="0" defaultSubtotal="0"/>
    <pivotField compact="0" outline="0" showAll="0" defaultSubtotal="0"/>
    <pivotField compact="0" outline="0" showAll="0" defaultSubtotal="0"/>
    <pivotField axis="axisRow" compact="0" outline="0" showAll="0" defaultSubtotal="0">
      <items count="12">
        <item x="0"/>
        <item x="1"/>
        <item x="2"/>
        <item x="3"/>
        <item x="4"/>
        <item x="5"/>
        <item x="6"/>
        <item x="7"/>
        <item x="8"/>
        <item x="9"/>
        <item x="10"/>
        <item x="11"/>
      </items>
    </pivotField>
    <pivotField compact="0" outline="0" showAll="0" defaultSubtotal="0"/>
    <pivotField compact="0" outline="0" showAll="0" defaultSubtotal="0"/>
    <pivotField axis="axisRow" compact="0" outline="0" showAll="0" defaultSubtotal="0">
      <items count="1">
        <item x="0"/>
      </items>
    </pivotField>
    <pivotField dataField="1" compact="0" outline="0" showAll="0" defaultSubtotal="0"/>
    <pivotField dataField="1" compact="0" outline="0" showAll="0" defaultSubtotal="0"/>
    <pivotField dataField="1" compact="0" outline="0" showAll="0" defaultSubtotal="0"/>
    <pivotField dataField="1" compact="0" outline="0" subtotalTop="0" showAll="0" defaultSubtotal="0"/>
  </pivotFields>
  <rowFields count="2">
    <field x="6"/>
    <field x="3"/>
  </rowFields>
  <rowItems count="12">
    <i>
      <x/>
      <x/>
    </i>
    <i r="1">
      <x v="1"/>
    </i>
    <i r="1">
      <x v="2"/>
    </i>
    <i r="1">
      <x v="3"/>
    </i>
    <i r="1">
      <x v="4"/>
    </i>
    <i r="1">
      <x v="5"/>
    </i>
    <i r="1">
      <x v="6"/>
    </i>
    <i r="1">
      <x v="7"/>
    </i>
    <i r="1">
      <x v="8"/>
    </i>
    <i r="1">
      <x v="9"/>
    </i>
    <i r="1">
      <x v="10"/>
    </i>
    <i r="1">
      <x v="11"/>
    </i>
  </rowItems>
  <colFields count="1">
    <field x="-2"/>
  </colFields>
  <colItems count="4">
    <i>
      <x/>
    </i>
    <i i="1">
      <x v="1"/>
    </i>
    <i i="2">
      <x v="2"/>
    </i>
    <i i="3">
      <x v="3"/>
    </i>
  </colItems>
  <dataFields count="4">
    <dataField name="Sum of SESI 1" fld="7" baseField="0" baseItem="0"/>
    <dataField name="Sum of SESI 2" fld="8" baseField="0" baseItem="0"/>
    <dataField name="Sum of SESI 3" fld="9" baseField="0" baseItem="0"/>
    <dataField name="Sum of V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285E4A-4762-4C3F-8D0B-FDD41252474D}" name="PivotTabl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M16:R27" firstHeaderRow="0" firstDataRow="1" firstDataCol="2"/>
  <pivotFields count="11">
    <pivotField compact="0" numFmtId="164" outline="0" showAll="0" defaultSubtotal="0"/>
    <pivotField compact="0" outline="0" showAll="0" defaultSubtotal="0"/>
    <pivotField compact="0" outline="0" showAll="0" defaultSubtotal="0"/>
    <pivotField axis="axisRow" compact="0" outline="0" showAll="0" defaultSubtotal="0">
      <items count="12">
        <item x="0"/>
        <item x="1"/>
        <item x="2"/>
        <item x="3"/>
        <item x="4"/>
        <item x="5"/>
        <item x="6"/>
        <item x="7"/>
        <item x="8"/>
        <item x="9"/>
        <item x="10"/>
        <item m="1" x="11"/>
      </items>
    </pivotField>
    <pivotField compact="0" outline="0" showAll="0" defaultSubtotal="0"/>
    <pivotField compact="0" outline="0" showAll="0" defaultSubtotal="0"/>
    <pivotField axis="axisRow" compact="0" outline="0" showAll="0" defaultSubtotal="0">
      <items count="2">
        <item h="1" x="0"/>
        <item x="1"/>
      </items>
    </pivotField>
    <pivotField dataField="1" compact="0" outline="0" showAll="0" defaultSubtotal="0"/>
    <pivotField dataField="1" compact="0" outline="0" showAll="0" defaultSubtotal="0"/>
    <pivotField dataField="1" compact="0" outline="0" showAll="0" defaultSubtotal="0"/>
    <pivotField dataField="1" compact="0" outline="0" subtotalTop="0" showAll="0" defaultSubtotal="0"/>
  </pivotFields>
  <rowFields count="2">
    <field x="6"/>
    <field x="3"/>
  </rowFields>
  <rowItems count="11">
    <i>
      <x v="1"/>
      <x/>
    </i>
    <i r="1">
      <x v="1"/>
    </i>
    <i r="1">
      <x v="2"/>
    </i>
    <i r="1">
      <x v="3"/>
    </i>
    <i r="1">
      <x v="4"/>
    </i>
    <i r="1">
      <x v="5"/>
    </i>
    <i r="1">
      <x v="6"/>
    </i>
    <i r="1">
      <x v="7"/>
    </i>
    <i r="1">
      <x v="8"/>
    </i>
    <i r="1">
      <x v="9"/>
    </i>
    <i r="1">
      <x v="10"/>
    </i>
  </rowItems>
  <colFields count="1">
    <field x="-2"/>
  </colFields>
  <colItems count="4">
    <i>
      <x/>
    </i>
    <i i="1">
      <x v="1"/>
    </i>
    <i i="2">
      <x v="2"/>
    </i>
    <i i="3">
      <x v="3"/>
    </i>
  </colItems>
  <dataFields count="4">
    <dataField name="Sum of SESI 1" fld="7" baseField="0" baseItem="0"/>
    <dataField name="Sum of SESI 2" fld="8" baseField="0" baseItem="0"/>
    <dataField name="Sum of SESI 3" fld="9" baseField="0" baseItem="0"/>
    <dataField name="Sum of V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B012CC6D-DD56-460E-B0C5-D68308A9897C}" sourceName="DATE">
  <pivotTables>
    <pivotTable tabId="3" name="PivotTable1"/>
  </pivotTables>
  <data>
    <tabular pivotCacheId="1323439030">
      <items count="347">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0" nd="1"/>
        <i x="1" nd="1"/>
        <i x="2" nd="1"/>
        <i x="3" nd="1"/>
        <i x="4" nd="1"/>
        <i x="5" nd="1"/>
        <i x="6" nd="1"/>
        <i x="7" nd="1"/>
        <i x="8" nd="1"/>
        <i x="9" nd="1"/>
        <i x="10" nd="1"/>
        <i x="11" nd="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41" nd="1"/>
        <i x="42" nd="1"/>
        <i x="43" nd="1"/>
        <i x="44" nd="1"/>
        <i x="45" nd="1"/>
        <i x="46" nd="1"/>
        <i x="47" nd="1"/>
        <i x="48" nd="1"/>
        <i x="49" nd="1"/>
        <i x="50" nd="1"/>
        <i x="51" nd="1"/>
        <i x="52" nd="1"/>
        <i x="53" nd="1"/>
        <i x="54" nd="1"/>
        <i x="55" nd="1"/>
        <i x="56" nd="1"/>
        <i x="57" nd="1"/>
        <i x="58" nd="1"/>
        <i x="59" nd="1"/>
        <i x="60" nd="1"/>
        <i x="61" nd="1"/>
        <i x="62" nd="1"/>
        <i x="63" nd="1"/>
        <i x="64" nd="1"/>
        <i x="65" nd="1"/>
        <i x="66" nd="1"/>
        <i x="67" nd="1"/>
        <i x="68" nd="1"/>
        <i x="69" nd="1"/>
        <i x="70" nd="1"/>
        <i x="71" nd="1"/>
        <i x="72" nd="1"/>
        <i x="73" nd="1"/>
        <i x="74" nd="1"/>
        <i x="75" nd="1"/>
        <i x="76" nd="1"/>
        <i x="77" nd="1"/>
        <i x="78" nd="1"/>
        <i x="79" nd="1"/>
        <i x="80" nd="1"/>
        <i x="81" nd="1"/>
        <i x="82" nd="1"/>
        <i x="83" nd="1"/>
        <i x="84" nd="1"/>
        <i x="85" nd="1"/>
        <i x="86" nd="1"/>
        <i x="87" nd="1"/>
        <i x="88" nd="1"/>
        <i x="89" nd="1"/>
        <i x="90" nd="1"/>
        <i x="91" nd="1"/>
        <i x="92" nd="1"/>
        <i x="93" nd="1"/>
        <i x="94" nd="1"/>
        <i x="95" nd="1"/>
        <i x="96" nd="1"/>
        <i x="97" nd="1"/>
        <i x="98" nd="1"/>
        <i x="99" nd="1"/>
        <i x="100" nd="1"/>
        <i x="101" nd="1"/>
        <i x="102" nd="1"/>
        <i x="103" nd="1"/>
        <i x="104" nd="1"/>
        <i x="105" nd="1"/>
        <i x="106" nd="1"/>
        <i x="107" nd="1"/>
        <i x="108" nd="1"/>
        <i x="109" nd="1"/>
        <i x="110" nd="1"/>
        <i x="111" nd="1"/>
        <i x="112" nd="1"/>
        <i x="113" nd="1"/>
        <i x="114" nd="1"/>
        <i x="115" nd="1"/>
        <i x="116" nd="1"/>
        <i x="117" nd="1"/>
        <i x="118" nd="1"/>
        <i x="119" nd="1"/>
        <i x="120" nd="1"/>
        <i x="121" nd="1"/>
        <i x="122" nd="1"/>
        <i x="123" nd="1"/>
        <i x="124" nd="1"/>
        <i x="125" nd="1"/>
        <i x="126" nd="1"/>
        <i x="127" nd="1"/>
        <i x="128" nd="1"/>
        <i x="129" nd="1"/>
        <i x="130" nd="1"/>
        <i x="131" nd="1"/>
        <i x="132" nd="1"/>
        <i x="133" nd="1"/>
        <i x="134" nd="1"/>
        <i x="135" nd="1"/>
        <i x="136" nd="1"/>
        <i x="137" nd="1"/>
        <i x="138" nd="1"/>
        <i x="139" nd="1"/>
        <i x="140" nd="1"/>
        <i x="141" nd="1"/>
        <i x="142" nd="1"/>
        <i x="143" nd="1"/>
        <i x="144" nd="1"/>
        <i x="145" nd="1"/>
        <i x="146" nd="1"/>
        <i x="147" nd="1"/>
        <i x="148" nd="1"/>
        <i x="149" nd="1"/>
        <i x="150" nd="1"/>
        <i x="151" nd="1"/>
        <i x="152" nd="1"/>
        <i x="153" nd="1"/>
        <i x="154" nd="1"/>
        <i x="155" nd="1"/>
        <i x="156" nd="1"/>
        <i x="157" nd="1"/>
        <i x="158" nd="1"/>
        <i x="159" nd="1"/>
        <i x="160" nd="1"/>
        <i x="161" nd="1"/>
        <i x="162" nd="1"/>
        <i x="163" nd="1"/>
        <i x="164" nd="1"/>
        <i x="165" nd="1"/>
        <i x="166" nd="1"/>
        <i x="167" nd="1"/>
        <i x="168" nd="1"/>
        <i x="169" nd="1"/>
        <i x="170" nd="1"/>
        <i x="171" nd="1"/>
        <i x="172" nd="1"/>
        <i x="173" nd="1"/>
        <i x="174" nd="1"/>
        <i x="175" nd="1"/>
        <i x="176" nd="1"/>
        <i x="177" nd="1"/>
        <i x="178" nd="1"/>
        <i x="179" nd="1"/>
        <i x="180" nd="1"/>
        <i x="181" nd="1"/>
        <i x="182" nd="1"/>
        <i x="183" nd="1"/>
        <i x="184" nd="1"/>
        <i x="185" nd="1"/>
        <i x="186" nd="1"/>
        <i x="187" nd="1"/>
        <i x="188" nd="1"/>
        <i x="189" nd="1"/>
        <i x="190" nd="1"/>
        <i x="191" nd="1"/>
        <i x="192" nd="1"/>
        <i x="193" nd="1"/>
        <i x="194" nd="1"/>
        <i x="195" nd="1"/>
        <i x="196" nd="1"/>
        <i x="197" nd="1"/>
        <i x="198" nd="1"/>
        <i x="199" nd="1"/>
        <i x="200" nd="1"/>
        <i x="201" nd="1"/>
        <i x="202" nd="1"/>
        <i x="203" nd="1"/>
        <i x="204" nd="1"/>
        <i x="205" nd="1"/>
        <i x="206" nd="1"/>
        <i x="207" nd="1"/>
        <i x="208" nd="1"/>
        <i x="209" nd="1"/>
        <i x="210" nd="1"/>
        <i x="211" nd="1"/>
        <i x="212" nd="1"/>
        <i x="213" nd="1"/>
        <i x="214" nd="1"/>
        <i x="215" nd="1"/>
        <i x="216" nd="1"/>
        <i x="217" nd="1"/>
        <i x="218" nd="1"/>
        <i x="219" nd="1"/>
        <i x="220" nd="1"/>
        <i x="221" nd="1"/>
        <i x="222" nd="1"/>
        <i x="223" nd="1"/>
        <i x="224" nd="1"/>
        <i x="225" nd="1"/>
        <i x="226" nd="1"/>
        <i x="227" nd="1"/>
        <i x="228" nd="1"/>
        <i x="229" nd="1"/>
        <i x="230" nd="1"/>
        <i x="231" nd="1"/>
        <i x="232" nd="1"/>
        <i x="233" nd="1"/>
        <i x="234" nd="1"/>
        <i x="235" nd="1"/>
        <i x="236" nd="1"/>
        <i x="237" nd="1"/>
        <i x="238" nd="1"/>
        <i x="239" nd="1"/>
        <i x="240" nd="1"/>
        <i x="271" nd="1"/>
        <i x="272" nd="1"/>
        <i x="273" nd="1"/>
        <i x="274" nd="1"/>
        <i x="275" nd="1"/>
        <i x="276" nd="1"/>
        <i x="277" nd="1"/>
        <i x="278" nd="1"/>
        <i x="279" nd="1"/>
        <i x="280" nd="1"/>
        <i x="281" nd="1"/>
        <i x="282" nd="1"/>
        <i x="283" nd="1"/>
        <i x="284" nd="1"/>
        <i x="285" nd="1"/>
        <i x="286" nd="1"/>
        <i x="287" nd="1"/>
        <i x="288" nd="1"/>
        <i x="289" nd="1"/>
        <i x="290" nd="1"/>
        <i x="291" nd="1"/>
        <i x="292" nd="1"/>
        <i x="293" nd="1"/>
        <i x="294" nd="1"/>
        <i x="295" nd="1"/>
        <i x="296" nd="1"/>
        <i x="297" nd="1"/>
        <i x="298" nd="1"/>
        <i x="299" nd="1"/>
        <i x="300" nd="1"/>
        <i x="301" nd="1"/>
        <i x="302" nd="1"/>
        <i x="303" nd="1"/>
        <i x="304" nd="1"/>
        <i x="305" nd="1"/>
        <i x="306" nd="1"/>
        <i x="307" nd="1"/>
        <i x="308" nd="1"/>
        <i x="309" nd="1"/>
        <i x="310" nd="1"/>
        <i x="311" nd="1"/>
        <i x="312" nd="1"/>
        <i x="313" nd="1"/>
        <i x="314" nd="1"/>
        <i x="315" nd="1"/>
        <i x="316" nd="1"/>
        <i x="317" nd="1"/>
        <i x="318" nd="1"/>
        <i x="319" nd="1"/>
        <i x="320" nd="1"/>
        <i x="321" nd="1"/>
        <i x="322" nd="1"/>
        <i x="323" nd="1"/>
        <i x="324" nd="1"/>
        <i x="325" nd="1"/>
        <i x="326" nd="1"/>
        <i x="327" nd="1"/>
        <i x="328" nd="1"/>
        <i x="329" nd="1"/>
        <i x="330" nd="1"/>
        <i x="331" nd="1"/>
        <i x="332" nd="1"/>
        <i x="333" nd="1"/>
        <i x="334" nd="1"/>
        <i x="335" nd="1"/>
        <i x="336" nd="1"/>
        <i x="337" nd="1"/>
        <i x="338" nd="1"/>
        <i x="339" nd="1"/>
        <i x="340" nd="1"/>
        <i x="341" nd="1"/>
        <i x="342" nd="1"/>
        <i x="343" nd="1"/>
        <i x="344" nd="1"/>
        <i x="345" nd="1"/>
        <i x="34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13AA14C8-AE02-4A39-A7BF-DE494FFF451B}" sourceName="DATE">
  <pivotTables>
    <pivotTable tabId="3" name="PivotTable2"/>
  </pivotTables>
  <data>
    <tabular pivotCacheId="1281620795">
      <items count="316">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0" nd="1"/>
        <i x="1" nd="1"/>
        <i x="2" nd="1"/>
        <i x="3" nd="1"/>
        <i x="4" nd="1"/>
        <i x="5" nd="1"/>
        <i x="6" nd="1"/>
        <i x="7" nd="1"/>
        <i x="8" nd="1"/>
        <i x="9" nd="1"/>
        <i x="10" nd="1"/>
        <i x="11" nd="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41" nd="1"/>
        <i x="42" nd="1"/>
        <i x="43" nd="1"/>
        <i x="44" nd="1"/>
        <i x="45" nd="1"/>
        <i x="46" nd="1"/>
        <i x="47" nd="1"/>
        <i x="48" nd="1"/>
        <i x="49" nd="1"/>
        <i x="50" nd="1"/>
        <i x="51" nd="1"/>
        <i x="52" nd="1"/>
        <i x="53" nd="1"/>
        <i x="54" nd="1"/>
        <i x="55" nd="1"/>
        <i x="56" nd="1"/>
        <i x="57" nd="1"/>
        <i x="58" nd="1"/>
        <i x="59" nd="1"/>
        <i x="60" nd="1"/>
        <i x="61" nd="1"/>
        <i x="62" nd="1"/>
        <i x="63" nd="1"/>
        <i x="64" nd="1"/>
        <i x="65" nd="1"/>
        <i x="66" nd="1"/>
        <i x="67" nd="1"/>
        <i x="68" nd="1"/>
        <i x="69" nd="1"/>
        <i x="70" nd="1"/>
        <i x="71" nd="1"/>
        <i x="72" nd="1"/>
        <i x="73" nd="1"/>
        <i x="74" nd="1"/>
        <i x="75" nd="1"/>
        <i x="76" nd="1"/>
        <i x="77" nd="1"/>
        <i x="78" nd="1"/>
        <i x="79" nd="1"/>
        <i x="80" nd="1"/>
        <i x="81" nd="1"/>
        <i x="82" nd="1"/>
        <i x="83" nd="1"/>
        <i x="84" nd="1"/>
        <i x="85" nd="1"/>
        <i x="86" nd="1"/>
        <i x="87" nd="1"/>
        <i x="88" nd="1"/>
        <i x="89" nd="1"/>
        <i x="90" nd="1"/>
        <i x="91" nd="1"/>
        <i x="92" nd="1"/>
        <i x="93" nd="1"/>
        <i x="94" nd="1"/>
        <i x="95" nd="1"/>
        <i x="96" nd="1"/>
        <i x="97" nd="1"/>
        <i x="98" nd="1"/>
        <i x="99" nd="1"/>
        <i x="100" nd="1"/>
        <i x="101" nd="1"/>
        <i x="102" nd="1"/>
        <i x="103" nd="1"/>
        <i x="104" nd="1"/>
        <i x="105" nd="1"/>
        <i x="106" nd="1"/>
        <i x="107" nd="1"/>
        <i x="108" nd="1"/>
        <i x="109" nd="1"/>
        <i x="110" nd="1"/>
        <i x="111" nd="1"/>
        <i x="112" nd="1"/>
        <i x="113" nd="1"/>
        <i x="114" nd="1"/>
        <i x="115" nd="1"/>
        <i x="116" nd="1"/>
        <i x="117" nd="1"/>
        <i x="118" nd="1"/>
        <i x="119" nd="1"/>
        <i x="120" nd="1"/>
        <i x="121" nd="1"/>
        <i x="122" nd="1"/>
        <i x="123" nd="1"/>
        <i x="124" nd="1"/>
        <i x="125" nd="1"/>
        <i x="126" nd="1"/>
        <i x="127" nd="1"/>
        <i x="128" nd="1"/>
        <i x="129" nd="1"/>
        <i x="130" nd="1"/>
        <i x="131" nd="1"/>
        <i x="132" nd="1"/>
        <i x="133" nd="1"/>
        <i x="134" nd="1"/>
        <i x="135" nd="1"/>
        <i x="136" nd="1"/>
        <i x="137" nd="1"/>
        <i x="138" nd="1"/>
        <i x="139" nd="1"/>
        <i x="140" nd="1"/>
        <i x="141" nd="1"/>
        <i x="142" nd="1"/>
        <i x="143" nd="1"/>
        <i x="144" nd="1"/>
        <i x="145" nd="1"/>
        <i x="146" nd="1"/>
        <i x="147" nd="1"/>
        <i x="148" nd="1"/>
        <i x="149" nd="1"/>
        <i x="150" nd="1"/>
        <i x="151" nd="1"/>
        <i x="152" nd="1"/>
        <i x="153" nd="1"/>
        <i x="154" nd="1"/>
        <i x="155" nd="1"/>
        <i x="156" nd="1"/>
        <i x="157" nd="1"/>
        <i x="158" nd="1"/>
        <i x="159" nd="1"/>
        <i x="160" nd="1"/>
        <i x="161" nd="1"/>
        <i x="162" nd="1"/>
        <i x="163" nd="1"/>
        <i x="164" nd="1"/>
        <i x="165" nd="1"/>
        <i x="166" nd="1"/>
        <i x="167" nd="1"/>
        <i x="168" nd="1"/>
        <i x="169" nd="1"/>
        <i x="170" nd="1"/>
        <i x="171" nd="1"/>
        <i x="172" nd="1"/>
        <i x="173" nd="1"/>
        <i x="174" nd="1"/>
        <i x="175" nd="1"/>
        <i x="176" nd="1"/>
        <i x="177" nd="1"/>
        <i x="178" nd="1"/>
        <i x="179" nd="1"/>
        <i x="180" nd="1"/>
        <i x="181" nd="1"/>
        <i x="182" nd="1"/>
        <i x="183" nd="1"/>
        <i x="184" nd="1"/>
        <i x="185" nd="1"/>
        <i x="186" nd="1"/>
        <i x="187" nd="1"/>
        <i x="188" nd="1"/>
        <i x="189" nd="1"/>
        <i x="190" nd="1"/>
        <i x="191" nd="1"/>
        <i x="192" nd="1"/>
        <i x="193" nd="1"/>
        <i x="194" nd="1"/>
        <i x="195" nd="1"/>
        <i x="196" nd="1"/>
        <i x="197" nd="1"/>
        <i x="198" nd="1"/>
        <i x="199" nd="1"/>
        <i x="200" nd="1"/>
        <i x="201" nd="1"/>
        <i x="202" nd="1"/>
        <i x="203" nd="1"/>
        <i x="204" nd="1"/>
        <i x="205" nd="1"/>
        <i x="206" nd="1"/>
        <i x="207" nd="1"/>
        <i x="208" nd="1"/>
        <i x="209" nd="1"/>
        <i x="210" nd="1"/>
        <i x="211" nd="1"/>
        <i x="212" nd="1"/>
        <i x="213" nd="1"/>
        <i x="214" nd="1"/>
        <i x="215" nd="1"/>
        <i x="216" nd="1"/>
        <i x="217" nd="1"/>
        <i x="218" nd="1"/>
        <i x="219" nd="1"/>
        <i x="220" nd="1"/>
        <i x="221" nd="1"/>
        <i x="222" nd="1"/>
        <i x="223" nd="1"/>
        <i x="224" nd="1"/>
        <i x="225" nd="1"/>
        <i x="226" nd="1"/>
        <i x="227" nd="1"/>
        <i x="228" nd="1"/>
        <i x="229" nd="1"/>
        <i x="230" nd="1"/>
        <i x="231" nd="1"/>
        <i x="232" nd="1"/>
        <i x="233" nd="1"/>
        <i x="234" nd="1"/>
        <i x="235" nd="1"/>
        <i x="236" nd="1"/>
        <i x="237" nd="1"/>
        <i x="238" nd="1"/>
        <i x="239" nd="1"/>
        <i x="240" nd="1"/>
        <i x="271" nd="1"/>
        <i x="272" nd="1"/>
        <i x="273" nd="1"/>
        <i x="274" nd="1"/>
        <i x="275" nd="1"/>
        <i x="276" nd="1"/>
        <i x="277" nd="1"/>
        <i x="278" nd="1"/>
        <i x="279" nd="1"/>
        <i x="280" nd="1"/>
        <i x="281" nd="1"/>
        <i x="282" nd="1"/>
        <i x="283" nd="1"/>
        <i x="284" nd="1"/>
        <i x="285" nd="1"/>
        <i x="286" nd="1"/>
        <i x="287" nd="1"/>
        <i x="288" nd="1"/>
        <i x="289" nd="1"/>
        <i x="290" nd="1"/>
        <i x="291" nd="1"/>
        <i x="292" nd="1"/>
        <i x="293" nd="1"/>
        <i x="294" nd="1"/>
        <i x="295" nd="1"/>
        <i x="296" nd="1"/>
        <i x="297" nd="1"/>
        <i x="298" nd="1"/>
        <i x="299" nd="1"/>
        <i x="300" nd="1"/>
        <i x="301" nd="1"/>
        <i x="302" nd="1"/>
        <i x="303" nd="1"/>
        <i x="304" nd="1"/>
        <i x="305" nd="1"/>
        <i x="306" nd="1"/>
        <i x="307" nd="1"/>
        <i x="308" nd="1"/>
        <i x="309" nd="1"/>
        <i x="310" nd="1"/>
        <i x="311" nd="1"/>
        <i x="312" nd="1"/>
        <i x="313" nd="1"/>
        <i x="314" nd="1"/>
        <i x="31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6D6F507-BFF6-4AE5-A91C-8D8145C1AB1F}" sourceName="MONTH">
  <pivotTables>
    <pivotTable tabId="3" name="PivotTable2"/>
  </pivotTables>
  <data>
    <tabular pivotCacheId="1281620795">
      <items count="21">
        <i x="8" s="1"/>
        <i x="0" nd="1"/>
        <i x="1" nd="1"/>
        <i x="2" nd="1"/>
        <i x="3" nd="1"/>
        <i x="4" nd="1"/>
        <i x="5" nd="1"/>
        <i x="6" nd="1"/>
        <i x="7" nd="1"/>
        <i x="9" nd="1"/>
        <i x="10" nd="1"/>
        <i x="11" nd="1"/>
        <i x="12" nd="1"/>
        <i x="19" nd="1"/>
        <i x="13" nd="1"/>
        <i x="16" nd="1"/>
        <i x="15" nd="1"/>
        <i x="18" nd="1"/>
        <i x="20" nd="1"/>
        <i x="17" nd="1"/>
        <i x="1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09B7CAED-AF44-4435-A853-FF45AC82EE9B}" sourceName="MONTH">
  <pivotTables>
    <pivotTable tabId="3" name="PivotTable1"/>
  </pivotTables>
  <data>
    <tabular pivotCacheId="1323439030">
      <items count="21">
        <i x="8" s="1"/>
        <i x="0" nd="1"/>
        <i x="1" nd="1"/>
        <i x="2" nd="1"/>
        <i x="3" nd="1"/>
        <i x="4" nd="1"/>
        <i x="5" nd="1"/>
        <i x="6" nd="1"/>
        <i x="7" nd="1"/>
        <i x="9" nd="1"/>
        <i x="10" nd="1"/>
        <i x="11" nd="1"/>
        <i x="12" nd="1"/>
        <i x="19" nd="1"/>
        <i x="13" nd="1"/>
        <i x="16" nd="1"/>
        <i x="15" nd="1"/>
        <i x="18" nd="1"/>
        <i x="20" nd="1"/>
        <i x="17" nd="1"/>
        <i x="14"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2" xr10:uid="{B08DD7BE-0854-44A8-AD5F-66C2154E1378}" sourceName="DATE">
  <pivotTables>
    <pivotTable tabId="3" name="PivotTable3"/>
  </pivotTables>
  <data>
    <tabular pivotCacheId="890354085">
      <items count="287">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0" nd="1"/>
        <i x="1" nd="1"/>
        <i x="2" nd="1"/>
        <i x="3" nd="1"/>
        <i x="4" nd="1"/>
        <i x="5" nd="1"/>
        <i x="6" nd="1"/>
        <i x="7" nd="1"/>
        <i x="8" nd="1"/>
        <i x="9" nd="1"/>
        <i x="10" nd="1"/>
        <i x="11" nd="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41" nd="1"/>
        <i x="42" nd="1"/>
        <i x="43" nd="1"/>
        <i x="44" nd="1"/>
        <i x="45" nd="1"/>
        <i x="46" nd="1"/>
        <i x="47" nd="1"/>
        <i x="48" nd="1"/>
        <i x="49" nd="1"/>
        <i x="50" nd="1"/>
        <i x="51" nd="1"/>
        <i x="52" nd="1"/>
        <i x="53" nd="1"/>
        <i x="54" nd="1"/>
        <i x="55" nd="1"/>
        <i x="56" nd="1"/>
        <i x="57" nd="1"/>
        <i x="58" nd="1"/>
        <i x="59" nd="1"/>
        <i x="60" nd="1"/>
        <i x="61" nd="1"/>
        <i x="62" nd="1"/>
        <i x="63" nd="1"/>
        <i x="64" nd="1"/>
        <i x="65" nd="1"/>
        <i x="66" nd="1"/>
        <i x="67" nd="1"/>
        <i x="68" nd="1"/>
        <i x="69" nd="1"/>
        <i x="70" nd="1"/>
        <i x="71" nd="1"/>
        <i x="72" nd="1"/>
        <i x="73" nd="1"/>
        <i x="74" nd="1"/>
        <i x="75" nd="1"/>
        <i x="76" nd="1"/>
        <i x="77" nd="1"/>
        <i x="78" nd="1"/>
        <i x="79" nd="1"/>
        <i x="80" nd="1"/>
        <i x="81" nd="1"/>
        <i x="82" nd="1"/>
        <i x="83" nd="1"/>
        <i x="84" nd="1"/>
        <i x="85" nd="1"/>
        <i x="86" nd="1"/>
        <i x="87" nd="1"/>
        <i x="88" nd="1"/>
        <i x="89" nd="1"/>
        <i x="90" nd="1"/>
        <i x="91" nd="1"/>
        <i x="92" nd="1"/>
        <i x="93" nd="1"/>
        <i x="94" nd="1"/>
        <i x="95" nd="1"/>
        <i x="96" nd="1"/>
        <i x="97" nd="1"/>
        <i x="98" nd="1"/>
        <i x="99" nd="1"/>
        <i x="100" nd="1"/>
        <i x="101" nd="1"/>
        <i x="102" nd="1"/>
        <i x="103" nd="1"/>
        <i x="104" nd="1"/>
        <i x="105" nd="1"/>
        <i x="106" nd="1"/>
        <i x="107" nd="1"/>
        <i x="108" nd="1"/>
        <i x="109" nd="1"/>
        <i x="110" nd="1"/>
        <i x="111" nd="1"/>
        <i x="112" nd="1"/>
        <i x="113" nd="1"/>
        <i x="114" nd="1"/>
        <i x="115" nd="1"/>
        <i x="116" nd="1"/>
        <i x="117" nd="1"/>
        <i x="118" nd="1"/>
        <i x="119" nd="1"/>
        <i x="120" nd="1"/>
        <i x="121" nd="1"/>
        <i x="122" nd="1"/>
        <i x="123" nd="1"/>
        <i x="124" nd="1"/>
        <i x="125" nd="1"/>
        <i x="126" nd="1"/>
        <i x="127" nd="1"/>
        <i x="128" nd="1"/>
        <i x="129" nd="1"/>
        <i x="130" nd="1"/>
        <i x="131" nd="1"/>
        <i x="132" nd="1"/>
        <i x="133" nd="1"/>
        <i x="134" nd="1"/>
        <i x="135" nd="1"/>
        <i x="136" nd="1"/>
        <i x="137" nd="1"/>
        <i x="138" nd="1"/>
        <i x="139" nd="1"/>
        <i x="140" nd="1"/>
        <i x="141" nd="1"/>
        <i x="142" nd="1"/>
        <i x="143" nd="1"/>
        <i x="144" nd="1"/>
        <i x="145" nd="1"/>
        <i x="146" nd="1"/>
        <i x="147" nd="1"/>
        <i x="148" nd="1"/>
        <i x="149" nd="1"/>
        <i x="150" nd="1"/>
        <i x="151" nd="1"/>
        <i x="152" nd="1"/>
        <i x="153" nd="1"/>
        <i x="154" nd="1"/>
        <i x="155" nd="1"/>
        <i x="156" nd="1"/>
        <i x="157" nd="1"/>
        <i x="158" nd="1"/>
        <i x="159" nd="1"/>
        <i x="160" nd="1"/>
        <i x="161" nd="1"/>
        <i x="162" nd="1"/>
        <i x="163" nd="1"/>
        <i x="164" nd="1"/>
        <i x="165" nd="1"/>
        <i x="166" nd="1"/>
        <i x="167" nd="1"/>
        <i x="168" nd="1"/>
        <i x="169" nd="1"/>
        <i x="170" nd="1"/>
        <i x="171" nd="1"/>
        <i x="172" nd="1"/>
        <i x="173" nd="1"/>
        <i x="174" nd="1"/>
        <i x="175" nd="1"/>
        <i x="176" nd="1"/>
        <i x="177" nd="1"/>
        <i x="178" nd="1"/>
        <i x="179" nd="1"/>
        <i x="180" nd="1"/>
        <i x="181" nd="1"/>
        <i x="182" nd="1"/>
        <i x="183" nd="1"/>
        <i x="184" nd="1"/>
        <i x="185" nd="1"/>
        <i x="186" nd="1"/>
        <i x="187" nd="1"/>
        <i x="188" nd="1"/>
        <i x="189" nd="1"/>
        <i x="190" nd="1"/>
        <i x="191" nd="1"/>
        <i x="192" nd="1"/>
        <i x="193" nd="1"/>
        <i x="194" nd="1"/>
        <i x="195" nd="1"/>
        <i x="196" nd="1"/>
        <i x="197" nd="1"/>
        <i x="198" nd="1"/>
        <i x="199" nd="1"/>
        <i x="200" nd="1"/>
        <i x="201" nd="1"/>
        <i x="202" nd="1"/>
        <i x="203" nd="1"/>
        <i x="204" nd="1"/>
        <i x="205" nd="1"/>
        <i x="206" nd="1"/>
        <i x="207" nd="1"/>
        <i x="208" nd="1"/>
        <i x="209" nd="1"/>
        <i x="210" nd="1"/>
        <i x="211" nd="1"/>
        <i x="242" nd="1"/>
        <i x="243" nd="1"/>
        <i x="244" nd="1"/>
        <i x="245" nd="1"/>
        <i x="246" nd="1"/>
        <i x="247" nd="1"/>
        <i x="248" nd="1"/>
        <i x="249" nd="1"/>
        <i x="250" nd="1"/>
        <i x="251" nd="1"/>
        <i x="252" nd="1"/>
        <i x="253" nd="1"/>
        <i x="254" nd="1"/>
        <i x="255" nd="1"/>
        <i x="256" nd="1"/>
        <i x="257" nd="1"/>
        <i x="258" nd="1"/>
        <i x="259" nd="1"/>
        <i x="260" nd="1"/>
        <i x="261" nd="1"/>
        <i x="262" nd="1"/>
        <i x="263" nd="1"/>
        <i x="264" nd="1"/>
        <i x="265" nd="1"/>
        <i x="266" nd="1"/>
        <i x="267" nd="1"/>
        <i x="268" nd="1"/>
        <i x="269" nd="1"/>
        <i x="270" nd="1"/>
        <i x="271" nd="1"/>
        <i x="272" nd="1"/>
        <i x="273" nd="1"/>
        <i x="274" nd="1"/>
        <i x="275" nd="1"/>
        <i x="276" nd="1"/>
        <i x="277" nd="1"/>
        <i x="278" nd="1"/>
        <i x="279" nd="1"/>
        <i x="280" nd="1"/>
        <i x="281" nd="1"/>
        <i x="282" nd="1"/>
        <i x="283" nd="1"/>
        <i x="284" nd="1"/>
        <i x="285" nd="1"/>
        <i x="286"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2B2FC594-B157-4F59-A5B3-B0E6DB9DA995}" sourceName="MONTH">
  <pivotTables>
    <pivotTable tabId="3" name="PivotTable3"/>
  </pivotTables>
  <data>
    <tabular pivotCacheId="890354085">
      <items count="10">
        <i x="7" s="1"/>
        <i x="0" nd="1"/>
        <i x="1" nd="1"/>
        <i x="2" nd="1"/>
        <i x="3" nd="1"/>
        <i x="4" nd="1"/>
        <i x="5" nd="1"/>
        <i x="6" nd="1"/>
        <i x="8" nd="1"/>
        <i x="9"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3" xr10:uid="{2DE2B78B-A5FF-49F3-833A-E84B32BD0E99}" sourceName="DATE">
  <pivotTables>
    <pivotTable tabId="3" name="PivotTable4"/>
  </pivotTables>
  <data>
    <tabular pivotCacheId="1603528336">
      <items count="228">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0" nd="1"/>
        <i x="1" nd="1"/>
        <i x="2" nd="1"/>
        <i x="3" nd="1"/>
        <i x="4" nd="1"/>
        <i x="5" nd="1"/>
        <i x="6" nd="1"/>
        <i x="7" nd="1"/>
        <i x="8" nd="1"/>
        <i x="9" nd="1"/>
        <i x="10" nd="1"/>
        <i x="11" nd="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41" nd="1"/>
        <i x="42" nd="1"/>
        <i x="43" nd="1"/>
        <i x="44" nd="1"/>
        <i x="45" nd="1"/>
        <i x="46" nd="1"/>
        <i x="47" nd="1"/>
        <i x="48" nd="1"/>
        <i x="49" nd="1"/>
        <i x="50" nd="1"/>
        <i x="51" nd="1"/>
        <i x="52" nd="1"/>
        <i x="53" nd="1"/>
        <i x="54" nd="1"/>
        <i x="55" nd="1"/>
        <i x="56" nd="1"/>
        <i x="57" nd="1"/>
        <i x="58" nd="1"/>
        <i x="59" nd="1"/>
        <i x="60" nd="1"/>
        <i x="61" nd="1"/>
        <i x="62" nd="1"/>
        <i x="63" nd="1"/>
        <i x="64" nd="1"/>
        <i x="65" nd="1"/>
        <i x="66" nd="1"/>
        <i x="67" nd="1"/>
        <i x="68" nd="1"/>
        <i x="69" nd="1"/>
        <i x="70" nd="1"/>
        <i x="71" nd="1"/>
        <i x="72" nd="1"/>
        <i x="73" nd="1"/>
        <i x="74" nd="1"/>
        <i x="75" nd="1"/>
        <i x="76" nd="1"/>
        <i x="77" nd="1"/>
        <i x="78" nd="1"/>
        <i x="79" nd="1"/>
        <i x="80" nd="1"/>
        <i x="81" nd="1"/>
        <i x="82" nd="1"/>
        <i x="83" nd="1"/>
        <i x="84" nd="1"/>
        <i x="85" nd="1"/>
        <i x="86" nd="1"/>
        <i x="87" nd="1"/>
        <i x="88" nd="1"/>
        <i x="89" nd="1"/>
        <i x="90" nd="1"/>
        <i x="91" nd="1"/>
        <i x="92" nd="1"/>
        <i x="93" nd="1"/>
        <i x="94" nd="1"/>
        <i x="95" nd="1"/>
        <i x="96" nd="1"/>
        <i x="97" nd="1"/>
        <i x="98" nd="1"/>
        <i x="99" nd="1"/>
        <i x="100" nd="1"/>
        <i x="101" nd="1"/>
        <i x="102" nd="1"/>
        <i x="103" nd="1"/>
        <i x="104" nd="1"/>
        <i x="105" nd="1"/>
        <i x="106" nd="1"/>
        <i x="107" nd="1"/>
        <i x="108" nd="1"/>
        <i x="109" nd="1"/>
        <i x="110" nd="1"/>
        <i x="111" nd="1"/>
        <i x="112" nd="1"/>
        <i x="113" nd="1"/>
        <i x="114" nd="1"/>
        <i x="115" nd="1"/>
        <i x="116" nd="1"/>
        <i x="117" nd="1"/>
        <i x="118" nd="1"/>
        <i x="119" nd="1"/>
        <i x="120" nd="1"/>
        <i x="121" nd="1"/>
        <i x="153" nd="1"/>
        <i x="154" nd="1"/>
        <i x="155" nd="1"/>
        <i x="156" nd="1"/>
        <i x="157" nd="1"/>
        <i x="158" nd="1"/>
        <i x="159" nd="1"/>
        <i x="160" nd="1"/>
        <i x="161" nd="1"/>
        <i x="162" nd="1"/>
        <i x="163" nd="1"/>
        <i x="164" nd="1"/>
        <i x="165" nd="1"/>
        <i x="166" nd="1"/>
        <i x="167" nd="1"/>
        <i x="168" nd="1"/>
        <i x="169" nd="1"/>
        <i x="170" nd="1"/>
        <i x="171" nd="1"/>
        <i x="172" nd="1"/>
        <i x="173" nd="1"/>
        <i x="174" nd="1"/>
        <i x="175" nd="1"/>
        <i x="176" nd="1"/>
        <i x="177" nd="1"/>
        <i x="178" nd="1"/>
        <i x="179" nd="1"/>
        <i x="180" nd="1"/>
        <i x="181" nd="1"/>
        <i x="182" nd="1"/>
        <i x="183" nd="1"/>
        <i x="184" nd="1"/>
        <i x="185" nd="1"/>
        <i x="186" nd="1"/>
        <i x="187" nd="1"/>
        <i x="188" nd="1"/>
        <i x="189" nd="1"/>
        <i x="190" nd="1"/>
        <i x="191" nd="1"/>
        <i x="192" nd="1"/>
        <i x="193" nd="1"/>
        <i x="194" nd="1"/>
        <i x="195" nd="1"/>
        <i x="196" nd="1"/>
        <i x="197" nd="1"/>
        <i x="198" nd="1"/>
        <i x="199" nd="1"/>
        <i x="200" nd="1"/>
        <i x="201" nd="1"/>
        <i x="202" nd="1"/>
        <i x="203" nd="1"/>
        <i x="204" nd="1"/>
        <i x="205" nd="1"/>
        <i x="206" nd="1"/>
        <i x="207" nd="1"/>
        <i x="208" nd="1"/>
        <i x="209" nd="1"/>
        <i x="210" nd="1"/>
        <i x="211" nd="1"/>
        <i x="212" nd="1"/>
        <i x="213" nd="1"/>
        <i x="214" nd="1"/>
        <i x="215" nd="1"/>
        <i x="216" nd="1"/>
        <i x="217" nd="1"/>
        <i x="218" nd="1"/>
        <i x="219" nd="1"/>
        <i x="220" nd="1"/>
        <i x="221" nd="1"/>
        <i x="222" nd="1"/>
        <i x="223" nd="1"/>
        <i x="224" nd="1"/>
        <i x="225" nd="1"/>
        <i x="226" nd="1"/>
        <i x="227"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 xr10:uid="{66BBBC90-0CA7-4EDB-913C-E0098F84DC1D}" sourceName="MONTH">
  <pivotTables>
    <pivotTable tabId="3" name="PivotTable4"/>
  </pivotTables>
  <data>
    <tabular pivotCacheId="1603528336">
      <items count="8">
        <i x="4" s="1"/>
        <i x="0" nd="1"/>
        <i x="1" nd="1"/>
        <i x="2" nd="1"/>
        <i x="3" nd="1"/>
        <i x="5" nd="1"/>
        <i x="6" nd="1"/>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1A933DB7-13D2-4CA7-A6D4-078DE8C49C50}" cache="Slicer_DATE" caption="DATE" columnCount="5" rowHeight="234950"/>
  <slicer name="DATE 1" xr10:uid="{E88099B5-3283-4E97-944B-3F3FB65D39B2}" cache="Slicer_DATE1" caption="DATE" columnCount="5" rowHeight="234950"/>
  <slicer name="MONTH" xr10:uid="{91D704D6-AAC3-4C14-8B29-CB05D297CD3C}" cache="Slicer_MONTH" caption="MONTH" startItem="2" rowHeight="234950"/>
  <slicer name="MONTH 1" xr10:uid="{D426AC04-65BE-4E85-B297-58D344E5129D}" cache="Slicer_MONTH1" caption="MONTH" startItem="4" rowHeight="234950"/>
  <slicer name="DATE 2" xr10:uid="{F4DE4985-6615-46B8-BBDC-756CFFB97BA6}" cache="Slicer_DATE2" caption="DATE" columnCount="7" rowHeight="241300"/>
  <slicer name="MONTH 2" xr10:uid="{1AE79D4A-FA9D-46EB-9E12-5AA03805F2F7}" cache="Slicer_MONTH2" caption="MONTH" rowHeight="241300"/>
  <slicer name="DATE 3" xr10:uid="{79936772-B9DA-47F6-AC98-3E90CFB9DF43}" cache="Slicer_DATE3" caption="DATE" columnCount="7" rowHeight="241300"/>
  <slicer name="MONTH 3" xr10:uid="{0FBC6492-E920-44AE-B8CB-730D40337C8D}" cache="Slicer_MONTH3" caption="MONT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5.xml"/><Relationship Id="rId5" Type="http://schemas.openxmlformats.org/officeDocument/2006/relationships/printerSettings" Target="../printerSettings/printerSettings5.bin"/><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9D31B-58DD-444B-8F53-3DBD0C7C341F}">
  <dimension ref="A1:O349"/>
  <sheetViews>
    <sheetView zoomScale="89" zoomScaleNormal="89" workbookViewId="0">
      <pane ySplit="2" topLeftCell="A266" activePane="bottomLeft" state="frozen"/>
      <selection pane="bottomLeft" activeCell="H272" sqref="H272"/>
    </sheetView>
  </sheetViews>
  <sheetFormatPr defaultRowHeight="14.5" x14ac:dyDescent="0.35"/>
  <cols>
    <col min="1" max="1" width="8.6328125" bestFit="1" customWidth="1"/>
    <col min="2" max="2" width="4.54296875" bestFit="1" customWidth="1"/>
    <col min="3" max="3" width="5.90625" bestFit="1" customWidth="1"/>
    <col min="4" max="4" width="9.81640625" bestFit="1" customWidth="1"/>
    <col min="5" max="5" width="11.453125" bestFit="1" customWidth="1"/>
    <col min="6" max="6" width="12.54296875" bestFit="1" customWidth="1"/>
    <col min="7" max="7" width="17.36328125" bestFit="1" customWidth="1"/>
    <col min="8" max="11" width="6" bestFit="1" customWidth="1"/>
    <col min="369" max="369" width="9.90625" customWidth="1"/>
  </cols>
  <sheetData>
    <row r="1" spans="1:15" ht="90" customHeight="1" x14ac:dyDescent="0.35">
      <c r="A1" s="115" t="s">
        <v>0</v>
      </c>
      <c r="B1" s="115"/>
      <c r="C1" s="115"/>
      <c r="D1" s="115"/>
      <c r="E1" s="115"/>
      <c r="F1" s="115"/>
      <c r="M1" s="8" t="s">
        <v>8</v>
      </c>
    </row>
    <row r="2" spans="1:15" x14ac:dyDescent="0.35">
      <c r="A2" s="1" t="s">
        <v>1</v>
      </c>
      <c r="B2" s="1" t="s">
        <v>2</v>
      </c>
      <c r="C2" s="1" t="s">
        <v>3</v>
      </c>
      <c r="D2" s="1" t="s">
        <v>4</v>
      </c>
      <c r="E2" s="1" t="s">
        <v>25</v>
      </c>
      <c r="F2" s="1" t="s">
        <v>12</v>
      </c>
      <c r="G2" s="1" t="s">
        <v>22</v>
      </c>
      <c r="H2" s="1" t="s">
        <v>44</v>
      </c>
      <c r="I2" s="1" t="s">
        <v>45</v>
      </c>
      <c r="J2" s="1" t="s">
        <v>46</v>
      </c>
      <c r="K2" s="1" t="s">
        <v>120</v>
      </c>
    </row>
    <row r="3" spans="1:15" x14ac:dyDescent="0.35">
      <c r="A3" s="2">
        <v>46025</v>
      </c>
      <c r="B3" s="3" t="str">
        <f t="shared" ref="B3:B48" si="0">TEXT(A3,"DDD")</f>
        <v>Sat</v>
      </c>
      <c r="C3" s="3">
        <f>WEEKNUM(A3)</f>
        <v>1</v>
      </c>
      <c r="D3" s="3" t="str">
        <f>TEXT(A3,"mmmm")</f>
        <v>January</v>
      </c>
      <c r="E3" s="3" t="s">
        <v>135</v>
      </c>
      <c r="F3" s="3" t="str">
        <f t="shared" ref="F3:F49" si="1">IF(E3="J1",$O$3,IF(E3="J2",$O$4,IF(E3="J3",$O$5,IF(E3="J4",$O$6,IF(E3="J5",$O$7," ")))))</f>
        <v>Total hari kerja</v>
      </c>
      <c r="G3" s="12" t="s">
        <v>23</v>
      </c>
      <c r="H3" s="12">
        <v>12</v>
      </c>
      <c r="I3" s="12"/>
      <c r="J3" s="12"/>
      <c r="K3" s="12"/>
      <c r="N3" t="s">
        <v>5</v>
      </c>
      <c r="O3" s="11" t="s">
        <v>20</v>
      </c>
    </row>
    <row r="4" spans="1:15" x14ac:dyDescent="0.35">
      <c r="A4" s="2">
        <v>46026</v>
      </c>
      <c r="B4" s="3" t="str">
        <f t="shared" si="0"/>
        <v>Sun</v>
      </c>
      <c r="C4" s="3">
        <f t="shared" ref="C4:C48" si="2">WEEKNUM(A4)</f>
        <v>2</v>
      </c>
      <c r="D4" s="3" t="str">
        <f t="shared" ref="D4:D48" si="3">TEXT(A4,"mmmm")</f>
        <v>January</v>
      </c>
      <c r="E4" s="3"/>
      <c r="F4" s="3" t="str">
        <f t="shared" si="1"/>
        <v xml:space="preserve"> </v>
      </c>
      <c r="G4" s="12" t="s">
        <v>23</v>
      </c>
      <c r="H4" s="12"/>
      <c r="I4" s="12"/>
      <c r="J4" s="12"/>
      <c r="K4" s="12"/>
      <c r="N4" t="s">
        <v>7</v>
      </c>
      <c r="O4" s="4" t="s">
        <v>30</v>
      </c>
    </row>
    <row r="5" spans="1:15" x14ac:dyDescent="0.35">
      <c r="A5" s="2">
        <v>46027</v>
      </c>
      <c r="B5" s="3" t="str">
        <f t="shared" si="0"/>
        <v>Mon</v>
      </c>
      <c r="C5" s="3">
        <f t="shared" si="2"/>
        <v>2</v>
      </c>
      <c r="D5" s="3" t="str">
        <f t="shared" si="3"/>
        <v>January</v>
      </c>
      <c r="E5" s="3" t="s">
        <v>135</v>
      </c>
      <c r="F5" s="3" t="str">
        <f t="shared" si="1"/>
        <v>Total hari kerja</v>
      </c>
      <c r="G5" s="12" t="s">
        <v>23</v>
      </c>
      <c r="H5" s="12">
        <v>8</v>
      </c>
      <c r="I5" s="12">
        <v>4</v>
      </c>
      <c r="J5" s="12"/>
      <c r="K5" s="12"/>
      <c r="N5" t="s">
        <v>9</v>
      </c>
      <c r="O5" s="10" t="s">
        <v>118</v>
      </c>
    </row>
    <row r="6" spans="1:15" x14ac:dyDescent="0.35">
      <c r="A6" s="2">
        <v>46028</v>
      </c>
      <c r="B6" s="3" t="str">
        <f t="shared" si="0"/>
        <v>Tue</v>
      </c>
      <c r="C6" s="3">
        <f t="shared" si="2"/>
        <v>2</v>
      </c>
      <c r="D6" s="3" t="str">
        <f t="shared" si="3"/>
        <v>January</v>
      </c>
      <c r="E6" s="3" t="s">
        <v>135</v>
      </c>
      <c r="F6" s="3" t="str">
        <f t="shared" si="1"/>
        <v>Total hari kerja</v>
      </c>
      <c r="G6" s="12" t="s">
        <v>23</v>
      </c>
      <c r="H6" s="12">
        <v>1</v>
      </c>
      <c r="I6" s="12"/>
      <c r="J6" s="12"/>
      <c r="K6" s="12"/>
      <c r="N6" t="s">
        <v>10</v>
      </c>
      <c r="O6" s="5" t="s">
        <v>139</v>
      </c>
    </row>
    <row r="7" spans="1:15" x14ac:dyDescent="0.35">
      <c r="A7" s="2">
        <v>46029</v>
      </c>
      <c r="B7" s="3" t="str">
        <f t="shared" si="0"/>
        <v>Wed</v>
      </c>
      <c r="C7" s="3">
        <f t="shared" si="2"/>
        <v>2</v>
      </c>
      <c r="D7" s="3" t="str">
        <f t="shared" si="3"/>
        <v>January</v>
      </c>
      <c r="E7" s="3" t="s">
        <v>135</v>
      </c>
      <c r="F7" s="3" t="str">
        <f t="shared" si="1"/>
        <v>Total hari kerja</v>
      </c>
      <c r="G7" s="12" t="s">
        <v>23</v>
      </c>
      <c r="H7" s="12">
        <v>3</v>
      </c>
      <c r="I7" s="12">
        <v>4</v>
      </c>
      <c r="J7" s="12"/>
      <c r="K7" s="12"/>
      <c r="N7" t="s">
        <v>11</v>
      </c>
      <c r="O7" s="6" t="s">
        <v>138</v>
      </c>
    </row>
    <row r="8" spans="1:15" x14ac:dyDescent="0.35">
      <c r="A8" s="2">
        <v>46030</v>
      </c>
      <c r="B8" s="3" t="str">
        <f t="shared" si="0"/>
        <v>Thu</v>
      </c>
      <c r="C8" s="3">
        <f t="shared" si="2"/>
        <v>2</v>
      </c>
      <c r="D8" s="3" t="str">
        <f t="shared" si="3"/>
        <v>January</v>
      </c>
      <c r="E8" s="3" t="s">
        <v>135</v>
      </c>
      <c r="F8" s="3" t="str">
        <f t="shared" si="1"/>
        <v>Total hari kerja</v>
      </c>
      <c r="G8" s="12" t="s">
        <v>23</v>
      </c>
      <c r="H8" s="12">
        <v>2</v>
      </c>
      <c r="I8" s="12">
        <v>1</v>
      </c>
      <c r="J8" s="12"/>
      <c r="K8" s="12"/>
    </row>
    <row r="9" spans="1:15" x14ac:dyDescent="0.35">
      <c r="A9" s="2">
        <v>46031</v>
      </c>
      <c r="B9" s="3" t="str">
        <f t="shared" si="0"/>
        <v>Fri</v>
      </c>
      <c r="C9" s="3">
        <f t="shared" si="2"/>
        <v>2</v>
      </c>
      <c r="D9" s="3" t="str">
        <f t="shared" si="3"/>
        <v>January</v>
      </c>
      <c r="E9" s="3" t="s">
        <v>135</v>
      </c>
      <c r="F9" s="3" t="str">
        <f t="shared" si="1"/>
        <v>Total hari kerja</v>
      </c>
      <c r="G9" s="12" t="s">
        <v>23</v>
      </c>
      <c r="H9" s="12">
        <v>2</v>
      </c>
      <c r="I9" s="12"/>
      <c r="J9" s="12"/>
      <c r="K9" s="12"/>
    </row>
    <row r="10" spans="1:15" x14ac:dyDescent="0.35">
      <c r="A10" s="2">
        <v>46032</v>
      </c>
      <c r="B10" s="3" t="str">
        <f t="shared" si="0"/>
        <v>Sat</v>
      </c>
      <c r="C10" s="3">
        <f t="shared" si="2"/>
        <v>2</v>
      </c>
      <c r="D10" s="3" t="str">
        <f t="shared" si="3"/>
        <v>January</v>
      </c>
      <c r="E10" s="3" t="s">
        <v>135</v>
      </c>
      <c r="F10" s="3" t="str">
        <f t="shared" si="1"/>
        <v>Total hari kerja</v>
      </c>
      <c r="G10" s="12" t="s">
        <v>23</v>
      </c>
      <c r="H10" s="12">
        <v>7</v>
      </c>
      <c r="I10" s="12"/>
      <c r="J10" s="12"/>
      <c r="K10" s="12"/>
    </row>
    <row r="11" spans="1:15" x14ac:dyDescent="0.35">
      <c r="A11" s="2">
        <v>46033</v>
      </c>
      <c r="B11" s="3" t="str">
        <f t="shared" si="0"/>
        <v>Sun</v>
      </c>
      <c r="C11" s="3">
        <f t="shared" si="2"/>
        <v>3</v>
      </c>
      <c r="D11" s="3" t="str">
        <f t="shared" si="3"/>
        <v>January</v>
      </c>
      <c r="E11" s="3"/>
      <c r="F11" s="3" t="str">
        <f t="shared" si="1"/>
        <v xml:space="preserve"> </v>
      </c>
      <c r="G11" s="12" t="s">
        <v>23</v>
      </c>
      <c r="H11" s="12"/>
      <c r="I11" s="12"/>
      <c r="J11" s="12"/>
      <c r="K11" s="12"/>
    </row>
    <row r="12" spans="1:15" x14ac:dyDescent="0.35">
      <c r="A12" s="2">
        <v>46034</v>
      </c>
      <c r="B12" s="3" t="str">
        <f t="shared" si="0"/>
        <v>Mon</v>
      </c>
      <c r="C12" s="3">
        <f t="shared" si="2"/>
        <v>3</v>
      </c>
      <c r="D12" s="3" t="str">
        <f t="shared" si="3"/>
        <v>January</v>
      </c>
      <c r="E12" s="3" t="s">
        <v>135</v>
      </c>
      <c r="F12" s="3" t="str">
        <f t="shared" si="1"/>
        <v>Total hari kerja</v>
      </c>
      <c r="G12" s="12" t="s">
        <v>23</v>
      </c>
      <c r="H12" s="12">
        <v>2</v>
      </c>
      <c r="I12" s="12">
        <v>3</v>
      </c>
      <c r="J12" s="12"/>
      <c r="K12" s="12"/>
    </row>
    <row r="13" spans="1:15" x14ac:dyDescent="0.35">
      <c r="A13" s="2">
        <v>46035</v>
      </c>
      <c r="B13" s="3" t="str">
        <f t="shared" si="0"/>
        <v>Tue</v>
      </c>
      <c r="C13" s="3">
        <f t="shared" si="2"/>
        <v>3</v>
      </c>
      <c r="D13" s="3" t="str">
        <f t="shared" si="3"/>
        <v>January</v>
      </c>
      <c r="E13" s="3" t="s">
        <v>135</v>
      </c>
      <c r="F13" s="3" t="str">
        <f t="shared" si="1"/>
        <v>Total hari kerja</v>
      </c>
      <c r="G13" s="12" t="s">
        <v>23</v>
      </c>
      <c r="H13" s="12">
        <v>1</v>
      </c>
      <c r="I13" s="12">
        <v>2</v>
      </c>
      <c r="J13" s="12"/>
      <c r="K13" s="12"/>
    </row>
    <row r="14" spans="1:15" x14ac:dyDescent="0.35">
      <c r="A14" s="2">
        <v>46036</v>
      </c>
      <c r="B14" s="3" t="str">
        <f t="shared" si="0"/>
        <v>Wed</v>
      </c>
      <c r="C14" s="3">
        <f t="shared" si="2"/>
        <v>3</v>
      </c>
      <c r="D14" s="3" t="str">
        <f t="shared" si="3"/>
        <v>January</v>
      </c>
      <c r="E14" s="3" t="s">
        <v>102</v>
      </c>
      <c r="F14" s="3" t="str">
        <f t="shared" si="1"/>
        <v>Ijin/Sakit/Alfa</v>
      </c>
      <c r="G14" s="12" t="s">
        <v>23</v>
      </c>
      <c r="H14" s="12"/>
      <c r="I14" s="12"/>
      <c r="J14" s="12"/>
      <c r="K14" s="12"/>
    </row>
    <row r="15" spans="1:15" x14ac:dyDescent="0.35">
      <c r="A15" s="2">
        <v>46037</v>
      </c>
      <c r="B15" s="3" t="str">
        <f t="shared" si="0"/>
        <v>Thu</v>
      </c>
      <c r="C15" s="3">
        <f t="shared" si="2"/>
        <v>3</v>
      </c>
      <c r="D15" s="3" t="str">
        <f t="shared" si="3"/>
        <v>January</v>
      </c>
      <c r="E15" s="3" t="s">
        <v>135</v>
      </c>
      <c r="F15" s="3" t="str">
        <f t="shared" si="1"/>
        <v>Total hari kerja</v>
      </c>
      <c r="G15" s="12" t="s">
        <v>23</v>
      </c>
      <c r="H15" s="12">
        <v>6</v>
      </c>
      <c r="I15" s="12"/>
      <c r="J15" s="12"/>
      <c r="K15" s="12"/>
    </row>
    <row r="16" spans="1:15" x14ac:dyDescent="0.35">
      <c r="A16" s="2">
        <v>46038</v>
      </c>
      <c r="B16" s="3" t="str">
        <f t="shared" si="0"/>
        <v>Fri</v>
      </c>
      <c r="C16" s="3">
        <f t="shared" si="2"/>
        <v>3</v>
      </c>
      <c r="D16" s="3" t="str">
        <f t="shared" si="3"/>
        <v>January</v>
      </c>
      <c r="E16" s="3" t="s">
        <v>140</v>
      </c>
      <c r="F16" s="3" t="str">
        <f t="shared" si="1"/>
        <v>MERAH</v>
      </c>
      <c r="G16" s="12" t="s">
        <v>23</v>
      </c>
      <c r="H16" s="12"/>
      <c r="I16" s="12"/>
      <c r="J16" s="12"/>
      <c r="K16" s="12"/>
    </row>
    <row r="17" spans="1:11" x14ac:dyDescent="0.35">
      <c r="A17" s="2">
        <v>46039</v>
      </c>
      <c r="B17" s="3" t="str">
        <f t="shared" si="0"/>
        <v>Sat</v>
      </c>
      <c r="C17" s="3">
        <f t="shared" si="2"/>
        <v>3</v>
      </c>
      <c r="D17" s="3" t="str">
        <f t="shared" si="3"/>
        <v>January</v>
      </c>
      <c r="E17" s="3" t="s">
        <v>135</v>
      </c>
      <c r="F17" s="3" t="str">
        <f t="shared" si="1"/>
        <v>Total hari kerja</v>
      </c>
      <c r="G17" s="12" t="s">
        <v>23</v>
      </c>
      <c r="H17" s="12">
        <v>3</v>
      </c>
      <c r="I17" s="12"/>
      <c r="J17" s="12"/>
      <c r="K17" s="12"/>
    </row>
    <row r="18" spans="1:11" x14ac:dyDescent="0.35">
      <c r="A18" s="2">
        <v>46040</v>
      </c>
      <c r="B18" s="3" t="str">
        <f t="shared" si="0"/>
        <v>Sun</v>
      </c>
      <c r="C18" s="3">
        <f t="shared" si="2"/>
        <v>4</v>
      </c>
      <c r="D18" s="3" t="str">
        <f t="shared" si="3"/>
        <v>January</v>
      </c>
      <c r="E18" s="3"/>
      <c r="F18" s="3" t="str">
        <f t="shared" si="1"/>
        <v xml:space="preserve"> </v>
      </c>
      <c r="G18" s="12" t="s">
        <v>23</v>
      </c>
      <c r="H18" s="12"/>
      <c r="I18" s="12"/>
      <c r="J18" s="12"/>
      <c r="K18" s="12"/>
    </row>
    <row r="19" spans="1:11" x14ac:dyDescent="0.35">
      <c r="A19" s="2">
        <v>46041</v>
      </c>
      <c r="B19" s="3" t="str">
        <f t="shared" si="0"/>
        <v>Mon</v>
      </c>
      <c r="C19" s="3">
        <f t="shared" si="2"/>
        <v>4</v>
      </c>
      <c r="D19" s="3" t="str">
        <f t="shared" si="3"/>
        <v>January</v>
      </c>
      <c r="E19" s="3" t="s">
        <v>135</v>
      </c>
      <c r="F19" s="3" t="str">
        <f t="shared" si="1"/>
        <v>Total hari kerja</v>
      </c>
      <c r="G19" s="12" t="s">
        <v>23</v>
      </c>
      <c r="H19" s="12">
        <v>6</v>
      </c>
      <c r="I19" s="12"/>
      <c r="J19" s="12"/>
      <c r="K19" s="12"/>
    </row>
    <row r="20" spans="1:11" x14ac:dyDescent="0.35">
      <c r="A20" s="2">
        <v>46042</v>
      </c>
      <c r="B20" s="3" t="str">
        <f t="shared" si="0"/>
        <v>Tue</v>
      </c>
      <c r="C20" s="3">
        <f t="shared" si="2"/>
        <v>4</v>
      </c>
      <c r="D20" s="3" t="str">
        <f t="shared" si="3"/>
        <v>January</v>
      </c>
      <c r="E20" s="3" t="s">
        <v>157</v>
      </c>
      <c r="F20" s="3" t="str">
        <f t="shared" si="1"/>
        <v>1/2 HARI</v>
      </c>
      <c r="G20" s="12" t="s">
        <v>23</v>
      </c>
      <c r="H20" s="12">
        <v>0</v>
      </c>
      <c r="I20" s="12"/>
      <c r="J20" s="12"/>
      <c r="K20" s="12"/>
    </row>
    <row r="21" spans="1:11" x14ac:dyDescent="0.35">
      <c r="A21" s="2">
        <v>46043</v>
      </c>
      <c r="B21" s="3" t="str">
        <f t="shared" si="0"/>
        <v>Wed</v>
      </c>
      <c r="C21" s="3">
        <f t="shared" si="2"/>
        <v>4</v>
      </c>
      <c r="D21" s="3" t="str">
        <f t="shared" si="3"/>
        <v>January</v>
      </c>
      <c r="E21" s="3" t="s">
        <v>5</v>
      </c>
      <c r="F21" s="3" t="str">
        <f t="shared" si="1"/>
        <v>Total hari kerja</v>
      </c>
      <c r="G21" s="12" t="s">
        <v>23</v>
      </c>
      <c r="H21" s="12">
        <v>7</v>
      </c>
      <c r="I21" s="12">
        <v>2</v>
      </c>
      <c r="J21" s="12">
        <v>2</v>
      </c>
      <c r="K21" s="12"/>
    </row>
    <row r="22" spans="1:11" x14ac:dyDescent="0.35">
      <c r="A22" s="2">
        <v>46044</v>
      </c>
      <c r="B22" s="3" t="str">
        <f t="shared" si="0"/>
        <v>Thu</v>
      </c>
      <c r="C22" s="3">
        <f t="shared" si="2"/>
        <v>4</v>
      </c>
      <c r="D22" s="3" t="str">
        <f t="shared" si="3"/>
        <v>January</v>
      </c>
      <c r="E22" s="3" t="s">
        <v>5</v>
      </c>
      <c r="F22" s="3" t="str">
        <f t="shared" si="1"/>
        <v>Total hari kerja</v>
      </c>
      <c r="G22" s="12" t="s">
        <v>23</v>
      </c>
      <c r="H22" s="12">
        <v>12</v>
      </c>
      <c r="I22" s="12">
        <v>1</v>
      </c>
      <c r="J22" s="12"/>
      <c r="K22" s="12"/>
    </row>
    <row r="23" spans="1:11" x14ac:dyDescent="0.35">
      <c r="A23" s="2">
        <v>46045</v>
      </c>
      <c r="B23" s="3" t="str">
        <f t="shared" si="0"/>
        <v>Fri</v>
      </c>
      <c r="C23" s="3">
        <f t="shared" si="2"/>
        <v>4</v>
      </c>
      <c r="D23" s="3" t="str">
        <f t="shared" si="3"/>
        <v>January</v>
      </c>
      <c r="E23" s="3" t="s">
        <v>5</v>
      </c>
      <c r="F23" s="3" t="str">
        <f t="shared" si="1"/>
        <v>Total hari kerja</v>
      </c>
      <c r="G23" s="12" t="s">
        <v>23</v>
      </c>
      <c r="H23" s="12">
        <v>5</v>
      </c>
      <c r="I23" s="12">
        <v>8</v>
      </c>
      <c r="J23" s="12">
        <v>1</v>
      </c>
      <c r="K23" s="12"/>
    </row>
    <row r="24" spans="1:11" x14ac:dyDescent="0.35">
      <c r="A24" s="2">
        <v>46046</v>
      </c>
      <c r="B24" s="3" t="str">
        <f t="shared" si="0"/>
        <v>Sat</v>
      </c>
      <c r="C24" s="3">
        <f t="shared" si="2"/>
        <v>4</v>
      </c>
      <c r="D24" s="3" t="str">
        <f t="shared" si="3"/>
        <v>January</v>
      </c>
      <c r="E24" s="3" t="s">
        <v>5</v>
      </c>
      <c r="F24" s="3" t="str">
        <f t="shared" si="1"/>
        <v>Total hari kerja</v>
      </c>
      <c r="G24" s="12" t="s">
        <v>23</v>
      </c>
      <c r="H24" s="12">
        <v>8</v>
      </c>
      <c r="I24" s="12">
        <v>1</v>
      </c>
      <c r="J24" s="12"/>
      <c r="K24" s="12"/>
    </row>
    <row r="25" spans="1:11" x14ac:dyDescent="0.35">
      <c r="A25" s="2">
        <v>46047</v>
      </c>
      <c r="B25" s="3" t="str">
        <f t="shared" si="0"/>
        <v>Sun</v>
      </c>
      <c r="C25" s="3">
        <f t="shared" si="2"/>
        <v>5</v>
      </c>
      <c r="D25" s="3" t="str">
        <f t="shared" si="3"/>
        <v>January</v>
      </c>
      <c r="E25" s="3"/>
      <c r="F25" s="3" t="str">
        <f t="shared" si="1"/>
        <v xml:space="preserve"> </v>
      </c>
      <c r="G25" s="12" t="s">
        <v>23</v>
      </c>
      <c r="H25" s="12"/>
      <c r="I25" s="12"/>
      <c r="J25" s="12"/>
      <c r="K25" s="12"/>
    </row>
    <row r="26" spans="1:11" x14ac:dyDescent="0.35">
      <c r="A26" s="2">
        <v>46048</v>
      </c>
      <c r="B26" s="3" t="str">
        <f t="shared" si="0"/>
        <v>Mon</v>
      </c>
      <c r="C26" s="3">
        <f t="shared" si="2"/>
        <v>5</v>
      </c>
      <c r="D26" s="3" t="str">
        <f t="shared" si="3"/>
        <v>January</v>
      </c>
      <c r="E26" s="3" t="s">
        <v>5</v>
      </c>
      <c r="F26" s="3" t="str">
        <f t="shared" si="1"/>
        <v>Total hari kerja</v>
      </c>
      <c r="G26" s="12" t="s">
        <v>23</v>
      </c>
      <c r="H26" s="12">
        <v>5</v>
      </c>
      <c r="I26" s="12">
        <v>2</v>
      </c>
      <c r="J26" s="12">
        <v>2</v>
      </c>
      <c r="K26" s="12"/>
    </row>
    <row r="27" spans="1:11" x14ac:dyDescent="0.35">
      <c r="A27" s="2">
        <v>46049</v>
      </c>
      <c r="B27" s="3" t="str">
        <f t="shared" si="0"/>
        <v>Tue</v>
      </c>
      <c r="C27" s="3">
        <f t="shared" si="2"/>
        <v>5</v>
      </c>
      <c r="D27" s="3" t="str">
        <f t="shared" si="3"/>
        <v>January</v>
      </c>
      <c r="E27" s="3" t="s">
        <v>5</v>
      </c>
      <c r="F27" s="3" t="str">
        <f t="shared" si="1"/>
        <v>Total hari kerja</v>
      </c>
      <c r="G27" s="12" t="s">
        <v>23</v>
      </c>
      <c r="H27" s="12">
        <v>1</v>
      </c>
      <c r="I27" s="12">
        <v>10</v>
      </c>
      <c r="J27" s="12">
        <v>1</v>
      </c>
      <c r="K27" s="12"/>
    </row>
    <row r="28" spans="1:11" x14ac:dyDescent="0.35">
      <c r="A28" s="2">
        <v>46050</v>
      </c>
      <c r="B28" s="3" t="str">
        <f t="shared" si="0"/>
        <v>Wed</v>
      </c>
      <c r="C28" s="3">
        <f t="shared" si="2"/>
        <v>5</v>
      </c>
      <c r="D28" s="3" t="str">
        <f t="shared" si="3"/>
        <v>January</v>
      </c>
      <c r="E28" s="3" t="s">
        <v>5</v>
      </c>
      <c r="F28" s="3" t="str">
        <f t="shared" si="1"/>
        <v>Total hari kerja</v>
      </c>
      <c r="G28" s="12" t="s">
        <v>23</v>
      </c>
      <c r="H28" s="12">
        <v>3</v>
      </c>
      <c r="I28" s="12">
        <v>2</v>
      </c>
      <c r="J28" s="12"/>
      <c r="K28" s="12"/>
    </row>
    <row r="29" spans="1:11" x14ac:dyDescent="0.35">
      <c r="A29" s="2">
        <v>46051</v>
      </c>
      <c r="B29" s="3" t="str">
        <f t="shared" si="0"/>
        <v>Thu</v>
      </c>
      <c r="C29" s="3">
        <f t="shared" si="2"/>
        <v>5</v>
      </c>
      <c r="D29" s="3" t="str">
        <f t="shared" si="3"/>
        <v>January</v>
      </c>
      <c r="E29" s="3" t="s">
        <v>5</v>
      </c>
      <c r="F29" s="3" t="str">
        <f t="shared" si="1"/>
        <v>Total hari kerja</v>
      </c>
      <c r="G29" s="12" t="s">
        <v>23</v>
      </c>
      <c r="H29" s="12">
        <v>3</v>
      </c>
      <c r="I29" s="12">
        <v>1</v>
      </c>
      <c r="J29" s="12"/>
      <c r="K29" s="12"/>
    </row>
    <row r="30" spans="1:11" x14ac:dyDescent="0.35">
      <c r="A30" s="2">
        <v>46052</v>
      </c>
      <c r="B30" s="3" t="str">
        <f t="shared" si="0"/>
        <v>Fri</v>
      </c>
      <c r="C30" s="3">
        <f t="shared" si="2"/>
        <v>5</v>
      </c>
      <c r="D30" s="3" t="str">
        <f t="shared" si="3"/>
        <v>January</v>
      </c>
      <c r="E30" s="3" t="s">
        <v>5</v>
      </c>
      <c r="F30" s="3" t="str">
        <f t="shared" si="1"/>
        <v>Total hari kerja</v>
      </c>
      <c r="G30" s="12" t="s">
        <v>23</v>
      </c>
      <c r="H30" s="12">
        <v>1</v>
      </c>
      <c r="I30" s="12">
        <v>4</v>
      </c>
      <c r="J30" s="12"/>
      <c r="K30" s="12"/>
    </row>
    <row r="31" spans="1:11" x14ac:dyDescent="0.35">
      <c r="A31" s="2">
        <v>46053</v>
      </c>
      <c r="B31" s="3" t="str">
        <f t="shared" si="0"/>
        <v>Sat</v>
      </c>
      <c r="C31" s="3">
        <f t="shared" si="2"/>
        <v>5</v>
      </c>
      <c r="D31" s="3" t="str">
        <f t="shared" si="3"/>
        <v>January</v>
      </c>
      <c r="E31" s="3" t="s">
        <v>5</v>
      </c>
      <c r="F31" s="3" t="str">
        <f t="shared" si="1"/>
        <v>Total hari kerja</v>
      </c>
      <c r="G31" s="12" t="s">
        <v>23</v>
      </c>
      <c r="H31" s="12"/>
      <c r="I31" s="12"/>
      <c r="J31" s="12"/>
      <c r="K31" s="12"/>
    </row>
    <row r="32" spans="1:11" x14ac:dyDescent="0.35">
      <c r="A32" s="2">
        <v>46054</v>
      </c>
      <c r="B32" s="3" t="str">
        <f t="shared" si="0"/>
        <v>Sun</v>
      </c>
      <c r="C32" s="3">
        <f t="shared" si="2"/>
        <v>6</v>
      </c>
      <c r="D32" s="3" t="str">
        <f t="shared" si="3"/>
        <v>February</v>
      </c>
      <c r="E32" s="3"/>
      <c r="F32" s="3" t="str">
        <f t="shared" si="1"/>
        <v xml:space="preserve"> </v>
      </c>
      <c r="G32" s="12" t="s">
        <v>23</v>
      </c>
      <c r="H32" s="12"/>
      <c r="I32" s="12"/>
      <c r="J32" s="12"/>
      <c r="K32" s="12"/>
    </row>
    <row r="33" spans="1:11" x14ac:dyDescent="0.35">
      <c r="A33" s="2">
        <v>46055</v>
      </c>
      <c r="B33" s="3" t="str">
        <f t="shared" si="0"/>
        <v>Mon</v>
      </c>
      <c r="C33" s="3">
        <f t="shared" si="2"/>
        <v>6</v>
      </c>
      <c r="D33" s="3" t="str">
        <f t="shared" si="3"/>
        <v>February</v>
      </c>
      <c r="E33" s="3" t="s">
        <v>5</v>
      </c>
      <c r="F33" s="3" t="str">
        <f t="shared" si="1"/>
        <v>Total hari kerja</v>
      </c>
      <c r="G33" s="12" t="s">
        <v>23</v>
      </c>
      <c r="H33" s="12">
        <v>4</v>
      </c>
      <c r="I33" s="12">
        <v>1</v>
      </c>
      <c r="J33" s="12"/>
      <c r="K33" s="12"/>
    </row>
    <row r="34" spans="1:11" x14ac:dyDescent="0.35">
      <c r="A34" s="2">
        <v>46056</v>
      </c>
      <c r="B34" s="3" t="str">
        <f>TEXT(A34,"DDD")</f>
        <v>Tue</v>
      </c>
      <c r="C34" s="3">
        <f t="shared" si="2"/>
        <v>6</v>
      </c>
      <c r="D34" s="3" t="str">
        <f t="shared" si="3"/>
        <v>February</v>
      </c>
      <c r="E34" s="3" t="s">
        <v>102</v>
      </c>
      <c r="F34" s="3" t="str">
        <f t="shared" si="1"/>
        <v>Ijin/Sakit/Alfa</v>
      </c>
      <c r="G34" s="12" t="s">
        <v>23</v>
      </c>
      <c r="H34" s="12"/>
      <c r="I34" s="12"/>
      <c r="J34" s="12"/>
      <c r="K34" s="12"/>
    </row>
    <row r="35" spans="1:11" x14ac:dyDescent="0.35">
      <c r="A35" s="2">
        <v>46057</v>
      </c>
      <c r="B35" s="3" t="str">
        <f t="shared" si="0"/>
        <v>Wed</v>
      </c>
      <c r="C35" s="3">
        <f t="shared" si="2"/>
        <v>6</v>
      </c>
      <c r="D35" s="3" t="str">
        <f t="shared" si="3"/>
        <v>February</v>
      </c>
      <c r="E35" s="3" t="s">
        <v>102</v>
      </c>
      <c r="F35" s="3" t="str">
        <f t="shared" si="1"/>
        <v>Ijin/Sakit/Alfa</v>
      </c>
      <c r="G35" s="12" t="s">
        <v>23</v>
      </c>
      <c r="H35" s="12"/>
      <c r="I35" s="12"/>
      <c r="J35" s="12"/>
      <c r="K35" s="12"/>
    </row>
    <row r="36" spans="1:11" x14ac:dyDescent="0.35">
      <c r="A36" s="2">
        <v>46058</v>
      </c>
      <c r="B36" s="3" t="str">
        <f t="shared" si="0"/>
        <v>Thu</v>
      </c>
      <c r="C36" s="3">
        <f t="shared" si="2"/>
        <v>6</v>
      </c>
      <c r="D36" s="3" t="str">
        <f t="shared" si="3"/>
        <v>February</v>
      </c>
      <c r="E36" s="3" t="s">
        <v>5</v>
      </c>
      <c r="F36" s="3" t="str">
        <f t="shared" si="1"/>
        <v>Total hari kerja</v>
      </c>
      <c r="G36" s="12" t="s">
        <v>23</v>
      </c>
      <c r="H36" s="12">
        <v>12</v>
      </c>
      <c r="I36" s="12">
        <v>3</v>
      </c>
      <c r="J36" s="12"/>
      <c r="K36" s="12"/>
    </row>
    <row r="37" spans="1:11" x14ac:dyDescent="0.35">
      <c r="A37" s="2">
        <v>46059</v>
      </c>
      <c r="B37" s="3" t="str">
        <f t="shared" si="0"/>
        <v>Fri</v>
      </c>
      <c r="C37" s="3">
        <f t="shared" si="2"/>
        <v>6</v>
      </c>
      <c r="D37" s="3" t="str">
        <f t="shared" si="3"/>
        <v>February</v>
      </c>
      <c r="E37" s="3" t="s">
        <v>5</v>
      </c>
      <c r="F37" s="3" t="str">
        <f t="shared" si="1"/>
        <v>Total hari kerja</v>
      </c>
      <c r="G37" s="12" t="s">
        <v>23</v>
      </c>
      <c r="H37" s="12">
        <v>1</v>
      </c>
      <c r="I37" s="12">
        <v>3</v>
      </c>
      <c r="J37" s="12"/>
      <c r="K37" s="12"/>
    </row>
    <row r="38" spans="1:11" x14ac:dyDescent="0.35">
      <c r="A38" s="2">
        <v>46060</v>
      </c>
      <c r="B38" s="3" t="str">
        <f t="shared" si="0"/>
        <v>Sat</v>
      </c>
      <c r="C38" s="3">
        <f t="shared" si="2"/>
        <v>6</v>
      </c>
      <c r="D38" s="3" t="str">
        <f t="shared" si="3"/>
        <v>February</v>
      </c>
      <c r="E38" s="3" t="s">
        <v>102</v>
      </c>
      <c r="F38" s="3" t="str">
        <f t="shared" si="1"/>
        <v>Ijin/Sakit/Alfa</v>
      </c>
      <c r="G38" s="12" t="s">
        <v>23</v>
      </c>
      <c r="H38" s="12"/>
      <c r="I38" s="12"/>
      <c r="J38" s="12"/>
      <c r="K38" s="12"/>
    </row>
    <row r="39" spans="1:11" x14ac:dyDescent="0.35">
      <c r="A39" s="2">
        <v>46061</v>
      </c>
      <c r="B39" s="3" t="str">
        <f t="shared" si="0"/>
        <v>Sun</v>
      </c>
      <c r="C39" s="3">
        <f t="shared" si="2"/>
        <v>7</v>
      </c>
      <c r="D39" s="3" t="str">
        <f t="shared" si="3"/>
        <v>February</v>
      </c>
      <c r="E39" s="3"/>
      <c r="F39" s="3" t="str">
        <f t="shared" si="1"/>
        <v xml:space="preserve"> </v>
      </c>
      <c r="G39" s="12" t="s">
        <v>23</v>
      </c>
      <c r="H39" s="12"/>
      <c r="I39" s="12"/>
      <c r="J39" s="12"/>
      <c r="K39" s="12"/>
    </row>
    <row r="40" spans="1:11" x14ac:dyDescent="0.35">
      <c r="A40" s="2">
        <v>46062</v>
      </c>
      <c r="B40" s="3" t="str">
        <f t="shared" si="0"/>
        <v>Mon</v>
      </c>
      <c r="C40" s="3">
        <f t="shared" si="2"/>
        <v>7</v>
      </c>
      <c r="D40" s="3" t="str">
        <f t="shared" si="3"/>
        <v>February</v>
      </c>
      <c r="E40" s="3" t="s">
        <v>102</v>
      </c>
      <c r="F40" s="3" t="str">
        <f t="shared" si="1"/>
        <v>Ijin/Sakit/Alfa</v>
      </c>
      <c r="G40" s="12" t="s">
        <v>23</v>
      </c>
      <c r="H40" s="12"/>
      <c r="I40" s="12"/>
      <c r="J40" s="12"/>
      <c r="K40" s="12"/>
    </row>
    <row r="41" spans="1:11" x14ac:dyDescent="0.35">
      <c r="A41" s="2">
        <v>46063</v>
      </c>
      <c r="B41" s="3" t="str">
        <f t="shared" si="0"/>
        <v>Tue</v>
      </c>
      <c r="C41" s="3">
        <f t="shared" si="2"/>
        <v>7</v>
      </c>
      <c r="D41" s="3" t="str">
        <f t="shared" si="3"/>
        <v>February</v>
      </c>
      <c r="E41" s="3" t="s">
        <v>5</v>
      </c>
      <c r="F41" s="3" t="str">
        <f t="shared" si="1"/>
        <v>Total hari kerja</v>
      </c>
      <c r="G41" s="12" t="s">
        <v>23</v>
      </c>
      <c r="H41" s="12">
        <v>6</v>
      </c>
      <c r="I41" s="12">
        <v>6</v>
      </c>
      <c r="J41" s="12">
        <v>3</v>
      </c>
      <c r="K41" s="12"/>
    </row>
    <row r="42" spans="1:11" x14ac:dyDescent="0.35">
      <c r="A42" s="2">
        <v>46064</v>
      </c>
      <c r="B42" s="3" t="str">
        <f t="shared" si="0"/>
        <v>Wed</v>
      </c>
      <c r="C42" s="3">
        <f t="shared" si="2"/>
        <v>7</v>
      </c>
      <c r="D42" s="3" t="str">
        <f t="shared" si="3"/>
        <v>February</v>
      </c>
      <c r="E42" s="3" t="s">
        <v>5</v>
      </c>
      <c r="F42" s="3" t="str">
        <f t="shared" si="1"/>
        <v>Total hari kerja</v>
      </c>
      <c r="G42" s="12" t="s">
        <v>23</v>
      </c>
      <c r="H42" s="12">
        <v>1</v>
      </c>
      <c r="I42" s="12">
        <v>1</v>
      </c>
      <c r="J42" s="12">
        <v>7</v>
      </c>
      <c r="K42" s="12"/>
    </row>
    <row r="43" spans="1:11" x14ac:dyDescent="0.35">
      <c r="A43" s="2">
        <v>46065</v>
      </c>
      <c r="B43" s="3" t="str">
        <f t="shared" si="0"/>
        <v>Thu</v>
      </c>
      <c r="C43" s="3">
        <f t="shared" si="2"/>
        <v>7</v>
      </c>
      <c r="D43" s="3" t="str">
        <f t="shared" si="3"/>
        <v>February</v>
      </c>
      <c r="E43" s="3" t="s">
        <v>5</v>
      </c>
      <c r="F43" s="3" t="str">
        <f t="shared" si="1"/>
        <v>Total hari kerja</v>
      </c>
      <c r="G43" s="12" t="s">
        <v>23</v>
      </c>
      <c r="H43" s="12">
        <v>1</v>
      </c>
      <c r="I43" s="12">
        <v>3</v>
      </c>
      <c r="J43" s="12">
        <v>3</v>
      </c>
      <c r="K43" s="12"/>
    </row>
    <row r="44" spans="1:11" x14ac:dyDescent="0.35">
      <c r="A44" s="2">
        <v>46066</v>
      </c>
      <c r="B44" s="3" t="str">
        <f t="shared" si="0"/>
        <v>Fri</v>
      </c>
      <c r="C44" s="3">
        <f t="shared" si="2"/>
        <v>7</v>
      </c>
      <c r="D44" s="3" t="str">
        <f t="shared" si="3"/>
        <v>February</v>
      </c>
      <c r="E44" s="3" t="s">
        <v>5</v>
      </c>
      <c r="F44" s="3" t="str">
        <f t="shared" si="1"/>
        <v>Total hari kerja</v>
      </c>
      <c r="G44" s="12" t="s">
        <v>23</v>
      </c>
      <c r="H44" s="12">
        <v>8</v>
      </c>
      <c r="I44" s="12">
        <v>1</v>
      </c>
      <c r="J44" s="12"/>
      <c r="K44" s="12"/>
    </row>
    <row r="45" spans="1:11" x14ac:dyDescent="0.35">
      <c r="A45" s="2">
        <v>46067</v>
      </c>
      <c r="B45" s="3" t="str">
        <f t="shared" si="0"/>
        <v>Sat</v>
      </c>
      <c r="C45" s="3">
        <f t="shared" si="2"/>
        <v>7</v>
      </c>
      <c r="D45" s="3" t="str">
        <f t="shared" si="3"/>
        <v>February</v>
      </c>
      <c r="E45" s="3" t="s">
        <v>5</v>
      </c>
      <c r="F45" s="3" t="str">
        <f t="shared" si="1"/>
        <v>Total hari kerja</v>
      </c>
      <c r="G45" s="12" t="s">
        <v>23</v>
      </c>
      <c r="H45" s="12">
        <v>3</v>
      </c>
      <c r="I45" s="12">
        <v>1</v>
      </c>
      <c r="J45" s="12"/>
      <c r="K45" s="12"/>
    </row>
    <row r="46" spans="1:11" x14ac:dyDescent="0.35">
      <c r="A46" s="2">
        <v>46068</v>
      </c>
      <c r="B46" s="3" t="str">
        <f t="shared" si="0"/>
        <v>Sun</v>
      </c>
      <c r="C46" s="3">
        <f t="shared" si="2"/>
        <v>8</v>
      </c>
      <c r="D46" s="3" t="str">
        <f t="shared" si="3"/>
        <v>February</v>
      </c>
      <c r="E46" s="3"/>
      <c r="F46" s="3" t="str">
        <f t="shared" si="1"/>
        <v xml:space="preserve"> </v>
      </c>
      <c r="G46" s="12" t="s">
        <v>23</v>
      </c>
      <c r="H46" s="12"/>
      <c r="I46" s="12"/>
      <c r="J46" s="12"/>
      <c r="K46" s="12"/>
    </row>
    <row r="47" spans="1:11" x14ac:dyDescent="0.35">
      <c r="A47" s="2">
        <v>46069</v>
      </c>
      <c r="B47" s="3" t="str">
        <f t="shared" si="0"/>
        <v>Mon</v>
      </c>
      <c r="C47" s="3">
        <f t="shared" si="2"/>
        <v>8</v>
      </c>
      <c r="D47" s="3" t="str">
        <f t="shared" si="3"/>
        <v>February</v>
      </c>
      <c r="E47" s="3" t="s">
        <v>5</v>
      </c>
      <c r="F47" s="3" t="str">
        <f t="shared" si="1"/>
        <v>Total hari kerja</v>
      </c>
      <c r="G47" s="12" t="s">
        <v>23</v>
      </c>
      <c r="H47" s="12">
        <v>10</v>
      </c>
      <c r="I47" s="12"/>
      <c r="J47" s="12"/>
      <c r="K47" s="12"/>
    </row>
    <row r="48" spans="1:11" x14ac:dyDescent="0.35">
      <c r="A48" s="2">
        <v>46070</v>
      </c>
      <c r="B48" s="3" t="str">
        <f t="shared" si="0"/>
        <v>Tue</v>
      </c>
      <c r="C48" s="3">
        <f t="shared" si="2"/>
        <v>8</v>
      </c>
      <c r="D48" s="3" t="str">
        <f t="shared" si="3"/>
        <v>February</v>
      </c>
      <c r="E48" s="3" t="s">
        <v>5</v>
      </c>
      <c r="F48" s="3" t="str">
        <f t="shared" si="1"/>
        <v>Total hari kerja</v>
      </c>
      <c r="G48" s="12" t="s">
        <v>23</v>
      </c>
      <c r="H48" s="12">
        <v>1</v>
      </c>
      <c r="I48" s="12">
        <v>4</v>
      </c>
      <c r="J48" s="12">
        <v>1</v>
      </c>
      <c r="K48" s="12"/>
    </row>
    <row r="49" spans="1:12" x14ac:dyDescent="0.35">
      <c r="A49" s="2">
        <v>46071</v>
      </c>
      <c r="B49" s="3" t="str">
        <f t="shared" ref="B49:B112" si="4">TEXT(A49,"DDD")</f>
        <v>Wed</v>
      </c>
      <c r="C49" s="3">
        <f t="shared" ref="C49:C112" si="5">WEEKNUM(A49)</f>
        <v>8</v>
      </c>
      <c r="D49" s="3" t="str">
        <f t="shared" ref="D49:D112" si="6">TEXT(A49,"mmmm")</f>
        <v>February</v>
      </c>
      <c r="E49" s="3" t="s">
        <v>5</v>
      </c>
      <c r="F49" s="3" t="str">
        <f t="shared" si="1"/>
        <v>Total hari kerja</v>
      </c>
      <c r="G49" s="12" t="s">
        <v>23</v>
      </c>
      <c r="H49" s="12"/>
      <c r="I49" s="12"/>
      <c r="J49" s="12"/>
      <c r="K49" s="12"/>
    </row>
    <row r="50" spans="1:12" x14ac:dyDescent="0.35">
      <c r="A50" s="2">
        <v>46072</v>
      </c>
      <c r="B50" s="3" t="str">
        <f t="shared" si="4"/>
        <v>Thu</v>
      </c>
      <c r="C50" s="3">
        <f t="shared" si="5"/>
        <v>8</v>
      </c>
      <c r="D50" s="3" t="str">
        <f t="shared" si="6"/>
        <v>February</v>
      </c>
      <c r="E50" s="3" t="s">
        <v>5</v>
      </c>
      <c r="F50" s="3" t="str">
        <f t="shared" ref="F50:F113" si="7">IF(E50="J1",$O$3,IF(E50="J2",$O$4,IF(E50="J3",$O$5,IF(E50="J4",$O$6,IF(E50="J5",$O$7," ")))))</f>
        <v>Total hari kerja</v>
      </c>
      <c r="G50" s="12" t="s">
        <v>23</v>
      </c>
      <c r="H50" s="12">
        <v>3</v>
      </c>
      <c r="I50" s="12">
        <v>1</v>
      </c>
      <c r="J50" s="12"/>
      <c r="K50" s="12"/>
    </row>
    <row r="51" spans="1:12" x14ac:dyDescent="0.35">
      <c r="A51" s="2">
        <v>46073</v>
      </c>
      <c r="B51" s="3" t="str">
        <f t="shared" si="4"/>
        <v>Fri</v>
      </c>
      <c r="C51" s="3">
        <f t="shared" si="5"/>
        <v>8</v>
      </c>
      <c r="D51" s="3" t="str">
        <f t="shared" si="6"/>
        <v>February</v>
      </c>
      <c r="E51" s="3" t="s">
        <v>5</v>
      </c>
      <c r="F51" s="3" t="str">
        <f t="shared" si="7"/>
        <v>Total hari kerja</v>
      </c>
      <c r="G51" s="12" t="s">
        <v>23</v>
      </c>
      <c r="H51" s="12">
        <v>4</v>
      </c>
      <c r="I51" s="12">
        <v>2</v>
      </c>
      <c r="J51" s="12"/>
      <c r="K51" s="12"/>
    </row>
    <row r="52" spans="1:12" x14ac:dyDescent="0.35">
      <c r="A52" s="2">
        <v>46074</v>
      </c>
      <c r="B52" s="3" t="str">
        <f t="shared" si="4"/>
        <v>Sat</v>
      </c>
      <c r="C52" s="3">
        <f t="shared" si="5"/>
        <v>8</v>
      </c>
      <c r="D52" s="3" t="str">
        <f t="shared" si="6"/>
        <v>February</v>
      </c>
      <c r="E52" s="3" t="s">
        <v>5</v>
      </c>
      <c r="F52" s="3" t="str">
        <f t="shared" si="7"/>
        <v>Total hari kerja</v>
      </c>
      <c r="G52" s="12" t="s">
        <v>23</v>
      </c>
      <c r="H52" s="12">
        <v>2</v>
      </c>
      <c r="I52" s="12">
        <v>1</v>
      </c>
      <c r="J52" s="12"/>
      <c r="K52" s="12"/>
    </row>
    <row r="53" spans="1:12" x14ac:dyDescent="0.35">
      <c r="A53" s="2">
        <v>46075</v>
      </c>
      <c r="B53" s="3" t="str">
        <f t="shared" si="4"/>
        <v>Sun</v>
      </c>
      <c r="C53" s="3">
        <f t="shared" si="5"/>
        <v>9</v>
      </c>
      <c r="D53" s="3" t="str">
        <f t="shared" si="6"/>
        <v>February</v>
      </c>
      <c r="E53" s="3"/>
      <c r="F53" s="3" t="str">
        <f t="shared" si="7"/>
        <v xml:space="preserve"> </v>
      </c>
      <c r="G53" s="12" t="s">
        <v>23</v>
      </c>
      <c r="H53" s="12"/>
      <c r="I53" s="12"/>
      <c r="J53" s="12"/>
      <c r="K53" s="12"/>
    </row>
    <row r="54" spans="1:12" x14ac:dyDescent="0.35">
      <c r="A54" s="2">
        <v>46076</v>
      </c>
      <c r="B54" s="3" t="str">
        <f t="shared" si="4"/>
        <v>Mon</v>
      </c>
      <c r="C54" s="3">
        <f t="shared" si="5"/>
        <v>9</v>
      </c>
      <c r="D54" s="3" t="str">
        <f t="shared" si="6"/>
        <v>February</v>
      </c>
      <c r="E54" s="3" t="s">
        <v>5</v>
      </c>
      <c r="F54" s="3" t="str">
        <f t="shared" si="7"/>
        <v>Total hari kerja</v>
      </c>
      <c r="G54" s="12" t="s">
        <v>23</v>
      </c>
      <c r="H54" s="12">
        <v>3</v>
      </c>
      <c r="I54" s="12">
        <v>5</v>
      </c>
      <c r="J54" s="12"/>
      <c r="K54" s="12"/>
    </row>
    <row r="55" spans="1:12" x14ac:dyDescent="0.35">
      <c r="A55" s="2">
        <v>46077</v>
      </c>
      <c r="B55" s="3" t="str">
        <f t="shared" si="4"/>
        <v>Tue</v>
      </c>
      <c r="C55" s="3">
        <f t="shared" si="5"/>
        <v>9</v>
      </c>
      <c r="D55" s="3" t="str">
        <f t="shared" si="6"/>
        <v>February</v>
      </c>
      <c r="E55" s="3" t="s">
        <v>5</v>
      </c>
      <c r="F55" s="3" t="str">
        <f t="shared" si="7"/>
        <v>Total hari kerja</v>
      </c>
      <c r="G55" s="12" t="s">
        <v>23</v>
      </c>
      <c r="H55" s="12">
        <v>1</v>
      </c>
      <c r="I55" s="12">
        <v>3</v>
      </c>
      <c r="J55" s="12"/>
      <c r="K55" s="12"/>
    </row>
    <row r="56" spans="1:12" x14ac:dyDescent="0.35">
      <c r="A56" s="2">
        <v>46078</v>
      </c>
      <c r="B56" s="3" t="str">
        <f t="shared" si="4"/>
        <v>Wed</v>
      </c>
      <c r="C56" s="3">
        <f t="shared" si="5"/>
        <v>9</v>
      </c>
      <c r="D56" s="3" t="str">
        <f t="shared" si="6"/>
        <v>February</v>
      </c>
      <c r="E56" s="3" t="s">
        <v>5</v>
      </c>
      <c r="F56" s="3" t="str">
        <f t="shared" si="7"/>
        <v>Total hari kerja</v>
      </c>
      <c r="G56" s="12" t="s">
        <v>23</v>
      </c>
      <c r="H56" s="12">
        <v>11</v>
      </c>
      <c r="I56" s="12">
        <v>1</v>
      </c>
      <c r="J56" s="12"/>
      <c r="K56" s="12"/>
      <c r="L56" t="s">
        <v>33</v>
      </c>
    </row>
    <row r="57" spans="1:12" x14ac:dyDescent="0.35">
      <c r="A57" s="2">
        <v>46079</v>
      </c>
      <c r="B57" s="3" t="str">
        <f t="shared" si="4"/>
        <v>Thu</v>
      </c>
      <c r="C57" s="3">
        <f t="shared" si="5"/>
        <v>9</v>
      </c>
      <c r="D57" s="3" t="str">
        <f t="shared" si="6"/>
        <v>February</v>
      </c>
      <c r="E57" s="3" t="s">
        <v>5</v>
      </c>
      <c r="F57" s="3" t="str">
        <f t="shared" si="7"/>
        <v>Total hari kerja</v>
      </c>
      <c r="G57" s="12" t="s">
        <v>23</v>
      </c>
      <c r="H57" s="12">
        <v>2</v>
      </c>
      <c r="I57" s="12"/>
      <c r="J57" s="12"/>
      <c r="K57" s="12"/>
    </row>
    <row r="58" spans="1:12" x14ac:dyDescent="0.35">
      <c r="A58" s="2">
        <v>46080</v>
      </c>
      <c r="B58" s="3" t="str">
        <f t="shared" si="4"/>
        <v>Fri</v>
      </c>
      <c r="C58" s="3">
        <f t="shared" si="5"/>
        <v>9</v>
      </c>
      <c r="D58" s="3" t="str">
        <f t="shared" si="6"/>
        <v>February</v>
      </c>
      <c r="E58" s="3" t="s">
        <v>5</v>
      </c>
      <c r="F58" s="3" t="str">
        <f t="shared" si="7"/>
        <v>Total hari kerja</v>
      </c>
      <c r="G58" s="12" t="s">
        <v>23</v>
      </c>
      <c r="H58" s="12">
        <v>8</v>
      </c>
      <c r="I58" s="12"/>
      <c r="J58" s="12"/>
      <c r="K58" s="12"/>
    </row>
    <row r="59" spans="1:12" x14ac:dyDescent="0.35">
      <c r="A59" s="2">
        <v>46081</v>
      </c>
      <c r="B59" s="3" t="str">
        <f t="shared" si="4"/>
        <v>Sat</v>
      </c>
      <c r="C59" s="3">
        <f t="shared" si="5"/>
        <v>9</v>
      </c>
      <c r="D59" s="3" t="str">
        <f t="shared" si="6"/>
        <v>February</v>
      </c>
      <c r="E59" s="3" t="s">
        <v>5</v>
      </c>
      <c r="F59" s="3" t="str">
        <f t="shared" si="7"/>
        <v>Total hari kerja</v>
      </c>
      <c r="G59" s="12" t="s">
        <v>23</v>
      </c>
      <c r="H59" s="12"/>
      <c r="I59" s="12"/>
      <c r="J59" s="12"/>
      <c r="K59" s="12"/>
    </row>
    <row r="60" spans="1:12" x14ac:dyDescent="0.35">
      <c r="A60" s="2">
        <v>46082</v>
      </c>
      <c r="B60" s="3" t="str">
        <f t="shared" si="4"/>
        <v>Sun</v>
      </c>
      <c r="C60" s="3">
        <f t="shared" si="5"/>
        <v>10</v>
      </c>
      <c r="D60" s="3" t="str">
        <f t="shared" si="6"/>
        <v>March</v>
      </c>
      <c r="E60" s="3"/>
      <c r="F60" s="3" t="str">
        <f t="shared" si="7"/>
        <v xml:space="preserve"> </v>
      </c>
      <c r="G60" s="12" t="s">
        <v>23</v>
      </c>
      <c r="H60" s="12"/>
      <c r="I60" s="12"/>
      <c r="J60" s="12"/>
      <c r="K60" s="12"/>
    </row>
    <row r="61" spans="1:12" x14ac:dyDescent="0.35">
      <c r="A61" s="2">
        <v>46083</v>
      </c>
      <c r="B61" s="3" t="str">
        <f t="shared" si="4"/>
        <v>Mon</v>
      </c>
      <c r="C61" s="3">
        <f t="shared" si="5"/>
        <v>10</v>
      </c>
      <c r="D61" s="3" t="str">
        <f t="shared" si="6"/>
        <v>March</v>
      </c>
      <c r="E61" s="3" t="s">
        <v>5</v>
      </c>
      <c r="F61" s="3" t="str">
        <f t="shared" si="7"/>
        <v>Total hari kerja</v>
      </c>
      <c r="G61" s="12" t="s">
        <v>23</v>
      </c>
      <c r="H61" s="12">
        <v>7</v>
      </c>
      <c r="I61" s="12">
        <v>5</v>
      </c>
      <c r="J61" s="12"/>
      <c r="K61" s="12"/>
    </row>
    <row r="62" spans="1:12" x14ac:dyDescent="0.35">
      <c r="A62" s="2">
        <v>46084</v>
      </c>
      <c r="B62" s="3" t="str">
        <f t="shared" si="4"/>
        <v>Tue</v>
      </c>
      <c r="C62" s="3">
        <f t="shared" si="5"/>
        <v>10</v>
      </c>
      <c r="D62" s="3" t="str">
        <f t="shared" si="6"/>
        <v>March</v>
      </c>
      <c r="E62" s="3" t="s">
        <v>5</v>
      </c>
      <c r="F62" s="3" t="str">
        <f t="shared" si="7"/>
        <v>Total hari kerja</v>
      </c>
      <c r="G62" s="12" t="s">
        <v>23</v>
      </c>
      <c r="H62" s="12">
        <v>8</v>
      </c>
      <c r="I62" s="12">
        <v>3</v>
      </c>
      <c r="J62" s="12"/>
      <c r="K62" s="12"/>
    </row>
    <row r="63" spans="1:12" x14ac:dyDescent="0.35">
      <c r="A63" s="2">
        <v>46085</v>
      </c>
      <c r="B63" s="3" t="str">
        <f t="shared" si="4"/>
        <v>Wed</v>
      </c>
      <c r="C63" s="3">
        <f t="shared" si="5"/>
        <v>10</v>
      </c>
      <c r="D63" s="3" t="str">
        <f t="shared" si="6"/>
        <v>March</v>
      </c>
      <c r="E63" s="3" t="s">
        <v>5</v>
      </c>
      <c r="F63" s="3" t="str">
        <f t="shared" si="7"/>
        <v>Total hari kerja</v>
      </c>
      <c r="G63" s="12" t="s">
        <v>23</v>
      </c>
      <c r="H63" s="12">
        <v>9</v>
      </c>
      <c r="I63" s="12"/>
      <c r="J63" s="12"/>
      <c r="K63" s="12"/>
    </row>
    <row r="64" spans="1:12" x14ac:dyDescent="0.35">
      <c r="A64" s="2">
        <v>46086</v>
      </c>
      <c r="B64" s="3" t="str">
        <f t="shared" si="4"/>
        <v>Thu</v>
      </c>
      <c r="C64" s="3">
        <f t="shared" si="5"/>
        <v>10</v>
      </c>
      <c r="D64" s="3" t="str">
        <f t="shared" si="6"/>
        <v>March</v>
      </c>
      <c r="E64" s="3" t="s">
        <v>5</v>
      </c>
      <c r="F64" s="3" t="str">
        <f t="shared" si="7"/>
        <v>Total hari kerja</v>
      </c>
      <c r="G64" s="12" t="s">
        <v>23</v>
      </c>
      <c r="H64" s="12">
        <v>12</v>
      </c>
      <c r="I64" s="12">
        <v>1</v>
      </c>
      <c r="J64" s="12"/>
      <c r="K64" s="12"/>
    </row>
    <row r="65" spans="1:11" x14ac:dyDescent="0.35">
      <c r="A65" s="2">
        <v>46087</v>
      </c>
      <c r="B65" s="3" t="str">
        <f t="shared" si="4"/>
        <v>Fri</v>
      </c>
      <c r="C65" s="3">
        <f t="shared" si="5"/>
        <v>10</v>
      </c>
      <c r="D65" s="3" t="str">
        <f t="shared" si="6"/>
        <v>March</v>
      </c>
      <c r="E65" s="3" t="s">
        <v>102</v>
      </c>
      <c r="F65" s="3" t="str">
        <f t="shared" si="7"/>
        <v>Ijin/Sakit/Alfa</v>
      </c>
      <c r="G65" s="12" t="s">
        <v>23</v>
      </c>
      <c r="H65" s="12"/>
      <c r="I65" s="12"/>
      <c r="J65" s="12"/>
      <c r="K65" s="12"/>
    </row>
    <row r="66" spans="1:11" x14ac:dyDescent="0.35">
      <c r="A66" s="2">
        <v>46088</v>
      </c>
      <c r="B66" s="3" t="str">
        <f t="shared" si="4"/>
        <v>Sat</v>
      </c>
      <c r="C66" s="3">
        <f t="shared" si="5"/>
        <v>10</v>
      </c>
      <c r="D66" s="3" t="str">
        <f t="shared" si="6"/>
        <v>March</v>
      </c>
      <c r="E66" s="3" t="s">
        <v>5</v>
      </c>
      <c r="F66" s="3" t="str">
        <f t="shared" si="7"/>
        <v>Total hari kerja</v>
      </c>
      <c r="G66" s="12" t="s">
        <v>23</v>
      </c>
      <c r="H66" s="12">
        <v>11</v>
      </c>
      <c r="I66" s="12">
        <v>2</v>
      </c>
      <c r="J66" s="12">
        <v>1</v>
      </c>
      <c r="K66" s="12"/>
    </row>
    <row r="67" spans="1:11" x14ac:dyDescent="0.35">
      <c r="A67" s="2">
        <v>46089</v>
      </c>
      <c r="B67" s="3" t="str">
        <f t="shared" si="4"/>
        <v>Sun</v>
      </c>
      <c r="C67" s="3">
        <f t="shared" si="5"/>
        <v>11</v>
      </c>
      <c r="D67" s="3" t="str">
        <f t="shared" si="6"/>
        <v>March</v>
      </c>
      <c r="E67" s="3"/>
      <c r="F67" s="3" t="str">
        <f t="shared" si="7"/>
        <v xml:space="preserve"> </v>
      </c>
      <c r="G67" s="12" t="s">
        <v>23</v>
      </c>
      <c r="H67" s="12"/>
      <c r="I67" s="12"/>
      <c r="J67" s="12"/>
      <c r="K67" s="12"/>
    </row>
    <row r="68" spans="1:11" x14ac:dyDescent="0.35">
      <c r="A68" s="2">
        <v>46090</v>
      </c>
      <c r="B68" s="3" t="str">
        <f t="shared" si="4"/>
        <v>Mon</v>
      </c>
      <c r="C68" s="3">
        <f t="shared" si="5"/>
        <v>11</v>
      </c>
      <c r="D68" s="3" t="str">
        <f t="shared" si="6"/>
        <v>March</v>
      </c>
      <c r="E68" s="3" t="s">
        <v>5</v>
      </c>
      <c r="F68" s="3" t="str">
        <f t="shared" si="7"/>
        <v>Total hari kerja</v>
      </c>
      <c r="G68" s="12" t="s">
        <v>23</v>
      </c>
      <c r="H68" s="12">
        <v>6</v>
      </c>
      <c r="I68" s="12"/>
      <c r="J68" s="12"/>
      <c r="K68" s="12"/>
    </row>
    <row r="69" spans="1:11" x14ac:dyDescent="0.35">
      <c r="A69" s="2">
        <v>46091</v>
      </c>
      <c r="B69" s="3" t="str">
        <f t="shared" si="4"/>
        <v>Tue</v>
      </c>
      <c r="C69" s="3">
        <f t="shared" si="5"/>
        <v>11</v>
      </c>
      <c r="D69" s="3" t="str">
        <f t="shared" si="6"/>
        <v>March</v>
      </c>
      <c r="E69" s="3" t="s">
        <v>5</v>
      </c>
      <c r="F69" s="3" t="str">
        <f t="shared" si="7"/>
        <v>Total hari kerja</v>
      </c>
      <c r="G69" s="12" t="s">
        <v>23</v>
      </c>
      <c r="H69" s="12">
        <v>7</v>
      </c>
      <c r="I69" s="12">
        <v>1</v>
      </c>
      <c r="J69" s="12"/>
      <c r="K69" s="12"/>
    </row>
    <row r="70" spans="1:11" x14ac:dyDescent="0.35">
      <c r="A70" s="2">
        <v>46092</v>
      </c>
      <c r="B70" s="3" t="str">
        <f t="shared" si="4"/>
        <v>Wed</v>
      </c>
      <c r="C70" s="3">
        <f t="shared" si="5"/>
        <v>11</v>
      </c>
      <c r="D70" s="3" t="str">
        <f t="shared" si="6"/>
        <v>March</v>
      </c>
      <c r="E70" s="3" t="s">
        <v>5</v>
      </c>
      <c r="F70" s="3" t="str">
        <f t="shared" si="7"/>
        <v>Total hari kerja</v>
      </c>
      <c r="G70" s="12" t="s">
        <v>23</v>
      </c>
      <c r="H70" s="12">
        <v>4</v>
      </c>
      <c r="I70" s="12">
        <v>2</v>
      </c>
      <c r="J70" s="12">
        <v>1</v>
      </c>
      <c r="K70" s="12"/>
    </row>
    <row r="71" spans="1:11" x14ac:dyDescent="0.35">
      <c r="A71" s="2">
        <v>46093</v>
      </c>
      <c r="B71" s="3" t="str">
        <f t="shared" si="4"/>
        <v>Thu</v>
      </c>
      <c r="C71" s="3">
        <f t="shared" si="5"/>
        <v>11</v>
      </c>
      <c r="D71" s="3" t="str">
        <f t="shared" si="6"/>
        <v>March</v>
      </c>
      <c r="E71" s="3" t="s">
        <v>5</v>
      </c>
      <c r="F71" s="3" t="str">
        <f t="shared" si="7"/>
        <v>Total hari kerja</v>
      </c>
      <c r="G71" s="12" t="s">
        <v>23</v>
      </c>
      <c r="H71" s="12">
        <v>10</v>
      </c>
      <c r="I71" s="12">
        <v>1</v>
      </c>
      <c r="J71" s="12">
        <v>3</v>
      </c>
      <c r="K71" s="12"/>
    </row>
    <row r="72" spans="1:11" x14ac:dyDescent="0.35">
      <c r="A72" s="2">
        <v>46094</v>
      </c>
      <c r="B72" s="3" t="str">
        <f t="shared" si="4"/>
        <v>Fri</v>
      </c>
      <c r="C72" s="3">
        <f t="shared" si="5"/>
        <v>11</v>
      </c>
      <c r="D72" s="3" t="str">
        <f t="shared" si="6"/>
        <v>March</v>
      </c>
      <c r="E72" s="3" t="s">
        <v>5</v>
      </c>
      <c r="F72" s="3" t="str">
        <f t="shared" si="7"/>
        <v>Total hari kerja</v>
      </c>
      <c r="G72" s="12" t="s">
        <v>23</v>
      </c>
      <c r="H72" s="12">
        <v>9</v>
      </c>
      <c r="I72" s="12">
        <v>8</v>
      </c>
      <c r="J72" s="12"/>
      <c r="K72" s="12"/>
    </row>
    <row r="73" spans="1:11" x14ac:dyDescent="0.35">
      <c r="A73" s="2">
        <v>46095</v>
      </c>
      <c r="B73" s="3" t="str">
        <f t="shared" si="4"/>
        <v>Sat</v>
      </c>
      <c r="C73" s="3">
        <f t="shared" si="5"/>
        <v>11</v>
      </c>
      <c r="D73" s="3" t="str">
        <f t="shared" si="6"/>
        <v>March</v>
      </c>
      <c r="E73" s="3" t="s">
        <v>5</v>
      </c>
      <c r="F73" s="3" t="str">
        <f t="shared" si="7"/>
        <v>Total hari kerja</v>
      </c>
      <c r="G73" s="12" t="s">
        <v>23</v>
      </c>
      <c r="H73" s="12">
        <v>2</v>
      </c>
      <c r="I73" s="12">
        <v>3</v>
      </c>
      <c r="J73" s="12"/>
      <c r="K73" s="12"/>
    </row>
    <row r="74" spans="1:11" x14ac:dyDescent="0.35">
      <c r="A74" s="2">
        <v>46096</v>
      </c>
      <c r="B74" s="3" t="str">
        <f t="shared" si="4"/>
        <v>Sun</v>
      </c>
      <c r="C74" s="3">
        <f t="shared" si="5"/>
        <v>12</v>
      </c>
      <c r="D74" s="3" t="str">
        <f t="shared" si="6"/>
        <v>March</v>
      </c>
      <c r="E74" s="3"/>
      <c r="F74" s="3" t="str">
        <f t="shared" si="7"/>
        <v xml:space="preserve"> </v>
      </c>
      <c r="G74" s="12" t="s">
        <v>23</v>
      </c>
      <c r="H74" s="12"/>
      <c r="I74" s="12"/>
      <c r="J74" s="12"/>
      <c r="K74" s="12"/>
    </row>
    <row r="75" spans="1:11" x14ac:dyDescent="0.35">
      <c r="A75" s="2">
        <v>46097</v>
      </c>
      <c r="B75" s="3" t="str">
        <f t="shared" si="4"/>
        <v>Mon</v>
      </c>
      <c r="C75" s="3">
        <f t="shared" si="5"/>
        <v>12</v>
      </c>
      <c r="D75" s="3" t="str">
        <f t="shared" si="6"/>
        <v>March</v>
      </c>
      <c r="E75" s="3" t="s">
        <v>157</v>
      </c>
      <c r="F75" s="3" t="str">
        <f t="shared" si="7"/>
        <v>1/2 HARI</v>
      </c>
      <c r="G75" s="12" t="s">
        <v>23</v>
      </c>
      <c r="H75" s="12">
        <v>2</v>
      </c>
      <c r="I75" s="12"/>
      <c r="J75" s="12"/>
      <c r="K75" s="12"/>
    </row>
    <row r="76" spans="1:11" x14ac:dyDescent="0.35">
      <c r="A76" s="2">
        <v>46098</v>
      </c>
      <c r="B76" s="3" t="str">
        <f t="shared" si="4"/>
        <v>Tue</v>
      </c>
      <c r="C76" s="3">
        <f t="shared" si="5"/>
        <v>12</v>
      </c>
      <c r="D76" s="3" t="str">
        <f t="shared" si="6"/>
        <v>March</v>
      </c>
      <c r="E76" s="3" t="s">
        <v>5</v>
      </c>
      <c r="F76" s="3" t="str">
        <f t="shared" si="7"/>
        <v>Total hari kerja</v>
      </c>
      <c r="G76" s="12" t="s">
        <v>23</v>
      </c>
      <c r="H76" s="12">
        <v>5</v>
      </c>
      <c r="I76" s="12">
        <v>3</v>
      </c>
      <c r="J76" s="12">
        <v>1</v>
      </c>
      <c r="K76" s="12"/>
    </row>
    <row r="77" spans="1:11" x14ac:dyDescent="0.35">
      <c r="A77" s="2">
        <v>46099</v>
      </c>
      <c r="B77" s="3" t="str">
        <f t="shared" si="4"/>
        <v>Wed</v>
      </c>
      <c r="C77" s="3">
        <f t="shared" si="5"/>
        <v>12</v>
      </c>
      <c r="D77" s="3" t="str">
        <f t="shared" si="6"/>
        <v>March</v>
      </c>
      <c r="E77" s="3" t="s">
        <v>5</v>
      </c>
      <c r="F77" s="3" t="str">
        <f t="shared" si="7"/>
        <v>Total hari kerja</v>
      </c>
      <c r="G77" s="12" t="s">
        <v>23</v>
      </c>
      <c r="H77" s="12"/>
      <c r="I77" s="12"/>
      <c r="J77" s="12"/>
      <c r="K77" s="12"/>
    </row>
    <row r="78" spans="1:11" x14ac:dyDescent="0.35">
      <c r="A78" s="2">
        <v>46100</v>
      </c>
      <c r="B78" s="3" t="str">
        <f t="shared" si="4"/>
        <v>Thu</v>
      </c>
      <c r="C78" s="3">
        <f t="shared" si="5"/>
        <v>12</v>
      </c>
      <c r="D78" s="3" t="str">
        <f t="shared" si="6"/>
        <v>March</v>
      </c>
      <c r="E78" s="3"/>
      <c r="F78" s="3"/>
      <c r="G78" s="12" t="s">
        <v>23</v>
      </c>
      <c r="H78" s="12"/>
      <c r="I78" s="12"/>
      <c r="J78" s="12"/>
      <c r="K78" s="12"/>
    </row>
    <row r="79" spans="1:11" x14ac:dyDescent="0.35">
      <c r="A79" s="2">
        <v>46101</v>
      </c>
      <c r="B79" s="3" t="str">
        <f t="shared" si="4"/>
        <v>Fri</v>
      </c>
      <c r="C79" s="3">
        <f t="shared" si="5"/>
        <v>12</v>
      </c>
      <c r="D79" s="3" t="str">
        <f t="shared" si="6"/>
        <v>March</v>
      </c>
      <c r="E79" s="3"/>
      <c r="F79" s="3"/>
      <c r="G79" s="12" t="s">
        <v>23</v>
      </c>
      <c r="H79" s="12"/>
      <c r="I79" s="12"/>
      <c r="J79" s="12"/>
      <c r="K79" s="12"/>
    </row>
    <row r="80" spans="1:11" x14ac:dyDescent="0.35">
      <c r="A80" s="2">
        <v>46102</v>
      </c>
      <c r="B80" s="3" t="str">
        <f t="shared" si="4"/>
        <v>Sat</v>
      </c>
      <c r="C80" s="3">
        <f t="shared" si="5"/>
        <v>12</v>
      </c>
      <c r="D80" s="3" t="str">
        <f t="shared" si="6"/>
        <v>March</v>
      </c>
      <c r="E80" s="3"/>
      <c r="F80" s="3"/>
      <c r="G80" s="12" t="s">
        <v>23</v>
      </c>
      <c r="H80" s="12"/>
      <c r="I80" s="12"/>
      <c r="J80" s="12"/>
      <c r="K80" s="12"/>
    </row>
    <row r="81" spans="1:11" x14ac:dyDescent="0.35">
      <c r="A81" s="2">
        <v>46103</v>
      </c>
      <c r="B81" s="3" t="str">
        <f t="shared" si="4"/>
        <v>Sun</v>
      </c>
      <c r="C81" s="3">
        <f t="shared" si="5"/>
        <v>13</v>
      </c>
      <c r="D81" s="3" t="str">
        <f t="shared" si="6"/>
        <v>March</v>
      </c>
      <c r="E81" s="3"/>
      <c r="F81" s="3" t="str">
        <f t="shared" si="7"/>
        <v xml:space="preserve"> </v>
      </c>
      <c r="G81" s="12" t="s">
        <v>23</v>
      </c>
      <c r="H81" s="12"/>
      <c r="I81" s="12"/>
      <c r="J81" s="12"/>
      <c r="K81" s="12"/>
    </row>
    <row r="82" spans="1:11" x14ac:dyDescent="0.35">
      <c r="A82" s="2">
        <v>46104</v>
      </c>
      <c r="B82" s="3" t="str">
        <f t="shared" si="4"/>
        <v>Mon</v>
      </c>
      <c r="C82" s="3">
        <f t="shared" si="5"/>
        <v>13</v>
      </c>
      <c r="D82" s="3" t="str">
        <f t="shared" si="6"/>
        <v>March</v>
      </c>
      <c r="E82" s="3"/>
      <c r="F82" s="3" t="str">
        <f t="shared" si="7"/>
        <v xml:space="preserve"> </v>
      </c>
      <c r="G82" s="12" t="s">
        <v>23</v>
      </c>
      <c r="H82" s="12"/>
      <c r="I82" s="12"/>
      <c r="J82" s="12"/>
      <c r="K82" s="12"/>
    </row>
    <row r="83" spans="1:11" x14ac:dyDescent="0.35">
      <c r="A83" s="2">
        <v>46105</v>
      </c>
      <c r="B83" s="3" t="str">
        <f t="shared" si="4"/>
        <v>Tue</v>
      </c>
      <c r="C83" s="3">
        <f t="shared" si="5"/>
        <v>13</v>
      </c>
      <c r="D83" s="3" t="str">
        <f t="shared" si="6"/>
        <v>March</v>
      </c>
      <c r="E83" s="3"/>
      <c r="F83" s="3" t="str">
        <f t="shared" si="7"/>
        <v xml:space="preserve"> </v>
      </c>
      <c r="G83" s="12" t="s">
        <v>23</v>
      </c>
      <c r="H83" s="12"/>
      <c r="I83" s="12"/>
      <c r="J83" s="12"/>
      <c r="K83" s="12"/>
    </row>
    <row r="84" spans="1:11" x14ac:dyDescent="0.35">
      <c r="A84" s="2">
        <v>46106</v>
      </c>
      <c r="B84" s="3" t="str">
        <f t="shared" si="4"/>
        <v>Wed</v>
      </c>
      <c r="C84" s="3">
        <f t="shared" si="5"/>
        <v>13</v>
      </c>
      <c r="D84" s="3" t="str">
        <f t="shared" si="6"/>
        <v>March</v>
      </c>
      <c r="E84" s="3"/>
      <c r="F84" s="3" t="str">
        <f t="shared" si="7"/>
        <v xml:space="preserve"> </v>
      </c>
      <c r="G84" s="12" t="s">
        <v>23</v>
      </c>
      <c r="H84" s="12"/>
      <c r="I84" s="12"/>
      <c r="J84" s="12"/>
      <c r="K84" s="12"/>
    </row>
    <row r="85" spans="1:11" x14ac:dyDescent="0.35">
      <c r="A85" s="2">
        <v>46107</v>
      </c>
      <c r="B85" s="3" t="str">
        <f t="shared" si="4"/>
        <v>Thu</v>
      </c>
      <c r="C85" s="3">
        <f t="shared" si="5"/>
        <v>13</v>
      </c>
      <c r="D85" s="3" t="str">
        <f t="shared" si="6"/>
        <v>March</v>
      </c>
      <c r="E85" s="3"/>
      <c r="F85" s="3" t="str">
        <f t="shared" si="7"/>
        <v xml:space="preserve"> </v>
      </c>
      <c r="G85" s="12" t="s">
        <v>23</v>
      </c>
      <c r="H85" s="12"/>
      <c r="I85" s="12"/>
      <c r="J85" s="12"/>
      <c r="K85" s="12"/>
    </row>
    <row r="86" spans="1:11" x14ac:dyDescent="0.35">
      <c r="A86" s="2">
        <v>46108</v>
      </c>
      <c r="B86" s="3" t="str">
        <f t="shared" si="4"/>
        <v>Fri</v>
      </c>
      <c r="C86" s="3">
        <f t="shared" si="5"/>
        <v>13</v>
      </c>
      <c r="D86" s="3" t="str">
        <f t="shared" si="6"/>
        <v>March</v>
      </c>
      <c r="E86" s="3"/>
      <c r="F86" s="3" t="str">
        <f t="shared" si="7"/>
        <v xml:space="preserve"> </v>
      </c>
      <c r="G86" s="12" t="s">
        <v>23</v>
      </c>
      <c r="H86" s="12"/>
      <c r="I86" s="12"/>
      <c r="J86" s="12"/>
      <c r="K86" s="12"/>
    </row>
    <row r="87" spans="1:11" x14ac:dyDescent="0.35">
      <c r="A87" s="2">
        <v>46109</v>
      </c>
      <c r="B87" s="3" t="str">
        <f t="shared" si="4"/>
        <v>Sat</v>
      </c>
      <c r="C87" s="3">
        <f t="shared" si="5"/>
        <v>13</v>
      </c>
      <c r="D87" s="3" t="str">
        <f t="shared" si="6"/>
        <v>March</v>
      </c>
      <c r="E87" s="3"/>
      <c r="F87" s="3" t="str">
        <f t="shared" si="7"/>
        <v xml:space="preserve"> </v>
      </c>
      <c r="G87" s="12" t="s">
        <v>23</v>
      </c>
      <c r="H87" s="12"/>
      <c r="I87" s="12"/>
      <c r="J87" s="12"/>
      <c r="K87" s="12"/>
    </row>
    <row r="88" spans="1:11" x14ac:dyDescent="0.35">
      <c r="A88" s="2">
        <v>46110</v>
      </c>
      <c r="B88" s="3" t="str">
        <f t="shared" si="4"/>
        <v>Sun</v>
      </c>
      <c r="C88" s="3">
        <f t="shared" si="5"/>
        <v>14</v>
      </c>
      <c r="D88" s="3" t="str">
        <f t="shared" si="6"/>
        <v>March</v>
      </c>
      <c r="E88" s="3"/>
      <c r="F88" s="3" t="str">
        <f t="shared" si="7"/>
        <v xml:space="preserve"> </v>
      </c>
      <c r="G88" s="12" t="s">
        <v>23</v>
      </c>
      <c r="H88" s="12"/>
      <c r="I88" s="12"/>
      <c r="J88" s="12"/>
      <c r="K88" s="12"/>
    </row>
    <row r="89" spans="1:11" x14ac:dyDescent="0.35">
      <c r="A89" s="2">
        <v>46111</v>
      </c>
      <c r="B89" s="3" t="str">
        <f t="shared" si="4"/>
        <v>Mon</v>
      </c>
      <c r="C89" s="3">
        <f t="shared" si="5"/>
        <v>14</v>
      </c>
      <c r="D89" s="3" t="str">
        <f t="shared" si="6"/>
        <v>March</v>
      </c>
      <c r="E89" s="3" t="s">
        <v>135</v>
      </c>
      <c r="F89" s="3" t="str">
        <f t="shared" si="7"/>
        <v>Total hari kerja</v>
      </c>
      <c r="G89" s="12" t="s">
        <v>23</v>
      </c>
      <c r="H89" s="12">
        <v>24</v>
      </c>
      <c r="I89" s="12">
        <v>12</v>
      </c>
      <c r="J89" s="12"/>
      <c r="K89" s="12"/>
    </row>
    <row r="90" spans="1:11" x14ac:dyDescent="0.35">
      <c r="A90" s="2">
        <v>46112</v>
      </c>
      <c r="B90" s="3" t="str">
        <f t="shared" si="4"/>
        <v>Tue</v>
      </c>
      <c r="C90" s="3">
        <f t="shared" si="5"/>
        <v>14</v>
      </c>
      <c r="D90" s="3" t="str">
        <f t="shared" si="6"/>
        <v>March</v>
      </c>
      <c r="E90" s="3" t="s">
        <v>135</v>
      </c>
      <c r="F90" s="3" t="str">
        <f t="shared" si="7"/>
        <v>Total hari kerja</v>
      </c>
      <c r="G90" s="12" t="s">
        <v>23</v>
      </c>
      <c r="H90" s="12">
        <v>31</v>
      </c>
      <c r="I90" s="12">
        <v>15</v>
      </c>
      <c r="J90" s="12"/>
      <c r="K90" s="12"/>
    </row>
    <row r="91" spans="1:11" x14ac:dyDescent="0.35">
      <c r="A91" s="2">
        <v>46113</v>
      </c>
      <c r="B91" s="3" t="str">
        <f t="shared" si="4"/>
        <v>Wed</v>
      </c>
      <c r="C91" s="3">
        <f t="shared" si="5"/>
        <v>14</v>
      </c>
      <c r="D91" s="3" t="str">
        <f t="shared" si="6"/>
        <v>April</v>
      </c>
      <c r="E91" s="3" t="s">
        <v>135</v>
      </c>
      <c r="F91" s="3" t="str">
        <f t="shared" si="7"/>
        <v>Total hari kerja</v>
      </c>
      <c r="G91" s="12" t="s">
        <v>23</v>
      </c>
      <c r="H91" s="12">
        <v>44</v>
      </c>
      <c r="I91" s="12">
        <v>7</v>
      </c>
      <c r="J91" s="12"/>
      <c r="K91" s="12"/>
    </row>
    <row r="92" spans="1:11" x14ac:dyDescent="0.35">
      <c r="A92" s="2">
        <v>46114</v>
      </c>
      <c r="B92" s="3" t="str">
        <f t="shared" si="4"/>
        <v>Thu</v>
      </c>
      <c r="C92" s="3">
        <f t="shared" si="5"/>
        <v>14</v>
      </c>
      <c r="D92" s="3" t="str">
        <f t="shared" si="6"/>
        <v>April</v>
      </c>
      <c r="E92" s="3" t="s">
        <v>135</v>
      </c>
      <c r="F92" s="3" t="str">
        <f t="shared" si="7"/>
        <v>Total hari kerja</v>
      </c>
      <c r="G92" s="12" t="s">
        <v>23</v>
      </c>
      <c r="H92" s="12">
        <v>24</v>
      </c>
      <c r="I92" s="12">
        <v>11</v>
      </c>
      <c r="J92" s="12"/>
      <c r="K92" s="12"/>
    </row>
    <row r="93" spans="1:11" x14ac:dyDescent="0.35">
      <c r="A93" s="2">
        <v>46115</v>
      </c>
      <c r="B93" s="3" t="str">
        <f t="shared" si="4"/>
        <v>Fri</v>
      </c>
      <c r="C93" s="3">
        <f t="shared" si="5"/>
        <v>14</v>
      </c>
      <c r="D93" s="3" t="str">
        <f t="shared" si="6"/>
        <v>April</v>
      </c>
      <c r="E93" s="3" t="s">
        <v>135</v>
      </c>
      <c r="F93" s="3" t="str">
        <f t="shared" si="7"/>
        <v>Total hari kerja</v>
      </c>
      <c r="G93" s="12" t="s">
        <v>23</v>
      </c>
      <c r="H93" s="12">
        <v>28</v>
      </c>
      <c r="I93" s="12">
        <v>16</v>
      </c>
      <c r="J93" s="12"/>
      <c r="K93" s="12"/>
    </row>
    <row r="94" spans="1:11" x14ac:dyDescent="0.35">
      <c r="A94" s="2">
        <v>46116</v>
      </c>
      <c r="B94" s="3" t="str">
        <f t="shared" si="4"/>
        <v>Sat</v>
      </c>
      <c r="C94" s="3">
        <f t="shared" si="5"/>
        <v>14</v>
      </c>
      <c r="D94" s="3" t="str">
        <f t="shared" si="6"/>
        <v>April</v>
      </c>
      <c r="E94" s="3" t="s">
        <v>135</v>
      </c>
      <c r="F94" s="3" t="str">
        <f t="shared" si="7"/>
        <v>Total hari kerja</v>
      </c>
      <c r="G94" s="12" t="s">
        <v>23</v>
      </c>
      <c r="H94" s="12">
        <v>20</v>
      </c>
      <c r="I94" s="12">
        <v>5</v>
      </c>
      <c r="J94" s="12"/>
      <c r="K94" s="12"/>
    </row>
    <row r="95" spans="1:11" x14ac:dyDescent="0.35">
      <c r="A95" s="2">
        <v>46117</v>
      </c>
      <c r="B95" s="3" t="str">
        <f t="shared" si="4"/>
        <v>Sun</v>
      </c>
      <c r="C95" s="3">
        <f t="shared" si="5"/>
        <v>15</v>
      </c>
      <c r="D95" s="3" t="str">
        <f t="shared" si="6"/>
        <v>April</v>
      </c>
      <c r="E95" s="3"/>
      <c r="F95" s="3" t="str">
        <f t="shared" si="7"/>
        <v xml:space="preserve"> </v>
      </c>
      <c r="G95" s="12" t="s">
        <v>23</v>
      </c>
      <c r="H95" s="12"/>
      <c r="I95" s="12"/>
      <c r="J95" s="12"/>
      <c r="K95" s="12"/>
    </row>
    <row r="96" spans="1:11" x14ac:dyDescent="0.35">
      <c r="A96" s="2">
        <v>46118</v>
      </c>
      <c r="B96" s="3" t="str">
        <f t="shared" si="4"/>
        <v>Mon</v>
      </c>
      <c r="C96" s="3">
        <f t="shared" si="5"/>
        <v>15</v>
      </c>
      <c r="D96" s="3" t="str">
        <f t="shared" si="6"/>
        <v>April</v>
      </c>
      <c r="E96" s="3" t="s">
        <v>135</v>
      </c>
      <c r="F96" s="3" t="str">
        <f t="shared" si="7"/>
        <v>Total hari kerja</v>
      </c>
      <c r="G96" s="12" t="s">
        <v>23</v>
      </c>
      <c r="H96" s="12">
        <v>29</v>
      </c>
      <c r="I96" s="12">
        <v>7</v>
      </c>
      <c r="J96" s="12"/>
      <c r="K96" s="12"/>
    </row>
    <row r="97" spans="1:11" x14ac:dyDescent="0.35">
      <c r="A97" s="2">
        <v>46119</v>
      </c>
      <c r="B97" s="3" t="str">
        <f t="shared" si="4"/>
        <v>Tue</v>
      </c>
      <c r="C97" s="3">
        <f t="shared" si="5"/>
        <v>15</v>
      </c>
      <c r="D97" s="3" t="str">
        <f t="shared" si="6"/>
        <v>April</v>
      </c>
      <c r="E97" s="3" t="s">
        <v>135</v>
      </c>
      <c r="F97" s="3" t="str">
        <f t="shared" si="7"/>
        <v>Total hari kerja</v>
      </c>
      <c r="G97" s="12" t="s">
        <v>23</v>
      </c>
      <c r="H97" s="12">
        <v>19</v>
      </c>
      <c r="I97" s="12">
        <v>4</v>
      </c>
      <c r="J97" s="12"/>
      <c r="K97" s="12"/>
    </row>
    <row r="98" spans="1:11" x14ac:dyDescent="0.35">
      <c r="A98" s="2">
        <v>46120</v>
      </c>
      <c r="B98" s="3" t="str">
        <f t="shared" si="4"/>
        <v>Wed</v>
      </c>
      <c r="C98" s="3">
        <f t="shared" si="5"/>
        <v>15</v>
      </c>
      <c r="D98" s="3" t="str">
        <f t="shared" si="6"/>
        <v>April</v>
      </c>
      <c r="E98" s="3" t="s">
        <v>135</v>
      </c>
      <c r="F98" s="3" t="str">
        <f t="shared" si="7"/>
        <v>Total hari kerja</v>
      </c>
      <c r="G98" s="12" t="s">
        <v>23</v>
      </c>
      <c r="H98" s="12">
        <v>34</v>
      </c>
      <c r="I98" s="12">
        <v>8</v>
      </c>
      <c r="J98" s="12"/>
      <c r="K98" s="12"/>
    </row>
    <row r="99" spans="1:11" x14ac:dyDescent="0.35">
      <c r="A99" s="2">
        <v>46121</v>
      </c>
      <c r="B99" s="3" t="str">
        <f t="shared" si="4"/>
        <v>Thu</v>
      </c>
      <c r="C99" s="3">
        <f t="shared" si="5"/>
        <v>15</v>
      </c>
      <c r="D99" s="3" t="str">
        <f t="shared" si="6"/>
        <v>April</v>
      </c>
      <c r="E99" s="3" t="s">
        <v>102</v>
      </c>
      <c r="F99" s="3" t="str">
        <f t="shared" si="7"/>
        <v>Ijin/Sakit/Alfa</v>
      </c>
      <c r="G99" s="12" t="s">
        <v>23</v>
      </c>
      <c r="H99" s="12"/>
      <c r="I99" s="12"/>
      <c r="J99" s="12"/>
      <c r="K99" s="12"/>
    </row>
    <row r="100" spans="1:11" x14ac:dyDescent="0.35">
      <c r="A100" s="2">
        <v>46122</v>
      </c>
      <c r="B100" s="3" t="str">
        <f t="shared" si="4"/>
        <v>Fri</v>
      </c>
      <c r="C100" s="3">
        <f t="shared" si="5"/>
        <v>15</v>
      </c>
      <c r="D100" s="3" t="str">
        <f t="shared" si="6"/>
        <v>April</v>
      </c>
      <c r="E100" s="3" t="s">
        <v>135</v>
      </c>
      <c r="F100" s="3" t="str">
        <f t="shared" si="7"/>
        <v>Total hari kerja</v>
      </c>
      <c r="G100" s="12" t="s">
        <v>23</v>
      </c>
      <c r="H100" s="12">
        <v>45</v>
      </c>
      <c r="I100" s="12">
        <v>9</v>
      </c>
      <c r="J100" s="12"/>
      <c r="K100" s="12"/>
    </row>
    <row r="101" spans="1:11" x14ac:dyDescent="0.35">
      <c r="A101" s="2">
        <v>46123</v>
      </c>
      <c r="B101" s="3" t="str">
        <f t="shared" si="4"/>
        <v>Sat</v>
      </c>
      <c r="C101" s="3">
        <f t="shared" si="5"/>
        <v>15</v>
      </c>
      <c r="D101" s="3" t="str">
        <f t="shared" si="6"/>
        <v>April</v>
      </c>
      <c r="E101" s="3" t="s">
        <v>135</v>
      </c>
      <c r="F101" s="3" t="str">
        <f t="shared" si="7"/>
        <v>Total hari kerja</v>
      </c>
      <c r="G101" s="12" t="s">
        <v>23</v>
      </c>
      <c r="H101" s="12">
        <v>41</v>
      </c>
      <c r="I101" s="12">
        <v>7</v>
      </c>
      <c r="J101" s="12"/>
      <c r="K101" s="12"/>
    </row>
    <row r="102" spans="1:11" x14ac:dyDescent="0.35">
      <c r="A102" s="2">
        <v>46124</v>
      </c>
      <c r="B102" s="3" t="str">
        <f t="shared" si="4"/>
        <v>Sun</v>
      </c>
      <c r="C102" s="3">
        <f t="shared" si="5"/>
        <v>16</v>
      </c>
      <c r="D102" s="3" t="str">
        <f t="shared" si="6"/>
        <v>April</v>
      </c>
      <c r="E102" s="3"/>
      <c r="F102" s="3" t="str">
        <f t="shared" si="7"/>
        <v xml:space="preserve"> </v>
      </c>
      <c r="G102" s="12" t="s">
        <v>23</v>
      </c>
      <c r="H102" s="12"/>
      <c r="I102" s="12"/>
      <c r="J102" s="12"/>
      <c r="K102" s="12"/>
    </row>
    <row r="103" spans="1:11" x14ac:dyDescent="0.35">
      <c r="A103" s="2">
        <v>46125</v>
      </c>
      <c r="B103" s="3" t="str">
        <f t="shared" si="4"/>
        <v>Mon</v>
      </c>
      <c r="C103" s="3">
        <f t="shared" si="5"/>
        <v>16</v>
      </c>
      <c r="D103" s="3" t="str">
        <f t="shared" si="6"/>
        <v>April</v>
      </c>
      <c r="E103" s="3" t="s">
        <v>135</v>
      </c>
      <c r="F103" s="3" t="str">
        <f t="shared" si="7"/>
        <v>Total hari kerja</v>
      </c>
      <c r="G103" s="12" t="s">
        <v>23</v>
      </c>
      <c r="H103" s="12">
        <v>33</v>
      </c>
      <c r="I103" s="12">
        <v>5</v>
      </c>
      <c r="J103" s="12"/>
      <c r="K103" s="12"/>
    </row>
    <row r="104" spans="1:11" x14ac:dyDescent="0.35">
      <c r="A104" s="2">
        <v>46126</v>
      </c>
      <c r="B104" s="3" t="str">
        <f t="shared" si="4"/>
        <v>Tue</v>
      </c>
      <c r="C104" s="3">
        <f t="shared" si="5"/>
        <v>16</v>
      </c>
      <c r="D104" s="3" t="str">
        <f t="shared" si="6"/>
        <v>April</v>
      </c>
      <c r="E104" s="3" t="s">
        <v>135</v>
      </c>
      <c r="F104" s="3" t="str">
        <f t="shared" si="7"/>
        <v>Total hari kerja</v>
      </c>
      <c r="G104" s="12" t="s">
        <v>23</v>
      </c>
      <c r="H104" s="12">
        <v>40</v>
      </c>
      <c r="I104" s="12">
        <v>15</v>
      </c>
      <c r="J104" s="12"/>
      <c r="K104" s="12"/>
    </row>
    <row r="105" spans="1:11" x14ac:dyDescent="0.35">
      <c r="A105" s="2">
        <v>46127</v>
      </c>
      <c r="B105" s="3" t="str">
        <f t="shared" si="4"/>
        <v>Wed</v>
      </c>
      <c r="C105" s="3">
        <f t="shared" si="5"/>
        <v>16</v>
      </c>
      <c r="D105" s="3" t="str">
        <f t="shared" si="6"/>
        <v>April</v>
      </c>
      <c r="E105" s="3" t="s">
        <v>135</v>
      </c>
      <c r="F105" s="3" t="str">
        <f t="shared" si="7"/>
        <v>Total hari kerja</v>
      </c>
      <c r="G105" s="12" t="s">
        <v>23</v>
      </c>
      <c r="H105" s="12">
        <v>54</v>
      </c>
      <c r="I105" s="12">
        <v>24</v>
      </c>
      <c r="J105" s="12"/>
      <c r="K105" s="12"/>
    </row>
    <row r="106" spans="1:11" x14ac:dyDescent="0.35">
      <c r="A106" s="2">
        <v>46128</v>
      </c>
      <c r="B106" s="3" t="str">
        <f t="shared" si="4"/>
        <v>Thu</v>
      </c>
      <c r="C106" s="3">
        <f t="shared" si="5"/>
        <v>16</v>
      </c>
      <c r="D106" s="3" t="str">
        <f t="shared" si="6"/>
        <v>April</v>
      </c>
      <c r="E106" s="3" t="s">
        <v>135</v>
      </c>
      <c r="F106" s="3" t="str">
        <f t="shared" si="7"/>
        <v>Total hari kerja</v>
      </c>
      <c r="G106" s="12" t="s">
        <v>23</v>
      </c>
      <c r="H106" s="12">
        <v>45</v>
      </c>
      <c r="I106" s="12">
        <v>33</v>
      </c>
      <c r="J106" s="12"/>
      <c r="K106" s="12"/>
    </row>
    <row r="107" spans="1:11" x14ac:dyDescent="0.35">
      <c r="A107" s="2">
        <v>46129</v>
      </c>
      <c r="B107" s="3" t="str">
        <f t="shared" si="4"/>
        <v>Fri</v>
      </c>
      <c r="C107" s="3">
        <f t="shared" si="5"/>
        <v>16</v>
      </c>
      <c r="D107" s="3" t="str">
        <f t="shared" si="6"/>
        <v>April</v>
      </c>
      <c r="E107" s="3" t="s">
        <v>135</v>
      </c>
      <c r="F107" s="3" t="str">
        <f t="shared" si="7"/>
        <v>Total hari kerja</v>
      </c>
      <c r="G107" s="12" t="s">
        <v>23</v>
      </c>
      <c r="H107" s="12">
        <v>114</v>
      </c>
      <c r="I107" s="12">
        <v>10</v>
      </c>
      <c r="J107" s="12"/>
      <c r="K107" s="12"/>
    </row>
    <row r="108" spans="1:11" x14ac:dyDescent="0.35">
      <c r="A108" s="2">
        <v>46130</v>
      </c>
      <c r="B108" s="3" t="str">
        <f t="shared" si="4"/>
        <v>Sat</v>
      </c>
      <c r="C108" s="3">
        <f t="shared" si="5"/>
        <v>16</v>
      </c>
      <c r="D108" s="3" t="str">
        <f t="shared" si="6"/>
        <v>April</v>
      </c>
      <c r="E108" s="3" t="s">
        <v>135</v>
      </c>
      <c r="F108" s="3" t="str">
        <f t="shared" si="7"/>
        <v>Total hari kerja</v>
      </c>
      <c r="G108" s="12" t="s">
        <v>23</v>
      </c>
      <c r="H108" s="12">
        <v>51</v>
      </c>
      <c r="I108" s="12">
        <v>26</v>
      </c>
      <c r="J108" s="12"/>
      <c r="K108" s="12"/>
    </row>
    <row r="109" spans="1:11" x14ac:dyDescent="0.35">
      <c r="A109" s="2">
        <v>46131</v>
      </c>
      <c r="B109" s="3" t="str">
        <f t="shared" si="4"/>
        <v>Sun</v>
      </c>
      <c r="C109" s="3">
        <f t="shared" si="5"/>
        <v>17</v>
      </c>
      <c r="D109" s="3" t="str">
        <f t="shared" si="6"/>
        <v>April</v>
      </c>
      <c r="E109" s="3"/>
      <c r="F109" s="3" t="str">
        <f t="shared" si="7"/>
        <v xml:space="preserve"> </v>
      </c>
      <c r="G109" s="12" t="s">
        <v>23</v>
      </c>
      <c r="H109" s="12"/>
      <c r="I109" s="12"/>
      <c r="J109" s="12"/>
      <c r="K109" s="12"/>
    </row>
    <row r="110" spans="1:11" x14ac:dyDescent="0.35">
      <c r="A110" s="2">
        <v>46132</v>
      </c>
      <c r="B110" s="3" t="str">
        <f t="shared" si="4"/>
        <v>Mon</v>
      </c>
      <c r="C110" s="3">
        <f t="shared" si="5"/>
        <v>17</v>
      </c>
      <c r="D110" s="3" t="str">
        <f t="shared" si="6"/>
        <v>April</v>
      </c>
      <c r="E110" s="3" t="s">
        <v>135</v>
      </c>
      <c r="F110" s="3" t="str">
        <f t="shared" si="7"/>
        <v>Total hari kerja</v>
      </c>
      <c r="G110" s="12" t="s">
        <v>23</v>
      </c>
      <c r="H110" s="12">
        <v>38</v>
      </c>
      <c r="I110" s="12">
        <v>16</v>
      </c>
      <c r="J110" s="12"/>
      <c r="K110" s="12"/>
    </row>
    <row r="111" spans="1:11" x14ac:dyDescent="0.35">
      <c r="A111" s="2">
        <v>46133</v>
      </c>
      <c r="B111" s="3" t="str">
        <f t="shared" si="4"/>
        <v>Tue</v>
      </c>
      <c r="C111" s="3">
        <f t="shared" si="5"/>
        <v>17</v>
      </c>
      <c r="D111" s="3" t="str">
        <f t="shared" si="6"/>
        <v>April</v>
      </c>
      <c r="E111" s="3" t="s">
        <v>135</v>
      </c>
      <c r="F111" s="3" t="str">
        <f t="shared" si="7"/>
        <v>Total hari kerja</v>
      </c>
      <c r="G111" s="12" t="s">
        <v>23</v>
      </c>
      <c r="H111" s="12">
        <v>56</v>
      </c>
      <c r="I111" s="12">
        <v>10</v>
      </c>
      <c r="J111" s="12"/>
      <c r="K111" s="12"/>
    </row>
    <row r="112" spans="1:11" x14ac:dyDescent="0.35">
      <c r="A112" s="2">
        <v>46134</v>
      </c>
      <c r="B112" s="3" t="str">
        <f t="shared" si="4"/>
        <v>Wed</v>
      </c>
      <c r="C112" s="3">
        <f t="shared" si="5"/>
        <v>17</v>
      </c>
      <c r="D112" s="3" t="str">
        <f t="shared" si="6"/>
        <v>April</v>
      </c>
      <c r="E112" s="3" t="s">
        <v>135</v>
      </c>
      <c r="F112" s="3" t="str">
        <f t="shared" si="7"/>
        <v>Total hari kerja</v>
      </c>
      <c r="G112" s="12" t="s">
        <v>23</v>
      </c>
      <c r="H112" s="12">
        <v>27</v>
      </c>
      <c r="I112" s="12">
        <v>9</v>
      </c>
      <c r="J112" s="12"/>
      <c r="K112" s="12"/>
    </row>
    <row r="113" spans="1:11" x14ac:dyDescent="0.35">
      <c r="A113" s="2">
        <v>46135</v>
      </c>
      <c r="B113" s="3" t="str">
        <f t="shared" ref="B113:B176" si="8">TEXT(A113,"DDD")</f>
        <v>Thu</v>
      </c>
      <c r="C113" s="3">
        <f t="shared" ref="C113:C176" si="9">WEEKNUM(A113)</f>
        <v>17</v>
      </c>
      <c r="D113" s="3" t="str">
        <f t="shared" ref="D113:D176" si="10">TEXT(A113,"mmmm")</f>
        <v>April</v>
      </c>
      <c r="E113" s="3" t="s">
        <v>102</v>
      </c>
      <c r="F113" s="3" t="str">
        <f t="shared" si="7"/>
        <v>Ijin/Sakit/Alfa</v>
      </c>
      <c r="G113" s="12" t="s">
        <v>23</v>
      </c>
      <c r="H113" s="12"/>
      <c r="I113" s="12"/>
      <c r="J113" s="12"/>
      <c r="K113" s="12"/>
    </row>
    <row r="114" spans="1:11" x14ac:dyDescent="0.35">
      <c r="A114" s="2">
        <v>46136</v>
      </c>
      <c r="B114" s="3" t="str">
        <f t="shared" si="8"/>
        <v>Fri</v>
      </c>
      <c r="C114" s="3">
        <f t="shared" si="9"/>
        <v>17</v>
      </c>
      <c r="D114" s="3" t="str">
        <f t="shared" si="10"/>
        <v>April</v>
      </c>
      <c r="E114" s="3" t="s">
        <v>135</v>
      </c>
      <c r="F114" s="3" t="str">
        <f t="shared" ref="F114:F177" si="11">IF(E114="J1",$O$3,IF(E114="J2",$O$4,IF(E114="J3",$O$5,IF(E114="J4",$O$6,IF(E114="J5",$O$7," ")))))</f>
        <v>Total hari kerja</v>
      </c>
      <c r="G114" s="12" t="s">
        <v>23</v>
      </c>
      <c r="H114" s="12">
        <v>10</v>
      </c>
      <c r="I114" s="12">
        <v>7</v>
      </c>
      <c r="J114" s="12"/>
      <c r="K114" s="12"/>
    </row>
    <row r="115" spans="1:11" x14ac:dyDescent="0.35">
      <c r="A115" s="2">
        <v>46137</v>
      </c>
      <c r="B115" s="3" t="str">
        <f t="shared" si="8"/>
        <v>Sat</v>
      </c>
      <c r="C115" s="3">
        <f t="shared" si="9"/>
        <v>17</v>
      </c>
      <c r="D115" s="3" t="str">
        <f t="shared" si="10"/>
        <v>April</v>
      </c>
      <c r="E115" s="3" t="s">
        <v>135</v>
      </c>
      <c r="F115" s="3" t="str">
        <f t="shared" si="11"/>
        <v>Total hari kerja</v>
      </c>
      <c r="G115" s="12" t="s">
        <v>23</v>
      </c>
      <c r="H115" s="12">
        <v>15</v>
      </c>
      <c r="I115" s="12"/>
      <c r="J115" s="12"/>
      <c r="K115" s="12"/>
    </row>
    <row r="116" spans="1:11" x14ac:dyDescent="0.35">
      <c r="A116" s="2">
        <v>46138</v>
      </c>
      <c r="B116" s="3" t="str">
        <f t="shared" si="8"/>
        <v>Sun</v>
      </c>
      <c r="C116" s="3">
        <f t="shared" si="9"/>
        <v>18</v>
      </c>
      <c r="D116" s="3" t="str">
        <f t="shared" si="10"/>
        <v>April</v>
      </c>
      <c r="E116" s="3"/>
      <c r="F116" s="3" t="str">
        <f t="shared" si="11"/>
        <v xml:space="preserve"> </v>
      </c>
      <c r="G116" s="12" t="s">
        <v>23</v>
      </c>
      <c r="H116" s="12"/>
      <c r="I116" s="12"/>
      <c r="J116" s="12"/>
      <c r="K116" s="12"/>
    </row>
    <row r="117" spans="1:11" x14ac:dyDescent="0.35">
      <c r="A117" s="2">
        <v>46139</v>
      </c>
      <c r="B117" s="3" t="str">
        <f t="shared" si="8"/>
        <v>Mon</v>
      </c>
      <c r="C117" s="3">
        <f t="shared" si="9"/>
        <v>18</v>
      </c>
      <c r="D117" s="3" t="str">
        <f t="shared" si="10"/>
        <v>April</v>
      </c>
      <c r="E117" s="3" t="s">
        <v>135</v>
      </c>
      <c r="F117" s="3" t="str">
        <f t="shared" si="11"/>
        <v>Total hari kerja</v>
      </c>
      <c r="G117" s="12" t="s">
        <v>23</v>
      </c>
      <c r="H117" s="12">
        <v>54</v>
      </c>
      <c r="I117" s="12">
        <v>10</v>
      </c>
      <c r="J117" s="12"/>
      <c r="K117" s="12"/>
    </row>
    <row r="118" spans="1:11" x14ac:dyDescent="0.35">
      <c r="A118" s="2">
        <v>46140</v>
      </c>
      <c r="B118" s="3" t="str">
        <f t="shared" si="8"/>
        <v>Tue</v>
      </c>
      <c r="C118" s="3">
        <f t="shared" si="9"/>
        <v>18</v>
      </c>
      <c r="D118" s="3" t="str">
        <f t="shared" si="10"/>
        <v>April</v>
      </c>
      <c r="E118" s="3" t="s">
        <v>135</v>
      </c>
      <c r="F118" s="3" t="str">
        <f t="shared" si="11"/>
        <v>Total hari kerja</v>
      </c>
      <c r="G118" s="12" t="s">
        <v>23</v>
      </c>
      <c r="H118" s="12">
        <v>28</v>
      </c>
      <c r="I118" s="12">
        <v>7</v>
      </c>
      <c r="J118" s="12"/>
      <c r="K118" s="12"/>
    </row>
    <row r="119" spans="1:11" x14ac:dyDescent="0.35">
      <c r="A119" s="2">
        <v>46141</v>
      </c>
      <c r="B119" s="3" t="str">
        <f t="shared" si="8"/>
        <v>Wed</v>
      </c>
      <c r="C119" s="3">
        <f t="shared" si="9"/>
        <v>18</v>
      </c>
      <c r="D119" s="3" t="str">
        <f t="shared" si="10"/>
        <v>April</v>
      </c>
      <c r="E119" s="3" t="s">
        <v>135</v>
      </c>
      <c r="F119" s="3" t="str">
        <f t="shared" si="11"/>
        <v>Total hari kerja</v>
      </c>
      <c r="G119" s="12" t="s">
        <v>23</v>
      </c>
      <c r="H119" s="12">
        <v>20</v>
      </c>
      <c r="I119" s="12">
        <v>9</v>
      </c>
      <c r="J119" s="12"/>
      <c r="K119" s="12"/>
    </row>
    <row r="120" spans="1:11" x14ac:dyDescent="0.35">
      <c r="A120" s="2">
        <v>46142</v>
      </c>
      <c r="B120" s="3" t="str">
        <f t="shared" si="8"/>
        <v>Thu</v>
      </c>
      <c r="C120" s="3">
        <f t="shared" si="9"/>
        <v>18</v>
      </c>
      <c r="D120" s="3" t="str">
        <f t="shared" si="10"/>
        <v>April</v>
      </c>
      <c r="E120" s="3" t="s">
        <v>135</v>
      </c>
      <c r="F120" s="3" t="str">
        <f t="shared" si="11"/>
        <v>Total hari kerja</v>
      </c>
      <c r="G120" s="12" t="s">
        <v>23</v>
      </c>
      <c r="H120" s="12">
        <v>31</v>
      </c>
      <c r="I120" s="12">
        <v>3</v>
      </c>
      <c r="J120" s="12"/>
      <c r="K120" s="12"/>
    </row>
    <row r="121" spans="1:11" x14ac:dyDescent="0.35">
      <c r="A121" s="2">
        <v>46143</v>
      </c>
      <c r="B121" s="3" t="str">
        <f t="shared" si="8"/>
        <v>Fri</v>
      </c>
      <c r="C121" s="3">
        <f t="shared" si="9"/>
        <v>18</v>
      </c>
      <c r="D121" s="3" t="str">
        <f t="shared" si="10"/>
        <v>May</v>
      </c>
      <c r="E121" s="3" t="s">
        <v>135</v>
      </c>
      <c r="F121" s="3" t="str">
        <f t="shared" si="11"/>
        <v>Total hari kerja</v>
      </c>
      <c r="G121" s="12" t="s">
        <v>23</v>
      </c>
      <c r="H121" s="12">
        <v>29</v>
      </c>
      <c r="I121" s="12">
        <v>5</v>
      </c>
      <c r="J121" s="12"/>
      <c r="K121" s="12"/>
    </row>
    <row r="122" spans="1:11" x14ac:dyDescent="0.35">
      <c r="A122" s="2">
        <v>46144</v>
      </c>
      <c r="B122" s="3" t="str">
        <f t="shared" si="8"/>
        <v>Sat</v>
      </c>
      <c r="C122" s="3">
        <f t="shared" si="9"/>
        <v>18</v>
      </c>
      <c r="D122" s="3" t="str">
        <f t="shared" si="10"/>
        <v>May</v>
      </c>
      <c r="E122" s="3" t="s">
        <v>135</v>
      </c>
      <c r="F122" s="3" t="str">
        <f t="shared" si="11"/>
        <v>Total hari kerja</v>
      </c>
      <c r="G122" s="12" t="s">
        <v>23</v>
      </c>
      <c r="H122" s="12">
        <v>33</v>
      </c>
      <c r="I122" s="12">
        <v>8</v>
      </c>
      <c r="J122" s="12"/>
      <c r="K122" s="12"/>
    </row>
    <row r="123" spans="1:11" x14ac:dyDescent="0.35">
      <c r="A123" s="2">
        <v>46145</v>
      </c>
      <c r="B123" s="3" t="str">
        <f t="shared" si="8"/>
        <v>Sun</v>
      </c>
      <c r="C123" s="3">
        <f t="shared" si="9"/>
        <v>19</v>
      </c>
      <c r="D123" s="3" t="str">
        <f t="shared" si="10"/>
        <v>May</v>
      </c>
      <c r="E123" s="3"/>
      <c r="F123" s="3" t="str">
        <f t="shared" si="11"/>
        <v xml:space="preserve"> </v>
      </c>
      <c r="G123" s="12" t="s">
        <v>23</v>
      </c>
      <c r="H123" s="12"/>
      <c r="I123" s="12"/>
      <c r="J123" s="12"/>
      <c r="K123" s="12"/>
    </row>
    <row r="124" spans="1:11" x14ac:dyDescent="0.35">
      <c r="A124" s="2">
        <v>46146</v>
      </c>
      <c r="B124" s="3" t="str">
        <f t="shared" si="8"/>
        <v>Mon</v>
      </c>
      <c r="C124" s="3">
        <f t="shared" si="9"/>
        <v>19</v>
      </c>
      <c r="D124" s="3" t="str">
        <f t="shared" si="10"/>
        <v>May</v>
      </c>
      <c r="E124" s="3" t="s">
        <v>135</v>
      </c>
      <c r="F124" s="3" t="str">
        <f t="shared" si="11"/>
        <v>Total hari kerja</v>
      </c>
      <c r="G124" s="12" t="s">
        <v>23</v>
      </c>
      <c r="H124" s="12">
        <v>36</v>
      </c>
      <c r="I124" s="12">
        <v>18</v>
      </c>
      <c r="J124" s="12"/>
      <c r="K124" s="12"/>
    </row>
    <row r="125" spans="1:11" x14ac:dyDescent="0.35">
      <c r="A125" s="2">
        <v>46147</v>
      </c>
      <c r="B125" s="3" t="str">
        <f t="shared" si="8"/>
        <v>Tue</v>
      </c>
      <c r="C125" s="3">
        <f t="shared" si="9"/>
        <v>19</v>
      </c>
      <c r="D125" s="3" t="str">
        <f t="shared" si="10"/>
        <v>May</v>
      </c>
      <c r="E125" s="3" t="s">
        <v>135</v>
      </c>
      <c r="F125" s="3" t="str">
        <f t="shared" si="11"/>
        <v>Total hari kerja</v>
      </c>
      <c r="G125" s="12" t="s">
        <v>23</v>
      </c>
      <c r="H125" s="12">
        <v>37</v>
      </c>
      <c r="I125" s="12">
        <v>16</v>
      </c>
      <c r="J125" s="12"/>
      <c r="K125" s="12"/>
    </row>
    <row r="126" spans="1:11" x14ac:dyDescent="0.35">
      <c r="A126" s="2">
        <v>46148</v>
      </c>
      <c r="B126" s="3" t="str">
        <f t="shared" si="8"/>
        <v>Wed</v>
      </c>
      <c r="C126" s="3">
        <f t="shared" si="9"/>
        <v>19</v>
      </c>
      <c r="D126" s="3" t="str">
        <f t="shared" si="10"/>
        <v>May</v>
      </c>
      <c r="E126" s="3" t="s">
        <v>102</v>
      </c>
      <c r="F126" s="3" t="str">
        <f t="shared" si="11"/>
        <v>Ijin/Sakit/Alfa</v>
      </c>
      <c r="G126" s="12" t="s">
        <v>23</v>
      </c>
      <c r="H126" s="12"/>
      <c r="I126" s="12"/>
      <c r="J126" s="12"/>
      <c r="K126" s="12"/>
    </row>
    <row r="127" spans="1:11" x14ac:dyDescent="0.35">
      <c r="A127" s="2">
        <v>46149</v>
      </c>
      <c r="B127" s="3" t="str">
        <f t="shared" si="8"/>
        <v>Thu</v>
      </c>
      <c r="C127" s="3">
        <f t="shared" si="9"/>
        <v>19</v>
      </c>
      <c r="D127" s="3" t="str">
        <f t="shared" si="10"/>
        <v>May</v>
      </c>
      <c r="E127" s="3" t="s">
        <v>135</v>
      </c>
      <c r="F127" s="3" t="str">
        <f t="shared" si="11"/>
        <v>Total hari kerja</v>
      </c>
      <c r="G127" s="12" t="s">
        <v>23</v>
      </c>
      <c r="H127" s="12">
        <v>15</v>
      </c>
      <c r="I127" s="12">
        <v>10</v>
      </c>
      <c r="J127" s="12">
        <v>12</v>
      </c>
      <c r="K127" s="12"/>
    </row>
    <row r="128" spans="1:11" x14ac:dyDescent="0.35">
      <c r="A128" s="2">
        <v>46150</v>
      </c>
      <c r="B128" s="3" t="str">
        <f t="shared" si="8"/>
        <v>Fri</v>
      </c>
      <c r="C128" s="3">
        <f t="shared" si="9"/>
        <v>19</v>
      </c>
      <c r="D128" s="3" t="str">
        <f t="shared" si="10"/>
        <v>May</v>
      </c>
      <c r="E128" s="3" t="s">
        <v>135</v>
      </c>
      <c r="F128" s="3" t="str">
        <f t="shared" si="11"/>
        <v>Total hari kerja</v>
      </c>
      <c r="G128" s="12" t="s">
        <v>23</v>
      </c>
      <c r="H128" s="12">
        <v>12</v>
      </c>
      <c r="I128" s="12">
        <v>1</v>
      </c>
      <c r="J128" s="12"/>
      <c r="K128" s="12"/>
    </row>
    <row r="129" spans="1:11" x14ac:dyDescent="0.35">
      <c r="A129" s="2">
        <v>46151</v>
      </c>
      <c r="B129" s="3" t="str">
        <f t="shared" si="8"/>
        <v>Sat</v>
      </c>
      <c r="C129" s="3">
        <f t="shared" si="9"/>
        <v>19</v>
      </c>
      <c r="D129" s="3" t="str">
        <f t="shared" si="10"/>
        <v>May</v>
      </c>
      <c r="E129" s="3" t="s">
        <v>135</v>
      </c>
      <c r="F129" s="3" t="str">
        <f t="shared" si="11"/>
        <v>Total hari kerja</v>
      </c>
      <c r="G129" s="12" t="s">
        <v>23</v>
      </c>
      <c r="H129" s="12">
        <v>18</v>
      </c>
      <c r="I129" s="12">
        <v>5</v>
      </c>
      <c r="J129" s="12"/>
      <c r="K129" s="12"/>
    </row>
    <row r="130" spans="1:11" x14ac:dyDescent="0.35">
      <c r="A130" s="2">
        <v>46152</v>
      </c>
      <c r="B130" s="3" t="str">
        <f t="shared" si="8"/>
        <v>Sun</v>
      </c>
      <c r="C130" s="3">
        <f t="shared" si="9"/>
        <v>20</v>
      </c>
      <c r="D130" s="3" t="str">
        <f t="shared" si="10"/>
        <v>May</v>
      </c>
      <c r="E130" s="3"/>
      <c r="F130" s="3" t="str">
        <f t="shared" si="11"/>
        <v xml:space="preserve"> </v>
      </c>
      <c r="G130" s="12" t="s">
        <v>23</v>
      </c>
      <c r="H130" s="12"/>
      <c r="I130" s="12"/>
      <c r="J130" s="12"/>
      <c r="K130" s="12"/>
    </row>
    <row r="131" spans="1:11" x14ac:dyDescent="0.35">
      <c r="A131" s="2">
        <v>46153</v>
      </c>
      <c r="B131" s="3" t="str">
        <f t="shared" si="8"/>
        <v>Mon</v>
      </c>
      <c r="C131" s="3">
        <f t="shared" si="9"/>
        <v>20</v>
      </c>
      <c r="D131" s="3" t="str">
        <f t="shared" si="10"/>
        <v>May</v>
      </c>
      <c r="E131" s="3" t="s">
        <v>102</v>
      </c>
      <c r="F131" s="3" t="str">
        <f t="shared" si="11"/>
        <v>Ijin/Sakit/Alfa</v>
      </c>
      <c r="G131" s="12" t="s">
        <v>23</v>
      </c>
      <c r="H131" s="12"/>
      <c r="I131" s="12"/>
      <c r="J131" s="12"/>
      <c r="K131" s="12"/>
    </row>
    <row r="132" spans="1:11" x14ac:dyDescent="0.35">
      <c r="A132" s="2">
        <v>46154</v>
      </c>
      <c r="B132" s="3" t="str">
        <f t="shared" si="8"/>
        <v>Tue</v>
      </c>
      <c r="C132" s="3">
        <f t="shared" si="9"/>
        <v>20</v>
      </c>
      <c r="D132" s="3" t="str">
        <f t="shared" si="10"/>
        <v>May</v>
      </c>
      <c r="E132" s="3" t="s">
        <v>135</v>
      </c>
      <c r="F132" s="3" t="str">
        <f t="shared" si="11"/>
        <v>Total hari kerja</v>
      </c>
      <c r="G132" s="12" t="s">
        <v>23</v>
      </c>
      <c r="H132" s="12">
        <v>11</v>
      </c>
      <c r="I132" s="12">
        <v>3</v>
      </c>
      <c r="J132" s="12"/>
      <c r="K132" s="12"/>
    </row>
    <row r="133" spans="1:11" x14ac:dyDescent="0.35">
      <c r="A133" s="2">
        <v>46155</v>
      </c>
      <c r="B133" s="3" t="str">
        <f t="shared" si="8"/>
        <v>Wed</v>
      </c>
      <c r="C133" s="3">
        <f t="shared" si="9"/>
        <v>20</v>
      </c>
      <c r="D133" s="3" t="str">
        <f t="shared" si="10"/>
        <v>May</v>
      </c>
      <c r="E133" s="3" t="s">
        <v>135</v>
      </c>
      <c r="F133" s="3" t="str">
        <f t="shared" si="11"/>
        <v>Total hari kerja</v>
      </c>
      <c r="G133" s="12" t="s">
        <v>23</v>
      </c>
      <c r="H133" s="12">
        <v>16</v>
      </c>
      <c r="I133" s="12">
        <v>12</v>
      </c>
      <c r="J133" s="12"/>
      <c r="K133" s="12"/>
    </row>
    <row r="134" spans="1:11" x14ac:dyDescent="0.35">
      <c r="A134" s="2">
        <v>46156</v>
      </c>
      <c r="B134" s="3" t="str">
        <f t="shared" si="8"/>
        <v>Thu</v>
      </c>
      <c r="C134" s="3">
        <f t="shared" si="9"/>
        <v>20</v>
      </c>
      <c r="D134" s="3" t="str">
        <f t="shared" si="10"/>
        <v>May</v>
      </c>
      <c r="E134" s="3" t="s">
        <v>135</v>
      </c>
      <c r="F134" s="3" t="str">
        <f t="shared" si="11"/>
        <v>Total hari kerja</v>
      </c>
      <c r="G134" s="12" t="s">
        <v>23</v>
      </c>
      <c r="H134" s="12">
        <v>33</v>
      </c>
      <c r="I134" s="12">
        <v>10</v>
      </c>
      <c r="J134" s="12"/>
      <c r="K134" s="12"/>
    </row>
    <row r="135" spans="1:11" x14ac:dyDescent="0.35">
      <c r="A135" s="2">
        <v>46157</v>
      </c>
      <c r="B135" s="3" t="str">
        <f t="shared" si="8"/>
        <v>Fri</v>
      </c>
      <c r="C135" s="3">
        <f t="shared" si="9"/>
        <v>20</v>
      </c>
      <c r="D135" s="3" t="str">
        <f t="shared" si="10"/>
        <v>May</v>
      </c>
      <c r="E135" s="3" t="s">
        <v>135</v>
      </c>
      <c r="F135" s="3" t="str">
        <f t="shared" si="11"/>
        <v>Total hari kerja</v>
      </c>
      <c r="G135" s="12" t="s">
        <v>23</v>
      </c>
      <c r="H135" s="12">
        <v>22</v>
      </c>
      <c r="I135" s="12">
        <v>8</v>
      </c>
      <c r="J135" s="12"/>
      <c r="K135" s="12"/>
    </row>
    <row r="136" spans="1:11" x14ac:dyDescent="0.35">
      <c r="A136" s="2">
        <v>46158</v>
      </c>
      <c r="B136" s="3" t="str">
        <f t="shared" si="8"/>
        <v>Sat</v>
      </c>
      <c r="C136" s="3">
        <f t="shared" si="9"/>
        <v>20</v>
      </c>
      <c r="D136" s="3" t="str">
        <f t="shared" si="10"/>
        <v>May</v>
      </c>
      <c r="E136" s="3" t="s">
        <v>140</v>
      </c>
      <c r="F136" s="3" t="str">
        <f t="shared" si="11"/>
        <v>MERAH</v>
      </c>
      <c r="G136" s="12" t="s">
        <v>23</v>
      </c>
      <c r="H136" s="12"/>
      <c r="I136" s="12"/>
      <c r="J136" s="12"/>
      <c r="K136" s="12"/>
    </row>
    <row r="137" spans="1:11" x14ac:dyDescent="0.35">
      <c r="A137" s="2">
        <v>46159</v>
      </c>
      <c r="B137" s="3" t="str">
        <f t="shared" si="8"/>
        <v>Sun</v>
      </c>
      <c r="C137" s="3">
        <f t="shared" si="9"/>
        <v>21</v>
      </c>
      <c r="D137" s="3" t="str">
        <f t="shared" si="10"/>
        <v>May</v>
      </c>
      <c r="E137" s="3"/>
      <c r="F137" s="3" t="str">
        <f t="shared" si="11"/>
        <v xml:space="preserve"> </v>
      </c>
      <c r="G137" s="12" t="s">
        <v>23</v>
      </c>
      <c r="H137" s="12"/>
      <c r="I137" s="12"/>
      <c r="J137" s="12"/>
      <c r="K137" s="12"/>
    </row>
    <row r="138" spans="1:11" x14ac:dyDescent="0.35">
      <c r="A138" s="2">
        <v>46160</v>
      </c>
      <c r="B138" s="3" t="str">
        <f t="shared" si="8"/>
        <v>Mon</v>
      </c>
      <c r="C138" s="3">
        <f t="shared" si="9"/>
        <v>21</v>
      </c>
      <c r="D138" s="3" t="str">
        <f t="shared" si="10"/>
        <v>May</v>
      </c>
      <c r="E138" s="3" t="s">
        <v>135</v>
      </c>
      <c r="F138" s="3" t="str">
        <f t="shared" si="11"/>
        <v>Total hari kerja</v>
      </c>
      <c r="G138" s="12" t="s">
        <v>23</v>
      </c>
      <c r="H138" s="12">
        <v>23</v>
      </c>
      <c r="I138" s="12"/>
      <c r="J138" s="12"/>
      <c r="K138" s="12"/>
    </row>
    <row r="139" spans="1:11" x14ac:dyDescent="0.35">
      <c r="A139" s="2">
        <v>46161</v>
      </c>
      <c r="B139" s="3" t="str">
        <f t="shared" si="8"/>
        <v>Tue</v>
      </c>
      <c r="C139" s="3">
        <f t="shared" si="9"/>
        <v>21</v>
      </c>
      <c r="D139" s="3" t="str">
        <f t="shared" si="10"/>
        <v>May</v>
      </c>
      <c r="E139" s="3" t="s">
        <v>135</v>
      </c>
      <c r="F139" s="3" t="str">
        <f t="shared" si="11"/>
        <v>Total hari kerja</v>
      </c>
      <c r="G139" s="12" t="s">
        <v>23</v>
      </c>
      <c r="H139" s="12">
        <v>14</v>
      </c>
      <c r="I139" s="12">
        <v>3</v>
      </c>
      <c r="J139" s="12"/>
      <c r="K139" s="12"/>
    </row>
    <row r="140" spans="1:11" x14ac:dyDescent="0.35">
      <c r="A140" s="2">
        <v>46162</v>
      </c>
      <c r="B140" s="3" t="str">
        <f t="shared" si="8"/>
        <v>Wed</v>
      </c>
      <c r="C140" s="3">
        <f t="shared" si="9"/>
        <v>21</v>
      </c>
      <c r="D140" s="3" t="str">
        <f t="shared" si="10"/>
        <v>May</v>
      </c>
      <c r="E140" s="3" t="s">
        <v>135</v>
      </c>
      <c r="F140" s="7" t="str">
        <f t="shared" si="11"/>
        <v>Total hari kerja</v>
      </c>
      <c r="G140" s="12" t="s">
        <v>23</v>
      </c>
      <c r="H140" s="12">
        <v>10</v>
      </c>
      <c r="I140" s="12">
        <v>7</v>
      </c>
      <c r="J140" s="12"/>
      <c r="K140" s="12"/>
    </row>
    <row r="141" spans="1:11" x14ac:dyDescent="0.35">
      <c r="A141" s="2">
        <v>46163</v>
      </c>
      <c r="B141" s="3" t="str">
        <f t="shared" si="8"/>
        <v>Thu</v>
      </c>
      <c r="C141" s="3">
        <f t="shared" si="9"/>
        <v>21</v>
      </c>
      <c r="D141" s="3" t="str">
        <f t="shared" si="10"/>
        <v>May</v>
      </c>
      <c r="E141" s="3" t="s">
        <v>135</v>
      </c>
      <c r="F141" s="3" t="str">
        <f t="shared" si="11"/>
        <v>Total hari kerja</v>
      </c>
      <c r="G141" s="12" t="s">
        <v>23</v>
      </c>
      <c r="H141" s="12">
        <v>12</v>
      </c>
      <c r="I141" s="12">
        <v>4</v>
      </c>
      <c r="J141" s="12"/>
      <c r="K141" s="12"/>
    </row>
    <row r="142" spans="1:11" x14ac:dyDescent="0.35">
      <c r="A142" s="2">
        <v>46164</v>
      </c>
      <c r="B142" s="3" t="str">
        <f t="shared" si="8"/>
        <v>Fri</v>
      </c>
      <c r="C142" s="3">
        <f t="shared" si="9"/>
        <v>21</v>
      </c>
      <c r="D142" s="3" t="str">
        <f t="shared" si="10"/>
        <v>May</v>
      </c>
      <c r="E142" s="3" t="s">
        <v>135</v>
      </c>
      <c r="F142" s="7" t="str">
        <f t="shared" si="11"/>
        <v>Total hari kerja</v>
      </c>
      <c r="G142" s="12" t="s">
        <v>23</v>
      </c>
      <c r="H142" s="12">
        <v>15</v>
      </c>
      <c r="I142" s="12">
        <v>1</v>
      </c>
      <c r="J142" s="12">
        <v>1</v>
      </c>
      <c r="K142" s="12"/>
    </row>
    <row r="143" spans="1:11" x14ac:dyDescent="0.35">
      <c r="A143" s="2">
        <v>46165</v>
      </c>
      <c r="B143" s="3" t="str">
        <f t="shared" si="8"/>
        <v>Sat</v>
      </c>
      <c r="C143" s="3">
        <f t="shared" si="9"/>
        <v>21</v>
      </c>
      <c r="D143" s="3" t="str">
        <f t="shared" si="10"/>
        <v>May</v>
      </c>
      <c r="E143" s="3" t="s">
        <v>135</v>
      </c>
      <c r="F143" s="3" t="str">
        <f t="shared" si="11"/>
        <v>Total hari kerja</v>
      </c>
      <c r="G143" s="12" t="s">
        <v>23</v>
      </c>
      <c r="H143" s="12">
        <v>22</v>
      </c>
      <c r="I143" s="12">
        <v>6</v>
      </c>
      <c r="J143" s="12"/>
      <c r="K143" s="12"/>
    </row>
    <row r="144" spans="1:11" x14ac:dyDescent="0.35">
      <c r="A144" s="2">
        <v>46166</v>
      </c>
      <c r="B144" s="3" t="str">
        <f t="shared" si="8"/>
        <v>Sun</v>
      </c>
      <c r="C144" s="3">
        <f t="shared" si="9"/>
        <v>22</v>
      </c>
      <c r="D144" s="3" t="str">
        <f t="shared" si="10"/>
        <v>May</v>
      </c>
      <c r="E144" s="3"/>
      <c r="F144" s="3" t="str">
        <f t="shared" si="11"/>
        <v xml:space="preserve"> </v>
      </c>
      <c r="G144" s="12" t="s">
        <v>23</v>
      </c>
      <c r="H144" s="12"/>
      <c r="I144" s="12"/>
      <c r="J144" s="12"/>
      <c r="K144" s="12"/>
    </row>
    <row r="145" spans="1:11" x14ac:dyDescent="0.35">
      <c r="A145" s="2">
        <v>46167</v>
      </c>
      <c r="B145" s="3" t="str">
        <f t="shared" si="8"/>
        <v>Mon</v>
      </c>
      <c r="C145" s="3">
        <f t="shared" si="9"/>
        <v>22</v>
      </c>
      <c r="D145" s="3" t="str">
        <f t="shared" si="10"/>
        <v>May</v>
      </c>
      <c r="E145" s="3" t="s">
        <v>135</v>
      </c>
      <c r="F145" s="3" t="str">
        <f t="shared" si="11"/>
        <v>Total hari kerja</v>
      </c>
      <c r="G145" s="12" t="s">
        <v>23</v>
      </c>
      <c r="H145" s="12">
        <v>19</v>
      </c>
      <c r="I145" s="12">
        <v>12</v>
      </c>
      <c r="J145" s="12"/>
      <c r="K145" s="12"/>
    </row>
    <row r="146" spans="1:11" x14ac:dyDescent="0.35">
      <c r="A146" s="2">
        <v>46168</v>
      </c>
      <c r="B146" s="3" t="str">
        <f t="shared" si="8"/>
        <v>Tue</v>
      </c>
      <c r="C146" s="3">
        <f t="shared" si="9"/>
        <v>22</v>
      </c>
      <c r="D146" s="3" t="str">
        <f t="shared" si="10"/>
        <v>May</v>
      </c>
      <c r="E146" s="3" t="s">
        <v>135</v>
      </c>
      <c r="F146" s="3" t="str">
        <f t="shared" si="11"/>
        <v>Total hari kerja</v>
      </c>
      <c r="G146" s="12" t="s">
        <v>23</v>
      </c>
      <c r="H146" s="12">
        <v>3</v>
      </c>
      <c r="I146" s="12">
        <v>9</v>
      </c>
      <c r="J146" s="12"/>
      <c r="K146" s="12"/>
    </row>
    <row r="147" spans="1:11" x14ac:dyDescent="0.35">
      <c r="A147" s="2">
        <v>46169</v>
      </c>
      <c r="B147" s="3" t="str">
        <f t="shared" si="8"/>
        <v>Wed</v>
      </c>
      <c r="C147" s="3">
        <f t="shared" si="9"/>
        <v>22</v>
      </c>
      <c r="D147" s="3" t="str">
        <f t="shared" si="10"/>
        <v>May</v>
      </c>
      <c r="E147" s="3" t="s">
        <v>140</v>
      </c>
      <c r="F147" s="3" t="str">
        <f t="shared" si="11"/>
        <v>MERAH</v>
      </c>
      <c r="G147" s="12" t="s">
        <v>23</v>
      </c>
      <c r="H147" s="12"/>
      <c r="I147" s="12"/>
      <c r="J147" s="12"/>
      <c r="K147" s="12"/>
    </row>
    <row r="148" spans="1:11" x14ac:dyDescent="0.35">
      <c r="A148" s="2">
        <v>46170</v>
      </c>
      <c r="B148" s="3" t="str">
        <f t="shared" si="8"/>
        <v>Thu</v>
      </c>
      <c r="C148" s="3">
        <f t="shared" si="9"/>
        <v>22</v>
      </c>
      <c r="D148" s="3" t="str">
        <f t="shared" si="10"/>
        <v>May</v>
      </c>
      <c r="E148" s="3" t="s">
        <v>157</v>
      </c>
      <c r="F148" s="3" t="str">
        <f t="shared" si="11"/>
        <v>1/2 HARI</v>
      </c>
      <c r="G148" s="12" t="s">
        <v>23</v>
      </c>
      <c r="H148" s="12">
        <v>14</v>
      </c>
      <c r="I148" s="12"/>
      <c r="J148" s="12"/>
      <c r="K148" s="12"/>
    </row>
    <row r="149" spans="1:11" x14ac:dyDescent="0.35">
      <c r="A149" s="2">
        <v>46171</v>
      </c>
      <c r="B149" s="3" t="str">
        <f t="shared" si="8"/>
        <v>Fri</v>
      </c>
      <c r="C149" s="3">
        <f t="shared" si="9"/>
        <v>22</v>
      </c>
      <c r="D149" s="3" t="str">
        <f t="shared" si="10"/>
        <v>May</v>
      </c>
      <c r="E149" s="3" t="s">
        <v>135</v>
      </c>
      <c r="F149" s="3" t="str">
        <f t="shared" si="11"/>
        <v>Total hari kerja</v>
      </c>
      <c r="G149" s="12" t="s">
        <v>23</v>
      </c>
      <c r="H149" s="12">
        <v>13</v>
      </c>
      <c r="I149" s="12">
        <v>12</v>
      </c>
      <c r="J149" s="12"/>
      <c r="K149" s="12"/>
    </row>
    <row r="150" spans="1:11" x14ac:dyDescent="0.35">
      <c r="A150" s="2">
        <v>46172</v>
      </c>
      <c r="B150" s="3" t="str">
        <f t="shared" si="8"/>
        <v>Sat</v>
      </c>
      <c r="C150" s="3">
        <f t="shared" si="9"/>
        <v>22</v>
      </c>
      <c r="D150" s="3" t="str">
        <f t="shared" si="10"/>
        <v>May</v>
      </c>
      <c r="E150" s="3" t="s">
        <v>135</v>
      </c>
      <c r="F150" s="3" t="str">
        <f t="shared" si="11"/>
        <v>Total hari kerja</v>
      </c>
      <c r="G150" s="12" t="s">
        <v>23</v>
      </c>
      <c r="H150" s="12">
        <v>15</v>
      </c>
      <c r="I150" s="12">
        <v>3</v>
      </c>
      <c r="J150" s="12"/>
      <c r="K150" s="12"/>
    </row>
    <row r="151" spans="1:11" x14ac:dyDescent="0.35">
      <c r="A151" s="2">
        <v>46173</v>
      </c>
      <c r="B151" s="3" t="str">
        <f t="shared" si="8"/>
        <v>Sun</v>
      </c>
      <c r="C151" s="3">
        <f t="shared" si="9"/>
        <v>23</v>
      </c>
      <c r="D151" s="3" t="str">
        <f t="shared" si="10"/>
        <v>May</v>
      </c>
      <c r="E151" s="3"/>
      <c r="F151" s="3" t="str">
        <f t="shared" si="11"/>
        <v xml:space="preserve"> </v>
      </c>
      <c r="G151" s="12" t="s">
        <v>23</v>
      </c>
      <c r="H151" s="12"/>
      <c r="I151" s="12"/>
      <c r="J151" s="12"/>
      <c r="K151" s="12"/>
    </row>
    <row r="152" spans="1:11" x14ac:dyDescent="0.35">
      <c r="A152" s="2">
        <v>46174</v>
      </c>
      <c r="B152" s="3" t="str">
        <f t="shared" si="8"/>
        <v>Mon</v>
      </c>
      <c r="C152" s="3">
        <f t="shared" si="9"/>
        <v>23</v>
      </c>
      <c r="D152" s="3" t="str">
        <f t="shared" si="10"/>
        <v>June</v>
      </c>
      <c r="E152" s="3" t="s">
        <v>135</v>
      </c>
      <c r="F152" s="3" t="str">
        <f t="shared" si="11"/>
        <v>Total hari kerja</v>
      </c>
      <c r="G152" s="12" t="s">
        <v>23</v>
      </c>
      <c r="H152" s="12">
        <v>38</v>
      </c>
      <c r="I152" s="12">
        <v>6</v>
      </c>
      <c r="J152" s="12"/>
      <c r="K152" s="12"/>
    </row>
    <row r="153" spans="1:11" x14ac:dyDescent="0.35">
      <c r="A153" s="2">
        <v>46175</v>
      </c>
      <c r="B153" s="3" t="str">
        <f t="shared" si="8"/>
        <v>Tue</v>
      </c>
      <c r="C153" s="3">
        <f t="shared" si="9"/>
        <v>23</v>
      </c>
      <c r="D153" s="3" t="str">
        <f t="shared" si="10"/>
        <v>June</v>
      </c>
      <c r="E153" s="3" t="s">
        <v>135</v>
      </c>
      <c r="F153" s="3" t="str">
        <f t="shared" si="11"/>
        <v>Total hari kerja</v>
      </c>
      <c r="G153" s="12" t="s">
        <v>23</v>
      </c>
      <c r="H153" s="12">
        <v>33</v>
      </c>
      <c r="I153" s="12">
        <v>4</v>
      </c>
      <c r="J153" s="12"/>
      <c r="K153" s="12"/>
    </row>
    <row r="154" spans="1:11" x14ac:dyDescent="0.35">
      <c r="A154" s="2">
        <v>46176</v>
      </c>
      <c r="B154" s="3" t="str">
        <f t="shared" si="8"/>
        <v>Wed</v>
      </c>
      <c r="C154" s="3">
        <f t="shared" si="9"/>
        <v>23</v>
      </c>
      <c r="D154" s="3" t="str">
        <f t="shared" si="10"/>
        <v>June</v>
      </c>
      <c r="E154" s="3" t="s">
        <v>135</v>
      </c>
      <c r="F154" s="3" t="str">
        <f t="shared" si="11"/>
        <v>Total hari kerja</v>
      </c>
      <c r="G154" s="12" t="s">
        <v>23</v>
      </c>
      <c r="H154" s="12">
        <v>18</v>
      </c>
      <c r="I154" s="12">
        <v>5</v>
      </c>
      <c r="J154" s="12"/>
      <c r="K154" s="12"/>
    </row>
    <row r="155" spans="1:11" x14ac:dyDescent="0.35">
      <c r="A155" s="2">
        <v>46177</v>
      </c>
      <c r="B155" s="3" t="str">
        <f t="shared" si="8"/>
        <v>Thu</v>
      </c>
      <c r="C155" s="3">
        <f t="shared" si="9"/>
        <v>23</v>
      </c>
      <c r="D155" s="3" t="str">
        <f t="shared" si="10"/>
        <v>June</v>
      </c>
      <c r="E155" s="3" t="s">
        <v>135</v>
      </c>
      <c r="F155" s="3" t="str">
        <f t="shared" si="11"/>
        <v>Total hari kerja</v>
      </c>
      <c r="G155" s="12" t="s">
        <v>23</v>
      </c>
      <c r="H155" s="12">
        <v>12</v>
      </c>
      <c r="I155" s="12">
        <v>13</v>
      </c>
      <c r="J155" s="12"/>
      <c r="K155" s="12"/>
    </row>
    <row r="156" spans="1:11" x14ac:dyDescent="0.35">
      <c r="A156" s="2">
        <v>46178</v>
      </c>
      <c r="B156" s="3" t="str">
        <f t="shared" si="8"/>
        <v>Fri</v>
      </c>
      <c r="C156" s="3">
        <f t="shared" si="9"/>
        <v>23</v>
      </c>
      <c r="D156" s="3" t="str">
        <f t="shared" si="10"/>
        <v>June</v>
      </c>
      <c r="E156" s="3" t="s">
        <v>135</v>
      </c>
      <c r="F156" s="3" t="str">
        <f t="shared" si="11"/>
        <v>Total hari kerja</v>
      </c>
      <c r="G156" s="12" t="s">
        <v>23</v>
      </c>
      <c r="H156" s="12">
        <v>15</v>
      </c>
      <c r="I156" s="12">
        <v>9</v>
      </c>
      <c r="J156" s="12"/>
      <c r="K156" s="12"/>
    </row>
    <row r="157" spans="1:11" x14ac:dyDescent="0.35">
      <c r="A157" s="2">
        <v>46179</v>
      </c>
      <c r="B157" s="3" t="str">
        <f t="shared" si="8"/>
        <v>Sat</v>
      </c>
      <c r="C157" s="3">
        <f t="shared" si="9"/>
        <v>23</v>
      </c>
      <c r="D157" s="3" t="str">
        <f t="shared" si="10"/>
        <v>June</v>
      </c>
      <c r="E157" s="3" t="s">
        <v>135</v>
      </c>
      <c r="F157" s="3" t="str">
        <f t="shared" si="11"/>
        <v>Total hari kerja</v>
      </c>
      <c r="G157" s="12" t="s">
        <v>23</v>
      </c>
      <c r="H157" s="12">
        <v>7</v>
      </c>
      <c r="I157" s="12">
        <v>6</v>
      </c>
      <c r="J157" s="12"/>
      <c r="K157" s="12"/>
    </row>
    <row r="158" spans="1:11" x14ac:dyDescent="0.35">
      <c r="A158" s="2">
        <v>46180</v>
      </c>
      <c r="B158" s="3" t="str">
        <f t="shared" si="8"/>
        <v>Sun</v>
      </c>
      <c r="C158" s="3">
        <f t="shared" si="9"/>
        <v>24</v>
      </c>
      <c r="D158" s="3" t="str">
        <f t="shared" si="10"/>
        <v>June</v>
      </c>
      <c r="E158" s="3"/>
      <c r="F158" s="3" t="str">
        <f t="shared" si="11"/>
        <v xml:space="preserve"> </v>
      </c>
      <c r="G158" s="12" t="s">
        <v>23</v>
      </c>
      <c r="H158" s="12"/>
      <c r="I158" s="12"/>
      <c r="J158" s="12"/>
      <c r="K158" s="12"/>
    </row>
    <row r="159" spans="1:11" x14ac:dyDescent="0.35">
      <c r="A159" s="2">
        <v>46181</v>
      </c>
      <c r="B159" s="3" t="str">
        <f t="shared" si="8"/>
        <v>Mon</v>
      </c>
      <c r="C159" s="3">
        <f t="shared" si="9"/>
        <v>24</v>
      </c>
      <c r="D159" s="3" t="str">
        <f t="shared" si="10"/>
        <v>June</v>
      </c>
      <c r="E159" s="3" t="s">
        <v>135</v>
      </c>
      <c r="F159" s="3" t="str">
        <f t="shared" si="11"/>
        <v>Total hari kerja</v>
      </c>
      <c r="G159" s="12" t="s">
        <v>23</v>
      </c>
      <c r="H159" s="12">
        <v>7</v>
      </c>
      <c r="I159" s="12">
        <v>5</v>
      </c>
      <c r="J159" s="12">
        <v>9</v>
      </c>
      <c r="K159" s="12"/>
    </row>
    <row r="160" spans="1:11" x14ac:dyDescent="0.35">
      <c r="A160" s="2">
        <v>46182</v>
      </c>
      <c r="B160" s="3" t="str">
        <f t="shared" si="8"/>
        <v>Tue</v>
      </c>
      <c r="C160" s="3">
        <f t="shared" si="9"/>
        <v>24</v>
      </c>
      <c r="D160" s="3" t="str">
        <f t="shared" si="10"/>
        <v>June</v>
      </c>
      <c r="E160" s="3" t="s">
        <v>135</v>
      </c>
      <c r="F160" s="3" t="str">
        <f t="shared" si="11"/>
        <v>Total hari kerja</v>
      </c>
      <c r="G160" s="12" t="s">
        <v>23</v>
      </c>
      <c r="H160" s="12">
        <v>3</v>
      </c>
      <c r="I160" s="12">
        <v>6</v>
      </c>
      <c r="J160" s="12"/>
      <c r="K160" s="12"/>
    </row>
    <row r="161" spans="1:11" x14ac:dyDescent="0.35">
      <c r="A161" s="2">
        <v>46183</v>
      </c>
      <c r="B161" s="3" t="str">
        <f t="shared" si="8"/>
        <v>Wed</v>
      </c>
      <c r="C161" s="3">
        <f t="shared" si="9"/>
        <v>24</v>
      </c>
      <c r="D161" s="3" t="str">
        <f t="shared" si="10"/>
        <v>June</v>
      </c>
      <c r="E161" s="3" t="s">
        <v>135</v>
      </c>
      <c r="F161" s="3" t="str">
        <f t="shared" si="11"/>
        <v>Total hari kerja</v>
      </c>
      <c r="G161" s="12" t="s">
        <v>23</v>
      </c>
      <c r="H161" s="12">
        <v>1</v>
      </c>
      <c r="I161" s="12">
        <v>1</v>
      </c>
      <c r="J161" s="12">
        <v>1</v>
      </c>
      <c r="K161" s="12"/>
    </row>
    <row r="162" spans="1:11" x14ac:dyDescent="0.35">
      <c r="A162" s="2">
        <v>46184</v>
      </c>
      <c r="B162" s="3" t="str">
        <f t="shared" si="8"/>
        <v>Thu</v>
      </c>
      <c r="C162" s="3">
        <f t="shared" si="9"/>
        <v>24</v>
      </c>
      <c r="D162" s="3" t="str">
        <f t="shared" si="10"/>
        <v>June</v>
      </c>
      <c r="E162" s="3" t="s">
        <v>102</v>
      </c>
      <c r="F162" s="3" t="str">
        <f t="shared" si="11"/>
        <v>Ijin/Sakit/Alfa</v>
      </c>
      <c r="G162" s="12" t="s">
        <v>23</v>
      </c>
      <c r="H162" s="12"/>
      <c r="I162" s="12"/>
      <c r="J162" s="12"/>
      <c r="K162" s="12"/>
    </row>
    <row r="163" spans="1:11" x14ac:dyDescent="0.35">
      <c r="A163" s="2">
        <v>46185</v>
      </c>
      <c r="B163" s="3" t="str">
        <f t="shared" si="8"/>
        <v>Fri</v>
      </c>
      <c r="C163" s="3">
        <f t="shared" si="9"/>
        <v>24</v>
      </c>
      <c r="D163" s="3" t="str">
        <f t="shared" si="10"/>
        <v>June</v>
      </c>
      <c r="E163" s="3" t="s">
        <v>135</v>
      </c>
      <c r="F163" s="3" t="str">
        <f t="shared" si="11"/>
        <v>Total hari kerja</v>
      </c>
      <c r="G163" s="12" t="s">
        <v>23</v>
      </c>
      <c r="H163" s="12">
        <v>1</v>
      </c>
      <c r="I163" s="12">
        <v>7</v>
      </c>
      <c r="J163" s="12"/>
      <c r="K163" s="12"/>
    </row>
    <row r="164" spans="1:11" x14ac:dyDescent="0.35">
      <c r="A164" s="2">
        <v>46186</v>
      </c>
      <c r="B164" s="3" t="str">
        <f t="shared" si="8"/>
        <v>Sat</v>
      </c>
      <c r="C164" s="3">
        <f t="shared" si="9"/>
        <v>24</v>
      </c>
      <c r="D164" s="3" t="str">
        <f t="shared" si="10"/>
        <v>June</v>
      </c>
      <c r="E164" s="3" t="s">
        <v>135</v>
      </c>
      <c r="F164" s="3" t="str">
        <f t="shared" si="11"/>
        <v>Total hari kerja</v>
      </c>
      <c r="G164" s="12" t="s">
        <v>23</v>
      </c>
      <c r="H164" s="12">
        <v>9</v>
      </c>
      <c r="I164" s="12">
        <v>11</v>
      </c>
      <c r="J164" s="12"/>
      <c r="K164" s="12"/>
    </row>
    <row r="165" spans="1:11" x14ac:dyDescent="0.35">
      <c r="A165" s="2">
        <v>46187</v>
      </c>
      <c r="B165" s="3" t="str">
        <f t="shared" si="8"/>
        <v>Sun</v>
      </c>
      <c r="C165" s="3">
        <f t="shared" si="9"/>
        <v>25</v>
      </c>
      <c r="D165" s="3" t="str">
        <f t="shared" si="10"/>
        <v>June</v>
      </c>
      <c r="E165" s="3"/>
      <c r="F165" s="3" t="str">
        <f t="shared" si="11"/>
        <v xml:space="preserve"> </v>
      </c>
      <c r="G165" s="12" t="s">
        <v>23</v>
      </c>
      <c r="H165" s="12"/>
      <c r="I165" s="12"/>
      <c r="J165" s="12"/>
      <c r="K165" s="12"/>
    </row>
    <row r="166" spans="1:11" x14ac:dyDescent="0.35">
      <c r="A166" s="2">
        <v>46188</v>
      </c>
      <c r="B166" s="3" t="str">
        <f t="shared" si="8"/>
        <v>Mon</v>
      </c>
      <c r="C166" s="3">
        <f t="shared" si="9"/>
        <v>25</v>
      </c>
      <c r="D166" s="3" t="str">
        <f t="shared" si="10"/>
        <v>June</v>
      </c>
      <c r="E166" s="3" t="s">
        <v>135</v>
      </c>
      <c r="F166" s="3" t="str">
        <f t="shared" si="11"/>
        <v>Total hari kerja</v>
      </c>
      <c r="G166" s="12" t="s">
        <v>23</v>
      </c>
      <c r="H166" s="12">
        <v>7</v>
      </c>
      <c r="I166" s="12">
        <v>12</v>
      </c>
      <c r="J166" s="12"/>
      <c r="K166" s="12"/>
    </row>
    <row r="167" spans="1:11" x14ac:dyDescent="0.35">
      <c r="A167" s="2">
        <v>46189</v>
      </c>
      <c r="B167" s="3" t="str">
        <f t="shared" si="8"/>
        <v>Tue</v>
      </c>
      <c r="C167" s="3">
        <f t="shared" si="9"/>
        <v>25</v>
      </c>
      <c r="D167" s="3" t="str">
        <f t="shared" si="10"/>
        <v>June</v>
      </c>
      <c r="E167" s="3" t="s">
        <v>140</v>
      </c>
      <c r="F167" s="3" t="str">
        <f t="shared" si="11"/>
        <v>MERAH</v>
      </c>
      <c r="G167" s="12" t="s">
        <v>23</v>
      </c>
      <c r="H167" s="12"/>
      <c r="I167" s="12"/>
      <c r="J167" s="12"/>
      <c r="K167" s="12"/>
    </row>
    <row r="168" spans="1:11" x14ac:dyDescent="0.35">
      <c r="A168" s="2">
        <v>46190</v>
      </c>
      <c r="B168" s="3" t="str">
        <f t="shared" si="8"/>
        <v>Wed</v>
      </c>
      <c r="C168" s="3">
        <f t="shared" si="9"/>
        <v>25</v>
      </c>
      <c r="D168" s="3" t="str">
        <f t="shared" si="10"/>
        <v>June</v>
      </c>
      <c r="E168" s="3" t="s">
        <v>135</v>
      </c>
      <c r="F168" s="3" t="str">
        <f t="shared" si="11"/>
        <v>Total hari kerja</v>
      </c>
      <c r="G168" s="12" t="s">
        <v>23</v>
      </c>
      <c r="H168" s="12">
        <v>4</v>
      </c>
      <c r="I168" s="12">
        <v>3</v>
      </c>
      <c r="J168" s="12">
        <v>3</v>
      </c>
      <c r="K168" s="12"/>
    </row>
    <row r="169" spans="1:11" x14ac:dyDescent="0.35">
      <c r="A169" s="2">
        <v>46191</v>
      </c>
      <c r="B169" s="3" t="str">
        <f t="shared" si="8"/>
        <v>Thu</v>
      </c>
      <c r="C169" s="3">
        <f t="shared" si="9"/>
        <v>25</v>
      </c>
      <c r="D169" s="3" t="str">
        <f t="shared" si="10"/>
        <v>June</v>
      </c>
      <c r="E169" s="3" t="s">
        <v>135</v>
      </c>
      <c r="F169" s="3" t="str">
        <f t="shared" si="11"/>
        <v>Total hari kerja</v>
      </c>
      <c r="G169" s="12" t="s">
        <v>23</v>
      </c>
      <c r="H169" s="12">
        <v>1</v>
      </c>
      <c r="I169" s="12"/>
      <c r="J169" s="12"/>
      <c r="K169" s="12"/>
    </row>
    <row r="170" spans="1:11" x14ac:dyDescent="0.35">
      <c r="A170" s="2">
        <v>46192</v>
      </c>
      <c r="B170" s="3" t="str">
        <f t="shared" si="8"/>
        <v>Fri</v>
      </c>
      <c r="C170" s="3">
        <f t="shared" si="9"/>
        <v>25</v>
      </c>
      <c r="D170" s="3" t="str">
        <f t="shared" si="10"/>
        <v>June</v>
      </c>
      <c r="E170" s="3" t="s">
        <v>135</v>
      </c>
      <c r="F170" s="3" t="str">
        <f t="shared" si="11"/>
        <v>Total hari kerja</v>
      </c>
      <c r="G170" s="12" t="s">
        <v>23</v>
      </c>
      <c r="H170" s="12">
        <v>4</v>
      </c>
      <c r="I170" s="12">
        <v>7</v>
      </c>
      <c r="J170" s="12"/>
      <c r="K170" s="12"/>
    </row>
    <row r="171" spans="1:11" x14ac:dyDescent="0.35">
      <c r="A171" s="2">
        <v>46193</v>
      </c>
      <c r="B171" s="3" t="str">
        <f t="shared" si="8"/>
        <v>Sat</v>
      </c>
      <c r="C171" s="3">
        <f t="shared" si="9"/>
        <v>25</v>
      </c>
      <c r="D171" s="3" t="str">
        <f t="shared" si="10"/>
        <v>June</v>
      </c>
      <c r="E171" s="3" t="s">
        <v>135</v>
      </c>
      <c r="F171" s="3" t="str">
        <f t="shared" si="11"/>
        <v>Total hari kerja</v>
      </c>
      <c r="G171" s="12" t="s">
        <v>23</v>
      </c>
      <c r="H171" s="12">
        <v>2</v>
      </c>
      <c r="I171" s="12">
        <v>5</v>
      </c>
      <c r="J171" s="12"/>
      <c r="K171" s="12"/>
    </row>
    <row r="172" spans="1:11" x14ac:dyDescent="0.35">
      <c r="A172" s="2">
        <v>46194</v>
      </c>
      <c r="B172" s="3" t="str">
        <f t="shared" si="8"/>
        <v>Sun</v>
      </c>
      <c r="C172" s="3">
        <f t="shared" si="9"/>
        <v>26</v>
      </c>
      <c r="D172" s="3" t="str">
        <f t="shared" si="10"/>
        <v>June</v>
      </c>
      <c r="E172" s="3"/>
      <c r="F172" s="3" t="str">
        <f t="shared" si="11"/>
        <v xml:space="preserve"> </v>
      </c>
      <c r="G172" s="12" t="s">
        <v>23</v>
      </c>
      <c r="H172" s="12"/>
      <c r="I172" s="12"/>
      <c r="J172" s="12"/>
      <c r="K172" s="12"/>
    </row>
    <row r="173" spans="1:11" x14ac:dyDescent="0.35">
      <c r="A173" s="2">
        <v>46195</v>
      </c>
      <c r="B173" s="3" t="str">
        <f t="shared" si="8"/>
        <v>Mon</v>
      </c>
      <c r="C173" s="3">
        <f t="shared" si="9"/>
        <v>26</v>
      </c>
      <c r="D173" s="3" t="str">
        <f t="shared" si="10"/>
        <v>June</v>
      </c>
      <c r="E173" s="3" t="s">
        <v>135</v>
      </c>
      <c r="F173" s="3" t="str">
        <f t="shared" si="11"/>
        <v>Total hari kerja</v>
      </c>
      <c r="G173" s="12" t="s">
        <v>23</v>
      </c>
      <c r="H173" s="12">
        <v>6</v>
      </c>
      <c r="I173" s="12">
        <v>3</v>
      </c>
      <c r="J173" s="12"/>
      <c r="K173" s="12"/>
    </row>
    <row r="174" spans="1:11" x14ac:dyDescent="0.35">
      <c r="A174" s="2">
        <v>46196</v>
      </c>
      <c r="B174" s="3" t="str">
        <f t="shared" si="8"/>
        <v>Tue</v>
      </c>
      <c r="C174" s="3">
        <f t="shared" si="9"/>
        <v>26</v>
      </c>
      <c r="D174" s="3" t="str">
        <f t="shared" si="10"/>
        <v>June</v>
      </c>
      <c r="E174" s="3" t="s">
        <v>135</v>
      </c>
      <c r="F174" s="3" t="str">
        <f t="shared" si="11"/>
        <v>Total hari kerja</v>
      </c>
      <c r="G174" s="12" t="s">
        <v>23</v>
      </c>
      <c r="H174" s="12">
        <v>6</v>
      </c>
      <c r="I174" s="12"/>
      <c r="J174" s="12"/>
      <c r="K174" s="12"/>
    </row>
    <row r="175" spans="1:11" x14ac:dyDescent="0.35">
      <c r="A175" s="2">
        <v>46197</v>
      </c>
      <c r="B175" s="3" t="str">
        <f t="shared" si="8"/>
        <v>Wed</v>
      </c>
      <c r="C175" s="3">
        <f t="shared" si="9"/>
        <v>26</v>
      </c>
      <c r="D175" s="3" t="str">
        <f t="shared" si="10"/>
        <v>June</v>
      </c>
      <c r="E175" s="3" t="s">
        <v>135</v>
      </c>
      <c r="F175" s="3" t="str">
        <f t="shared" si="11"/>
        <v>Total hari kerja</v>
      </c>
      <c r="G175" s="12" t="s">
        <v>23</v>
      </c>
      <c r="H175" s="12">
        <v>3</v>
      </c>
      <c r="I175" s="12">
        <v>5</v>
      </c>
      <c r="J175" s="12"/>
      <c r="K175" s="12"/>
    </row>
    <row r="176" spans="1:11" x14ac:dyDescent="0.35">
      <c r="A176" s="2">
        <v>46198</v>
      </c>
      <c r="B176" s="3" t="str">
        <f t="shared" si="8"/>
        <v>Thu</v>
      </c>
      <c r="C176" s="3">
        <f t="shared" si="9"/>
        <v>26</v>
      </c>
      <c r="D176" s="3" t="str">
        <f t="shared" si="10"/>
        <v>June</v>
      </c>
      <c r="E176" s="3" t="s">
        <v>135</v>
      </c>
      <c r="F176" s="3" t="str">
        <f t="shared" si="11"/>
        <v>Total hari kerja</v>
      </c>
      <c r="G176" s="12" t="s">
        <v>23</v>
      </c>
      <c r="H176" s="12">
        <v>2</v>
      </c>
      <c r="I176" s="12">
        <v>2</v>
      </c>
      <c r="J176" s="12"/>
      <c r="K176" s="12"/>
    </row>
    <row r="177" spans="1:11" x14ac:dyDescent="0.35">
      <c r="A177" s="2">
        <v>46199</v>
      </c>
      <c r="B177" s="3" t="str">
        <f t="shared" ref="B177:B240" si="12">TEXT(A177,"DDD")</f>
        <v>Fri</v>
      </c>
      <c r="C177" s="3">
        <f t="shared" ref="C177:C240" si="13">WEEKNUM(A177)</f>
        <v>26</v>
      </c>
      <c r="D177" s="3" t="str">
        <f t="shared" ref="D177:D240" si="14">TEXT(A177,"mmmm")</f>
        <v>June</v>
      </c>
      <c r="E177" s="3" t="s">
        <v>135</v>
      </c>
      <c r="F177" s="3" t="str">
        <f t="shared" si="11"/>
        <v>Total hari kerja</v>
      </c>
      <c r="G177" s="12" t="s">
        <v>23</v>
      </c>
      <c r="H177" s="12">
        <v>2</v>
      </c>
      <c r="I177" s="12">
        <v>3</v>
      </c>
      <c r="J177" s="12"/>
      <c r="K177" s="12"/>
    </row>
    <row r="178" spans="1:11" x14ac:dyDescent="0.35">
      <c r="A178" s="2">
        <v>46200</v>
      </c>
      <c r="B178" s="3" t="str">
        <f t="shared" si="12"/>
        <v>Sat</v>
      </c>
      <c r="C178" s="3">
        <f t="shared" si="13"/>
        <v>26</v>
      </c>
      <c r="D178" s="3" t="str">
        <f t="shared" si="14"/>
        <v>June</v>
      </c>
      <c r="E178" s="3" t="s">
        <v>135</v>
      </c>
      <c r="F178" s="3" t="str">
        <f t="shared" ref="F178:F241" si="15">IF(E178="J1",$O$3,IF(E178="J2",$O$4,IF(E178="J3",$O$5,IF(E178="J4",$O$6,IF(E178="J5",$O$7," ")))))</f>
        <v>Total hari kerja</v>
      </c>
      <c r="G178" s="12" t="s">
        <v>23</v>
      </c>
      <c r="H178" s="12">
        <v>8</v>
      </c>
      <c r="I178" s="12">
        <v>6</v>
      </c>
      <c r="J178" s="12"/>
      <c r="K178" s="12"/>
    </row>
    <row r="179" spans="1:11" x14ac:dyDescent="0.35">
      <c r="A179" s="2">
        <v>46201</v>
      </c>
      <c r="B179" s="3" t="str">
        <f t="shared" si="12"/>
        <v>Sun</v>
      </c>
      <c r="C179" s="3">
        <f t="shared" si="13"/>
        <v>27</v>
      </c>
      <c r="D179" s="3" t="str">
        <f t="shared" si="14"/>
        <v>June</v>
      </c>
      <c r="E179" s="3"/>
      <c r="F179" s="3" t="str">
        <f t="shared" si="15"/>
        <v xml:space="preserve"> </v>
      </c>
      <c r="G179" s="12" t="s">
        <v>23</v>
      </c>
      <c r="H179" s="12"/>
      <c r="I179" s="12"/>
      <c r="J179" s="12"/>
      <c r="K179" s="12"/>
    </row>
    <row r="180" spans="1:11" x14ac:dyDescent="0.35">
      <c r="A180" s="2">
        <v>46202</v>
      </c>
      <c r="B180" s="3" t="str">
        <f t="shared" si="12"/>
        <v>Mon</v>
      </c>
      <c r="C180" s="3">
        <f t="shared" si="13"/>
        <v>27</v>
      </c>
      <c r="D180" s="3" t="str">
        <f t="shared" si="14"/>
        <v>June</v>
      </c>
      <c r="E180" s="3" t="s">
        <v>135</v>
      </c>
      <c r="F180" s="3" t="str">
        <f t="shared" si="15"/>
        <v>Total hari kerja</v>
      </c>
      <c r="G180" s="12" t="s">
        <v>23</v>
      </c>
      <c r="H180" s="12">
        <v>9</v>
      </c>
      <c r="I180" s="12">
        <v>3</v>
      </c>
      <c r="J180" s="12"/>
      <c r="K180" s="12"/>
    </row>
    <row r="181" spans="1:11" x14ac:dyDescent="0.35">
      <c r="A181" s="2">
        <v>46203</v>
      </c>
      <c r="B181" s="3" t="str">
        <f t="shared" si="12"/>
        <v>Tue</v>
      </c>
      <c r="C181" s="3">
        <f t="shared" si="13"/>
        <v>27</v>
      </c>
      <c r="D181" s="3" t="str">
        <f t="shared" si="14"/>
        <v>June</v>
      </c>
      <c r="E181" s="3" t="s">
        <v>135</v>
      </c>
      <c r="F181" s="3" t="str">
        <f t="shared" si="15"/>
        <v>Total hari kerja</v>
      </c>
      <c r="G181" s="12" t="s">
        <v>23</v>
      </c>
      <c r="H181" s="12">
        <v>6</v>
      </c>
      <c r="I181" s="12">
        <v>3</v>
      </c>
      <c r="J181" s="12"/>
      <c r="K181" s="12"/>
    </row>
    <row r="182" spans="1:11" x14ac:dyDescent="0.35">
      <c r="A182" s="2">
        <v>46204</v>
      </c>
      <c r="B182" s="3" t="str">
        <f t="shared" si="12"/>
        <v>Wed</v>
      </c>
      <c r="C182" s="3">
        <f t="shared" si="13"/>
        <v>27</v>
      </c>
      <c r="D182" s="3" t="str">
        <f t="shared" si="14"/>
        <v>July</v>
      </c>
      <c r="E182" s="3" t="s">
        <v>135</v>
      </c>
      <c r="F182" s="3" t="str">
        <f t="shared" si="15"/>
        <v>Total hari kerja</v>
      </c>
      <c r="G182" s="12" t="s">
        <v>23</v>
      </c>
      <c r="H182" s="12">
        <v>15</v>
      </c>
      <c r="I182" s="12">
        <v>7</v>
      </c>
      <c r="J182" s="12"/>
      <c r="K182" s="12"/>
    </row>
    <row r="183" spans="1:11" x14ac:dyDescent="0.35">
      <c r="A183" s="2">
        <v>46205</v>
      </c>
      <c r="B183" s="3" t="str">
        <f t="shared" si="12"/>
        <v>Thu</v>
      </c>
      <c r="C183" s="3">
        <f t="shared" si="13"/>
        <v>27</v>
      </c>
      <c r="D183" s="3" t="str">
        <f t="shared" si="14"/>
        <v>July</v>
      </c>
      <c r="E183" s="3" t="s">
        <v>135</v>
      </c>
      <c r="F183" s="3" t="str">
        <f t="shared" si="15"/>
        <v>Total hari kerja</v>
      </c>
      <c r="G183" s="12" t="s">
        <v>23</v>
      </c>
      <c r="H183" s="12">
        <v>10</v>
      </c>
      <c r="I183" s="12">
        <v>2</v>
      </c>
      <c r="J183" s="12"/>
      <c r="K183" s="12"/>
    </row>
    <row r="184" spans="1:11" x14ac:dyDescent="0.35">
      <c r="A184" s="2">
        <v>46206</v>
      </c>
      <c r="B184" s="3" t="str">
        <f t="shared" si="12"/>
        <v>Fri</v>
      </c>
      <c r="C184" s="3">
        <f t="shared" si="13"/>
        <v>27</v>
      </c>
      <c r="D184" s="3" t="str">
        <f t="shared" si="14"/>
        <v>July</v>
      </c>
      <c r="E184" s="3" t="s">
        <v>135</v>
      </c>
      <c r="F184" s="3" t="str">
        <f t="shared" si="15"/>
        <v>Total hari kerja</v>
      </c>
      <c r="G184" s="12" t="s">
        <v>23</v>
      </c>
      <c r="H184" s="12">
        <v>6</v>
      </c>
      <c r="I184" s="12">
        <v>2</v>
      </c>
      <c r="J184" s="12"/>
      <c r="K184" s="12"/>
    </row>
    <row r="185" spans="1:11" x14ac:dyDescent="0.35">
      <c r="A185" s="2">
        <v>46207</v>
      </c>
      <c r="B185" s="3" t="str">
        <f t="shared" si="12"/>
        <v>Sat</v>
      </c>
      <c r="C185" s="3">
        <f t="shared" si="13"/>
        <v>27</v>
      </c>
      <c r="D185" s="3" t="str">
        <f t="shared" si="14"/>
        <v>July</v>
      </c>
      <c r="E185" s="3" t="s">
        <v>135</v>
      </c>
      <c r="F185" s="3" t="str">
        <f t="shared" si="15"/>
        <v>Total hari kerja</v>
      </c>
      <c r="G185" s="12" t="s">
        <v>23</v>
      </c>
      <c r="H185" s="12">
        <v>4</v>
      </c>
      <c r="I185" s="12">
        <v>2</v>
      </c>
      <c r="J185" s="12"/>
      <c r="K185" s="12"/>
    </row>
    <row r="186" spans="1:11" x14ac:dyDescent="0.35">
      <c r="A186" s="2">
        <v>46208</v>
      </c>
      <c r="B186" s="3" t="str">
        <f t="shared" si="12"/>
        <v>Sun</v>
      </c>
      <c r="C186" s="3">
        <f t="shared" si="13"/>
        <v>28</v>
      </c>
      <c r="D186" s="3" t="str">
        <f t="shared" si="14"/>
        <v>July</v>
      </c>
      <c r="E186" s="3"/>
      <c r="F186" s="3" t="str">
        <f t="shared" si="15"/>
        <v xml:space="preserve"> </v>
      </c>
      <c r="G186" s="12" t="s">
        <v>23</v>
      </c>
      <c r="H186" s="12"/>
      <c r="I186" s="12"/>
      <c r="J186" s="12"/>
      <c r="K186" s="12"/>
    </row>
    <row r="187" spans="1:11" x14ac:dyDescent="0.35">
      <c r="A187" s="2">
        <v>46209</v>
      </c>
      <c r="B187" s="3" t="str">
        <f t="shared" si="12"/>
        <v>Mon</v>
      </c>
      <c r="C187" s="3">
        <f t="shared" si="13"/>
        <v>28</v>
      </c>
      <c r="D187" s="3" t="str">
        <f t="shared" si="14"/>
        <v>July</v>
      </c>
      <c r="E187" s="3" t="s">
        <v>135</v>
      </c>
      <c r="F187" s="3" t="str">
        <f t="shared" si="15"/>
        <v>Total hari kerja</v>
      </c>
      <c r="G187" s="12" t="s">
        <v>23</v>
      </c>
      <c r="H187" s="12">
        <v>15</v>
      </c>
      <c r="I187" s="12">
        <v>3</v>
      </c>
      <c r="J187" s="12"/>
      <c r="K187" s="12"/>
    </row>
    <row r="188" spans="1:11" x14ac:dyDescent="0.35">
      <c r="A188" s="2">
        <v>46210</v>
      </c>
      <c r="B188" s="3" t="str">
        <f t="shared" si="12"/>
        <v>Tue</v>
      </c>
      <c r="C188" s="3">
        <f t="shared" si="13"/>
        <v>28</v>
      </c>
      <c r="D188" s="3" t="str">
        <f t="shared" si="14"/>
        <v>July</v>
      </c>
      <c r="E188" s="3" t="s">
        <v>135</v>
      </c>
      <c r="F188" s="3" t="str">
        <f t="shared" si="15"/>
        <v>Total hari kerja</v>
      </c>
      <c r="G188" s="12" t="s">
        <v>23</v>
      </c>
      <c r="H188" s="12">
        <v>12</v>
      </c>
      <c r="I188" s="12">
        <v>2</v>
      </c>
      <c r="J188" s="12"/>
      <c r="K188" s="12"/>
    </row>
    <row r="189" spans="1:11" x14ac:dyDescent="0.35">
      <c r="A189" s="2">
        <v>46211</v>
      </c>
      <c r="B189" s="3" t="str">
        <f t="shared" si="12"/>
        <v>Wed</v>
      </c>
      <c r="C189" s="3">
        <f t="shared" si="13"/>
        <v>28</v>
      </c>
      <c r="D189" s="3" t="str">
        <f t="shared" si="14"/>
        <v>July</v>
      </c>
      <c r="E189" s="3" t="s">
        <v>135</v>
      </c>
      <c r="F189" s="3" t="str">
        <f t="shared" si="15"/>
        <v>Total hari kerja</v>
      </c>
      <c r="G189" s="12" t="s">
        <v>23</v>
      </c>
      <c r="H189" s="12">
        <v>14</v>
      </c>
      <c r="I189" s="12">
        <v>6</v>
      </c>
      <c r="J189" s="12"/>
      <c r="K189" s="12"/>
    </row>
    <row r="190" spans="1:11" x14ac:dyDescent="0.35">
      <c r="A190" s="2">
        <v>46212</v>
      </c>
      <c r="B190" s="3" t="str">
        <f t="shared" si="12"/>
        <v>Thu</v>
      </c>
      <c r="C190" s="3">
        <f t="shared" si="13"/>
        <v>28</v>
      </c>
      <c r="D190" s="3" t="str">
        <f t="shared" si="14"/>
        <v>July</v>
      </c>
      <c r="E190" s="3" t="s">
        <v>135</v>
      </c>
      <c r="F190" s="3" t="str">
        <f t="shared" si="15"/>
        <v>Total hari kerja</v>
      </c>
      <c r="G190" s="12" t="s">
        <v>23</v>
      </c>
      <c r="H190" s="12">
        <v>3</v>
      </c>
      <c r="I190" s="12">
        <v>6</v>
      </c>
      <c r="J190" s="12"/>
      <c r="K190" s="12"/>
    </row>
    <row r="191" spans="1:11" x14ac:dyDescent="0.35">
      <c r="A191" s="2">
        <v>46213</v>
      </c>
      <c r="B191" s="3" t="str">
        <f t="shared" si="12"/>
        <v>Fri</v>
      </c>
      <c r="C191" s="3">
        <f t="shared" si="13"/>
        <v>28</v>
      </c>
      <c r="D191" s="3" t="str">
        <f t="shared" si="14"/>
        <v>July</v>
      </c>
      <c r="E191" s="3" t="s">
        <v>135</v>
      </c>
      <c r="F191" s="3" t="str">
        <f t="shared" si="15"/>
        <v>Total hari kerja</v>
      </c>
      <c r="G191" s="12" t="s">
        <v>23</v>
      </c>
      <c r="H191" s="12">
        <v>15</v>
      </c>
      <c r="I191" s="12"/>
      <c r="J191" s="12"/>
      <c r="K191" s="12"/>
    </row>
    <row r="192" spans="1:11" x14ac:dyDescent="0.35">
      <c r="A192" s="2">
        <v>46214</v>
      </c>
      <c r="B192" s="3" t="str">
        <f t="shared" si="12"/>
        <v>Sat</v>
      </c>
      <c r="C192" s="3">
        <f t="shared" si="13"/>
        <v>28</v>
      </c>
      <c r="D192" s="3" t="str">
        <f t="shared" si="14"/>
        <v>July</v>
      </c>
      <c r="E192" s="3" t="s">
        <v>102</v>
      </c>
      <c r="F192" s="3" t="str">
        <f t="shared" si="15"/>
        <v>Ijin/Sakit/Alfa</v>
      </c>
      <c r="G192" s="12" t="s">
        <v>23</v>
      </c>
      <c r="H192" s="12"/>
      <c r="I192" s="12"/>
      <c r="J192" s="12"/>
      <c r="K192" s="12"/>
    </row>
    <row r="193" spans="1:11" x14ac:dyDescent="0.35">
      <c r="A193" s="2">
        <v>46215</v>
      </c>
      <c r="B193" s="3" t="str">
        <f t="shared" si="12"/>
        <v>Sun</v>
      </c>
      <c r="C193" s="3">
        <f t="shared" si="13"/>
        <v>29</v>
      </c>
      <c r="D193" s="3" t="str">
        <f t="shared" si="14"/>
        <v>July</v>
      </c>
      <c r="E193" s="3"/>
      <c r="F193" s="3" t="str">
        <f t="shared" si="15"/>
        <v xml:space="preserve"> </v>
      </c>
      <c r="G193" s="12" t="s">
        <v>23</v>
      </c>
      <c r="H193" s="12"/>
      <c r="I193" s="12"/>
      <c r="J193" s="12"/>
      <c r="K193" s="12"/>
    </row>
    <row r="194" spans="1:11" x14ac:dyDescent="0.35">
      <c r="A194" s="2">
        <v>46216</v>
      </c>
      <c r="B194" s="3" t="str">
        <f t="shared" si="12"/>
        <v>Mon</v>
      </c>
      <c r="C194" s="3">
        <f t="shared" si="13"/>
        <v>29</v>
      </c>
      <c r="D194" s="3" t="str">
        <f t="shared" si="14"/>
        <v>July</v>
      </c>
      <c r="E194" s="3" t="s">
        <v>135</v>
      </c>
      <c r="F194" s="3" t="str">
        <f t="shared" si="15"/>
        <v>Total hari kerja</v>
      </c>
      <c r="G194" s="12" t="s">
        <v>23</v>
      </c>
      <c r="H194" s="12">
        <v>14</v>
      </c>
      <c r="I194" s="12">
        <v>5</v>
      </c>
      <c r="J194" s="12"/>
      <c r="K194" s="12"/>
    </row>
    <row r="195" spans="1:11" x14ac:dyDescent="0.35">
      <c r="A195" s="2">
        <v>46217</v>
      </c>
      <c r="B195" s="3" t="str">
        <f t="shared" si="12"/>
        <v>Tue</v>
      </c>
      <c r="C195" s="3">
        <f t="shared" si="13"/>
        <v>29</v>
      </c>
      <c r="D195" s="3" t="str">
        <f t="shared" si="14"/>
        <v>July</v>
      </c>
      <c r="E195" s="3" t="s">
        <v>102</v>
      </c>
      <c r="F195" s="3" t="str">
        <f t="shared" si="15"/>
        <v>Ijin/Sakit/Alfa</v>
      </c>
      <c r="G195" s="12" t="s">
        <v>23</v>
      </c>
      <c r="H195" s="12"/>
      <c r="I195" s="12"/>
      <c r="J195" s="12"/>
      <c r="K195" s="12"/>
    </row>
    <row r="196" spans="1:11" x14ac:dyDescent="0.35">
      <c r="A196" s="2">
        <v>46218</v>
      </c>
      <c r="B196" s="3" t="str">
        <f t="shared" si="12"/>
        <v>Wed</v>
      </c>
      <c r="C196" s="3">
        <f t="shared" si="13"/>
        <v>29</v>
      </c>
      <c r="D196" s="3" t="str">
        <f t="shared" si="14"/>
        <v>July</v>
      </c>
      <c r="E196" s="3" t="s">
        <v>135</v>
      </c>
      <c r="F196" s="3" t="str">
        <f t="shared" si="15"/>
        <v>Total hari kerja</v>
      </c>
      <c r="G196" s="12" t="s">
        <v>23</v>
      </c>
      <c r="H196" s="12">
        <v>18</v>
      </c>
      <c r="I196" s="12">
        <v>17</v>
      </c>
      <c r="J196" s="12"/>
      <c r="K196" s="12"/>
    </row>
    <row r="197" spans="1:11" x14ac:dyDescent="0.35">
      <c r="A197" s="2">
        <v>46219</v>
      </c>
      <c r="B197" s="3" t="str">
        <f t="shared" si="12"/>
        <v>Thu</v>
      </c>
      <c r="C197" s="3">
        <f t="shared" si="13"/>
        <v>29</v>
      </c>
      <c r="D197" s="3" t="str">
        <f t="shared" si="14"/>
        <v>July</v>
      </c>
      <c r="E197" s="3" t="s">
        <v>135</v>
      </c>
      <c r="F197" s="3" t="str">
        <f t="shared" si="15"/>
        <v>Total hari kerja</v>
      </c>
      <c r="G197" s="12" t="s">
        <v>23</v>
      </c>
      <c r="H197" s="12">
        <v>18</v>
      </c>
      <c r="I197" s="12">
        <v>9</v>
      </c>
      <c r="J197" s="12"/>
      <c r="K197" s="12"/>
    </row>
    <row r="198" spans="1:11" x14ac:dyDescent="0.35">
      <c r="A198" s="2">
        <v>46220</v>
      </c>
      <c r="B198" s="3" t="str">
        <f t="shared" si="12"/>
        <v>Fri</v>
      </c>
      <c r="C198" s="3">
        <f t="shared" si="13"/>
        <v>29</v>
      </c>
      <c r="D198" s="3" t="str">
        <f t="shared" si="14"/>
        <v>July</v>
      </c>
      <c r="E198" s="3" t="s">
        <v>135</v>
      </c>
      <c r="F198" s="3" t="str">
        <f t="shared" si="15"/>
        <v>Total hari kerja</v>
      </c>
      <c r="G198" s="12" t="s">
        <v>23</v>
      </c>
      <c r="H198" s="12">
        <v>20</v>
      </c>
      <c r="I198" s="12">
        <v>5</v>
      </c>
      <c r="J198" s="12"/>
      <c r="K198" s="12"/>
    </row>
    <row r="199" spans="1:11" x14ac:dyDescent="0.35">
      <c r="A199" s="2">
        <v>46221</v>
      </c>
      <c r="B199" s="3" t="str">
        <f t="shared" si="12"/>
        <v>Sat</v>
      </c>
      <c r="C199" s="3">
        <f t="shared" si="13"/>
        <v>29</v>
      </c>
      <c r="D199" s="3" t="str">
        <f t="shared" si="14"/>
        <v>July</v>
      </c>
      <c r="E199" s="3" t="s">
        <v>135</v>
      </c>
      <c r="F199" s="3" t="str">
        <f t="shared" si="15"/>
        <v>Total hari kerja</v>
      </c>
      <c r="G199" s="12" t="s">
        <v>23</v>
      </c>
      <c r="H199" s="12">
        <v>16</v>
      </c>
      <c r="I199" s="12">
        <v>5</v>
      </c>
      <c r="J199" s="12"/>
      <c r="K199" s="12"/>
    </row>
    <row r="200" spans="1:11" x14ac:dyDescent="0.35">
      <c r="A200" s="2">
        <v>46222</v>
      </c>
      <c r="B200" s="3" t="str">
        <f t="shared" si="12"/>
        <v>Sun</v>
      </c>
      <c r="C200" s="3">
        <f t="shared" si="13"/>
        <v>30</v>
      </c>
      <c r="D200" s="3" t="str">
        <f t="shared" si="14"/>
        <v>July</v>
      </c>
      <c r="E200" s="3"/>
      <c r="F200" s="3" t="str">
        <f t="shared" si="15"/>
        <v xml:space="preserve"> </v>
      </c>
      <c r="G200" s="12" t="s">
        <v>23</v>
      </c>
      <c r="H200" s="12"/>
      <c r="I200" s="12"/>
      <c r="J200" s="12"/>
      <c r="K200" s="12"/>
    </row>
    <row r="201" spans="1:11" x14ac:dyDescent="0.35">
      <c r="A201" s="2">
        <v>46223</v>
      </c>
      <c r="B201" s="3" t="str">
        <f t="shared" si="12"/>
        <v>Mon</v>
      </c>
      <c r="C201" s="3">
        <f t="shared" si="13"/>
        <v>30</v>
      </c>
      <c r="D201" s="3" t="str">
        <f t="shared" si="14"/>
        <v>July</v>
      </c>
      <c r="E201" s="3" t="s">
        <v>135</v>
      </c>
      <c r="F201" s="3" t="str">
        <f t="shared" si="15"/>
        <v>Total hari kerja</v>
      </c>
      <c r="G201" s="12" t="s">
        <v>23</v>
      </c>
      <c r="H201" s="12">
        <v>60</v>
      </c>
      <c r="I201" s="12">
        <v>17</v>
      </c>
      <c r="J201" s="12"/>
      <c r="K201" s="12"/>
    </row>
    <row r="202" spans="1:11" x14ac:dyDescent="0.35">
      <c r="A202" s="2">
        <v>46224</v>
      </c>
      <c r="B202" s="3" t="str">
        <f t="shared" si="12"/>
        <v>Tue</v>
      </c>
      <c r="C202" s="3">
        <f t="shared" si="13"/>
        <v>30</v>
      </c>
      <c r="D202" s="3" t="str">
        <f t="shared" si="14"/>
        <v>July</v>
      </c>
      <c r="E202" s="3" t="s">
        <v>135</v>
      </c>
      <c r="F202" s="3" t="str">
        <f t="shared" si="15"/>
        <v>Total hari kerja</v>
      </c>
      <c r="G202" s="12" t="s">
        <v>23</v>
      </c>
      <c r="H202" s="12">
        <v>31</v>
      </c>
      <c r="I202" s="12">
        <v>10</v>
      </c>
      <c r="J202" s="12"/>
      <c r="K202" s="12"/>
    </row>
    <row r="203" spans="1:11" x14ac:dyDescent="0.35">
      <c r="A203" s="2">
        <v>46225</v>
      </c>
      <c r="B203" s="3" t="str">
        <f t="shared" si="12"/>
        <v>Wed</v>
      </c>
      <c r="C203" s="3">
        <f t="shared" si="13"/>
        <v>30</v>
      </c>
      <c r="D203" s="3" t="str">
        <f t="shared" si="14"/>
        <v>July</v>
      </c>
      <c r="E203" s="3" t="s">
        <v>135</v>
      </c>
      <c r="F203" s="3" t="str">
        <f t="shared" si="15"/>
        <v>Total hari kerja</v>
      </c>
      <c r="G203" s="12" t="s">
        <v>23</v>
      </c>
      <c r="H203" s="12">
        <v>29</v>
      </c>
      <c r="I203" s="12">
        <v>6</v>
      </c>
      <c r="J203" s="12"/>
      <c r="K203" s="12"/>
    </row>
    <row r="204" spans="1:11" x14ac:dyDescent="0.35">
      <c r="A204" s="2">
        <v>46226</v>
      </c>
      <c r="B204" s="3" t="str">
        <f t="shared" si="12"/>
        <v>Thu</v>
      </c>
      <c r="C204" s="3">
        <f t="shared" si="13"/>
        <v>30</v>
      </c>
      <c r="D204" s="3" t="str">
        <f t="shared" si="14"/>
        <v>July</v>
      </c>
      <c r="E204" s="3" t="s">
        <v>135</v>
      </c>
      <c r="F204" s="3" t="str">
        <f t="shared" si="15"/>
        <v>Total hari kerja</v>
      </c>
      <c r="G204" s="12" t="s">
        <v>23</v>
      </c>
      <c r="H204" s="12">
        <v>32</v>
      </c>
      <c r="I204" s="12">
        <v>9</v>
      </c>
      <c r="J204" s="12"/>
      <c r="K204" s="12"/>
    </row>
    <row r="205" spans="1:11" x14ac:dyDescent="0.35">
      <c r="A205" s="2">
        <v>46227</v>
      </c>
      <c r="B205" s="3" t="str">
        <f t="shared" si="12"/>
        <v>Fri</v>
      </c>
      <c r="C205" s="3">
        <f t="shared" si="13"/>
        <v>30</v>
      </c>
      <c r="D205" s="3" t="str">
        <f t="shared" si="14"/>
        <v>July</v>
      </c>
      <c r="E205" s="3" t="s">
        <v>135</v>
      </c>
      <c r="F205" s="3" t="str">
        <f t="shared" si="15"/>
        <v>Total hari kerja</v>
      </c>
      <c r="G205" s="12" t="s">
        <v>23</v>
      </c>
      <c r="H205" s="12">
        <v>18</v>
      </c>
      <c r="I205" s="12">
        <v>6</v>
      </c>
      <c r="J205" s="12"/>
      <c r="K205" s="12"/>
    </row>
    <row r="206" spans="1:11" x14ac:dyDescent="0.35">
      <c r="A206" s="2">
        <v>46228</v>
      </c>
      <c r="B206" s="3" t="str">
        <f t="shared" si="12"/>
        <v>Sat</v>
      </c>
      <c r="C206" s="3">
        <f t="shared" si="13"/>
        <v>30</v>
      </c>
      <c r="D206" s="3" t="str">
        <f t="shared" si="14"/>
        <v>July</v>
      </c>
      <c r="E206" s="3" t="s">
        <v>135</v>
      </c>
      <c r="F206" s="3" t="str">
        <f t="shared" si="15"/>
        <v>Total hari kerja</v>
      </c>
      <c r="G206" s="12" t="s">
        <v>23</v>
      </c>
      <c r="H206" s="12">
        <v>24</v>
      </c>
      <c r="I206" s="12">
        <v>15</v>
      </c>
      <c r="J206" s="12"/>
      <c r="K206" s="12"/>
    </row>
    <row r="207" spans="1:11" x14ac:dyDescent="0.35">
      <c r="A207" s="2">
        <v>46229</v>
      </c>
      <c r="B207" s="3" t="str">
        <f t="shared" si="12"/>
        <v>Sun</v>
      </c>
      <c r="C207" s="3">
        <f t="shared" si="13"/>
        <v>31</v>
      </c>
      <c r="D207" s="3" t="str">
        <f t="shared" si="14"/>
        <v>July</v>
      </c>
      <c r="E207" s="3"/>
      <c r="F207" s="3" t="str">
        <f t="shared" si="15"/>
        <v xml:space="preserve"> </v>
      </c>
      <c r="G207" s="12" t="s">
        <v>23</v>
      </c>
      <c r="H207" s="12"/>
      <c r="I207" s="12"/>
      <c r="J207" s="12"/>
      <c r="K207" s="12"/>
    </row>
    <row r="208" spans="1:11" x14ac:dyDescent="0.35">
      <c r="A208" s="2">
        <v>46230</v>
      </c>
      <c r="B208" s="3" t="str">
        <f t="shared" si="12"/>
        <v>Mon</v>
      </c>
      <c r="C208" s="3">
        <f t="shared" si="13"/>
        <v>31</v>
      </c>
      <c r="D208" s="3" t="str">
        <f t="shared" si="14"/>
        <v>July</v>
      </c>
      <c r="E208" s="3" t="s">
        <v>135</v>
      </c>
      <c r="F208" s="3" t="str">
        <f t="shared" si="15"/>
        <v>Total hari kerja</v>
      </c>
      <c r="G208" s="12" t="s">
        <v>23</v>
      </c>
      <c r="H208" s="12">
        <v>10</v>
      </c>
      <c r="I208" s="12">
        <v>4</v>
      </c>
      <c r="J208" s="12"/>
      <c r="K208" s="12"/>
    </row>
    <row r="209" spans="1:11" x14ac:dyDescent="0.35">
      <c r="A209" s="2">
        <v>46231</v>
      </c>
      <c r="B209" s="3" t="str">
        <f t="shared" si="12"/>
        <v>Tue</v>
      </c>
      <c r="C209" s="3">
        <f t="shared" si="13"/>
        <v>31</v>
      </c>
      <c r="D209" s="3" t="str">
        <f t="shared" si="14"/>
        <v>July</v>
      </c>
      <c r="E209" s="3" t="s">
        <v>135</v>
      </c>
      <c r="F209" s="3" t="str">
        <f t="shared" si="15"/>
        <v>Total hari kerja</v>
      </c>
      <c r="G209" s="12" t="s">
        <v>23</v>
      </c>
      <c r="H209" s="12">
        <v>13</v>
      </c>
      <c r="I209" s="12">
        <v>9</v>
      </c>
      <c r="J209" s="12"/>
      <c r="K209" s="12"/>
    </row>
    <row r="210" spans="1:11" x14ac:dyDescent="0.35">
      <c r="A210" s="2">
        <v>46232</v>
      </c>
      <c r="B210" s="3" t="str">
        <f t="shared" si="12"/>
        <v>Wed</v>
      </c>
      <c r="C210" s="3">
        <f t="shared" si="13"/>
        <v>31</v>
      </c>
      <c r="D210" s="3" t="str">
        <f t="shared" si="14"/>
        <v>July</v>
      </c>
      <c r="E210" s="3" t="s">
        <v>135</v>
      </c>
      <c r="F210" s="3" t="str">
        <f t="shared" si="15"/>
        <v>Total hari kerja</v>
      </c>
      <c r="G210" s="12" t="s">
        <v>23</v>
      </c>
      <c r="H210" s="12">
        <v>11</v>
      </c>
      <c r="I210" s="12">
        <v>5</v>
      </c>
      <c r="J210" s="12"/>
      <c r="K210" s="12"/>
    </row>
    <row r="211" spans="1:11" x14ac:dyDescent="0.35">
      <c r="A211" s="2">
        <v>46233</v>
      </c>
      <c r="B211" s="3" t="str">
        <f t="shared" si="12"/>
        <v>Thu</v>
      </c>
      <c r="C211" s="3">
        <f t="shared" si="13"/>
        <v>31</v>
      </c>
      <c r="D211" s="3" t="str">
        <f t="shared" si="14"/>
        <v>July</v>
      </c>
      <c r="E211" s="3" t="s">
        <v>135</v>
      </c>
      <c r="F211" s="3" t="str">
        <f t="shared" si="15"/>
        <v>Total hari kerja</v>
      </c>
      <c r="G211" s="12" t="s">
        <v>23</v>
      </c>
      <c r="H211" s="12">
        <v>8</v>
      </c>
      <c r="I211" s="12">
        <v>2</v>
      </c>
      <c r="J211" s="12"/>
      <c r="K211" s="12"/>
    </row>
    <row r="212" spans="1:11" x14ac:dyDescent="0.35">
      <c r="A212" s="2">
        <v>46234</v>
      </c>
      <c r="B212" s="3" t="str">
        <f t="shared" si="12"/>
        <v>Fri</v>
      </c>
      <c r="C212" s="3">
        <f t="shared" si="13"/>
        <v>31</v>
      </c>
      <c r="D212" s="3" t="str">
        <f t="shared" si="14"/>
        <v>July</v>
      </c>
      <c r="E212" s="3" t="s">
        <v>135</v>
      </c>
      <c r="F212" s="3" t="str">
        <f t="shared" si="15"/>
        <v>Total hari kerja</v>
      </c>
      <c r="G212" s="12" t="s">
        <v>23</v>
      </c>
      <c r="H212" s="12">
        <v>8</v>
      </c>
      <c r="I212" s="12">
        <v>4</v>
      </c>
      <c r="J212" s="12"/>
      <c r="K212" s="12"/>
    </row>
    <row r="213" spans="1:11" x14ac:dyDescent="0.35">
      <c r="A213" s="2">
        <v>46235</v>
      </c>
      <c r="B213" s="3" t="str">
        <f t="shared" si="12"/>
        <v>Sat</v>
      </c>
      <c r="C213" s="3">
        <f t="shared" si="13"/>
        <v>31</v>
      </c>
      <c r="D213" s="3" t="str">
        <f t="shared" si="14"/>
        <v>August</v>
      </c>
      <c r="E213" s="3" t="s">
        <v>135</v>
      </c>
      <c r="F213" s="3" t="str">
        <f t="shared" si="15"/>
        <v>Total hari kerja</v>
      </c>
      <c r="G213" s="12" t="s">
        <v>23</v>
      </c>
      <c r="H213" s="12">
        <v>8</v>
      </c>
      <c r="I213" s="12">
        <v>15</v>
      </c>
      <c r="J213" s="12">
        <v>4</v>
      </c>
      <c r="K213" s="12"/>
    </row>
    <row r="214" spans="1:11" x14ac:dyDescent="0.35">
      <c r="A214" s="2">
        <v>46236</v>
      </c>
      <c r="B214" s="3" t="str">
        <f t="shared" si="12"/>
        <v>Sun</v>
      </c>
      <c r="C214" s="3">
        <f t="shared" si="13"/>
        <v>32</v>
      </c>
      <c r="D214" s="3" t="str">
        <f t="shared" si="14"/>
        <v>August</v>
      </c>
      <c r="E214" s="3"/>
      <c r="F214" s="3" t="str">
        <f t="shared" si="15"/>
        <v xml:space="preserve"> </v>
      </c>
      <c r="G214" s="12" t="s">
        <v>23</v>
      </c>
      <c r="H214" s="12"/>
      <c r="I214" s="12"/>
      <c r="J214" s="12"/>
      <c r="K214" s="12"/>
    </row>
    <row r="215" spans="1:11" x14ac:dyDescent="0.35">
      <c r="A215" s="2">
        <v>46237</v>
      </c>
      <c r="B215" s="3" t="str">
        <f t="shared" si="12"/>
        <v>Mon</v>
      </c>
      <c r="C215" s="3">
        <f t="shared" si="13"/>
        <v>32</v>
      </c>
      <c r="D215" s="3" t="str">
        <f t="shared" si="14"/>
        <v>August</v>
      </c>
      <c r="E215" s="3" t="s">
        <v>102</v>
      </c>
      <c r="F215" s="3" t="str">
        <f t="shared" si="15"/>
        <v>Ijin/Sakit/Alfa</v>
      </c>
      <c r="G215" s="12" t="s">
        <v>23</v>
      </c>
      <c r="H215" s="12"/>
      <c r="I215" s="12"/>
      <c r="J215" s="12"/>
      <c r="K215" s="12"/>
    </row>
    <row r="216" spans="1:11" x14ac:dyDescent="0.35">
      <c r="A216" s="2">
        <v>46238</v>
      </c>
      <c r="B216" s="3" t="str">
        <f t="shared" si="12"/>
        <v>Tue</v>
      </c>
      <c r="C216" s="3">
        <f t="shared" si="13"/>
        <v>32</v>
      </c>
      <c r="D216" s="3" t="str">
        <f t="shared" si="14"/>
        <v>August</v>
      </c>
      <c r="E216" s="3" t="s">
        <v>135</v>
      </c>
      <c r="F216" s="3" t="str">
        <f t="shared" si="15"/>
        <v>Total hari kerja</v>
      </c>
      <c r="G216" s="12" t="s">
        <v>23</v>
      </c>
      <c r="H216" s="12">
        <v>26</v>
      </c>
      <c r="I216" s="12">
        <v>7</v>
      </c>
      <c r="J216" s="12"/>
      <c r="K216" s="12"/>
    </row>
    <row r="217" spans="1:11" x14ac:dyDescent="0.35">
      <c r="A217" s="2">
        <v>46239</v>
      </c>
      <c r="B217" s="3" t="str">
        <f t="shared" si="12"/>
        <v>Wed</v>
      </c>
      <c r="C217" s="3">
        <f t="shared" si="13"/>
        <v>32</v>
      </c>
      <c r="D217" s="3" t="str">
        <f t="shared" si="14"/>
        <v>August</v>
      </c>
      <c r="E217" s="3" t="s">
        <v>135</v>
      </c>
      <c r="F217" s="3" t="str">
        <f t="shared" si="15"/>
        <v>Total hari kerja</v>
      </c>
      <c r="G217" s="12" t="s">
        <v>23</v>
      </c>
      <c r="H217" s="12">
        <v>13</v>
      </c>
      <c r="I217" s="12">
        <v>6</v>
      </c>
      <c r="J217" s="12"/>
      <c r="K217" s="12"/>
    </row>
    <row r="218" spans="1:11" x14ac:dyDescent="0.35">
      <c r="A218" s="2">
        <v>46240</v>
      </c>
      <c r="B218" s="3" t="str">
        <f t="shared" si="12"/>
        <v>Thu</v>
      </c>
      <c r="C218" s="3">
        <f t="shared" si="13"/>
        <v>32</v>
      </c>
      <c r="D218" s="3" t="str">
        <f t="shared" si="14"/>
        <v>August</v>
      </c>
      <c r="E218" s="3" t="s">
        <v>135</v>
      </c>
      <c r="F218" s="3" t="str">
        <f t="shared" si="15"/>
        <v>Total hari kerja</v>
      </c>
      <c r="G218" s="12" t="s">
        <v>23</v>
      </c>
      <c r="H218" s="12">
        <v>18</v>
      </c>
      <c r="I218" s="12">
        <v>2</v>
      </c>
      <c r="J218" s="12"/>
      <c r="K218" s="12"/>
    </row>
    <row r="219" spans="1:11" x14ac:dyDescent="0.35">
      <c r="A219" s="2">
        <v>46241</v>
      </c>
      <c r="B219" s="3" t="str">
        <f t="shared" si="12"/>
        <v>Fri</v>
      </c>
      <c r="C219" s="3">
        <f t="shared" si="13"/>
        <v>32</v>
      </c>
      <c r="D219" s="3" t="str">
        <f t="shared" si="14"/>
        <v>August</v>
      </c>
      <c r="E219" s="3" t="s">
        <v>135</v>
      </c>
      <c r="F219" s="3" t="str">
        <f t="shared" si="15"/>
        <v>Total hari kerja</v>
      </c>
      <c r="G219" s="12" t="s">
        <v>23</v>
      </c>
      <c r="H219" s="12">
        <v>10</v>
      </c>
      <c r="I219" s="12">
        <v>1</v>
      </c>
      <c r="J219" s="12"/>
      <c r="K219" s="12"/>
    </row>
    <row r="220" spans="1:11" x14ac:dyDescent="0.35">
      <c r="A220" s="2">
        <v>46242</v>
      </c>
      <c r="B220" s="3" t="str">
        <f t="shared" si="12"/>
        <v>Sat</v>
      </c>
      <c r="C220" s="3">
        <f t="shared" si="13"/>
        <v>32</v>
      </c>
      <c r="D220" s="3" t="str">
        <f t="shared" si="14"/>
        <v>August</v>
      </c>
      <c r="E220" s="3" t="s">
        <v>135</v>
      </c>
      <c r="F220" s="3" t="str">
        <f t="shared" si="15"/>
        <v>Total hari kerja</v>
      </c>
      <c r="G220" s="12" t="s">
        <v>23</v>
      </c>
      <c r="H220" s="12">
        <v>19</v>
      </c>
      <c r="I220" s="12">
        <v>10</v>
      </c>
      <c r="J220" s="12"/>
      <c r="K220" s="12"/>
    </row>
    <row r="221" spans="1:11" x14ac:dyDescent="0.35">
      <c r="A221" s="2">
        <v>46243</v>
      </c>
      <c r="B221" s="3" t="str">
        <f t="shared" si="12"/>
        <v>Sun</v>
      </c>
      <c r="C221" s="3">
        <f t="shared" si="13"/>
        <v>33</v>
      </c>
      <c r="D221" s="3" t="str">
        <f t="shared" si="14"/>
        <v>August</v>
      </c>
      <c r="E221" s="3"/>
      <c r="F221" s="3" t="str">
        <f t="shared" si="15"/>
        <v xml:space="preserve"> </v>
      </c>
      <c r="G221" s="12" t="s">
        <v>23</v>
      </c>
      <c r="H221" s="12"/>
      <c r="I221" s="12"/>
      <c r="J221" s="12"/>
      <c r="K221" s="12"/>
    </row>
    <row r="222" spans="1:11" x14ac:dyDescent="0.35">
      <c r="A222" s="2">
        <v>46244</v>
      </c>
      <c r="B222" s="3" t="str">
        <f t="shared" si="12"/>
        <v>Mon</v>
      </c>
      <c r="C222" s="3">
        <f t="shared" si="13"/>
        <v>33</v>
      </c>
      <c r="D222" s="3" t="str">
        <f t="shared" si="14"/>
        <v>August</v>
      </c>
      <c r="E222" s="3" t="s">
        <v>135</v>
      </c>
      <c r="F222" s="3" t="str">
        <f t="shared" si="15"/>
        <v>Total hari kerja</v>
      </c>
      <c r="G222" s="12" t="s">
        <v>23</v>
      </c>
      <c r="H222" s="12">
        <v>29</v>
      </c>
      <c r="I222" s="12">
        <v>3</v>
      </c>
      <c r="J222" s="12"/>
      <c r="K222" s="12"/>
    </row>
    <row r="223" spans="1:11" x14ac:dyDescent="0.35">
      <c r="A223" s="2">
        <v>46245</v>
      </c>
      <c r="B223" s="3" t="str">
        <f t="shared" si="12"/>
        <v>Tue</v>
      </c>
      <c r="C223" s="3">
        <f t="shared" si="13"/>
        <v>33</v>
      </c>
      <c r="D223" s="3" t="str">
        <f t="shared" si="14"/>
        <v>August</v>
      </c>
      <c r="E223" s="3" t="s">
        <v>135</v>
      </c>
      <c r="F223" s="3" t="str">
        <f t="shared" si="15"/>
        <v>Total hari kerja</v>
      </c>
      <c r="G223" s="12" t="s">
        <v>23</v>
      </c>
      <c r="H223" s="12">
        <v>20</v>
      </c>
      <c r="I223" s="12">
        <v>2</v>
      </c>
      <c r="J223" s="12"/>
      <c r="K223" s="12"/>
    </row>
    <row r="224" spans="1:11" x14ac:dyDescent="0.35">
      <c r="A224" s="2">
        <v>46246</v>
      </c>
      <c r="B224" s="3" t="str">
        <f t="shared" si="12"/>
        <v>Wed</v>
      </c>
      <c r="C224" s="3">
        <f t="shared" si="13"/>
        <v>33</v>
      </c>
      <c r="D224" s="3" t="str">
        <f t="shared" si="14"/>
        <v>August</v>
      </c>
      <c r="E224" s="3" t="s">
        <v>135</v>
      </c>
      <c r="F224" s="3" t="str">
        <f t="shared" si="15"/>
        <v>Total hari kerja</v>
      </c>
      <c r="G224" s="12" t="s">
        <v>23</v>
      </c>
      <c r="H224" s="12">
        <v>5</v>
      </c>
      <c r="I224" s="12">
        <v>7</v>
      </c>
      <c r="J224" s="12">
        <v>3</v>
      </c>
      <c r="K224" s="12"/>
    </row>
    <row r="225" spans="1:11" x14ac:dyDescent="0.35">
      <c r="A225" s="2">
        <v>46247</v>
      </c>
      <c r="B225" s="3" t="str">
        <f t="shared" si="12"/>
        <v>Thu</v>
      </c>
      <c r="C225" s="3">
        <f t="shared" si="13"/>
        <v>33</v>
      </c>
      <c r="D225" s="3" t="str">
        <f t="shared" si="14"/>
        <v>August</v>
      </c>
      <c r="E225" s="3" t="s">
        <v>135</v>
      </c>
      <c r="F225" s="3" t="str">
        <f t="shared" si="15"/>
        <v>Total hari kerja</v>
      </c>
      <c r="G225" s="12" t="s">
        <v>23</v>
      </c>
      <c r="H225" s="12">
        <v>12</v>
      </c>
      <c r="I225" s="12">
        <v>3</v>
      </c>
      <c r="J225" s="12"/>
      <c r="K225" s="12"/>
    </row>
    <row r="226" spans="1:11" x14ac:dyDescent="0.35">
      <c r="A226" s="2">
        <v>46248</v>
      </c>
      <c r="B226" s="3" t="str">
        <f t="shared" si="12"/>
        <v>Fri</v>
      </c>
      <c r="C226" s="3">
        <f t="shared" si="13"/>
        <v>33</v>
      </c>
      <c r="D226" s="3" t="str">
        <f t="shared" si="14"/>
        <v>August</v>
      </c>
      <c r="E226" s="3" t="s">
        <v>135</v>
      </c>
      <c r="F226" s="3" t="str">
        <f t="shared" si="15"/>
        <v>Total hari kerja</v>
      </c>
      <c r="G226" s="12" t="s">
        <v>23</v>
      </c>
      <c r="H226" s="12">
        <v>16</v>
      </c>
      <c r="I226" s="12">
        <v>6</v>
      </c>
      <c r="J226" s="12"/>
      <c r="K226" s="12"/>
    </row>
    <row r="227" spans="1:11" x14ac:dyDescent="0.35">
      <c r="A227" s="2">
        <v>46249</v>
      </c>
      <c r="B227" s="3" t="str">
        <f t="shared" si="12"/>
        <v>Sat</v>
      </c>
      <c r="C227" s="3">
        <f t="shared" si="13"/>
        <v>33</v>
      </c>
      <c r="D227" s="3" t="str">
        <f t="shared" si="14"/>
        <v>August</v>
      </c>
      <c r="E227" s="3" t="s">
        <v>135</v>
      </c>
      <c r="F227" s="3" t="str">
        <f t="shared" si="15"/>
        <v>Total hari kerja</v>
      </c>
      <c r="G227" s="12" t="s">
        <v>23</v>
      </c>
      <c r="H227" s="12">
        <v>19</v>
      </c>
      <c r="I227" s="12">
        <v>3</v>
      </c>
      <c r="J227" s="12"/>
      <c r="K227" s="12"/>
    </row>
    <row r="228" spans="1:11" x14ac:dyDescent="0.35">
      <c r="A228" s="2">
        <v>46250</v>
      </c>
      <c r="B228" s="3" t="str">
        <f t="shared" si="12"/>
        <v>Sun</v>
      </c>
      <c r="C228" s="3">
        <f t="shared" si="13"/>
        <v>34</v>
      </c>
      <c r="D228" s="3" t="str">
        <f t="shared" si="14"/>
        <v>August</v>
      </c>
      <c r="E228" s="3"/>
      <c r="F228" s="3" t="str">
        <f t="shared" si="15"/>
        <v xml:space="preserve"> </v>
      </c>
      <c r="G228" s="12" t="s">
        <v>23</v>
      </c>
      <c r="H228" s="12"/>
      <c r="I228" s="12"/>
      <c r="J228" s="12"/>
      <c r="K228" s="12"/>
    </row>
    <row r="229" spans="1:11" x14ac:dyDescent="0.35">
      <c r="A229" s="2">
        <v>46251</v>
      </c>
      <c r="B229" s="3" t="str">
        <f t="shared" si="12"/>
        <v>Mon</v>
      </c>
      <c r="C229" s="3">
        <f t="shared" si="13"/>
        <v>34</v>
      </c>
      <c r="D229" s="3" t="str">
        <f t="shared" si="14"/>
        <v>August</v>
      </c>
      <c r="E229" s="3" t="s">
        <v>140</v>
      </c>
      <c r="F229" s="3" t="str">
        <f t="shared" si="15"/>
        <v>MERAH</v>
      </c>
      <c r="G229" s="12" t="s">
        <v>23</v>
      </c>
      <c r="H229" s="12"/>
      <c r="I229" s="12"/>
      <c r="J229" s="12"/>
      <c r="K229" s="12"/>
    </row>
    <row r="230" spans="1:11" x14ac:dyDescent="0.35">
      <c r="A230" s="2">
        <v>46252</v>
      </c>
      <c r="B230" s="3" t="str">
        <f t="shared" si="12"/>
        <v>Tue</v>
      </c>
      <c r="C230" s="3">
        <f t="shared" si="13"/>
        <v>34</v>
      </c>
      <c r="D230" s="3" t="str">
        <f t="shared" si="14"/>
        <v>August</v>
      </c>
      <c r="E230" s="3" t="s">
        <v>135</v>
      </c>
      <c r="F230" s="3" t="str">
        <f t="shared" si="15"/>
        <v>Total hari kerja</v>
      </c>
      <c r="G230" s="12" t="s">
        <v>23</v>
      </c>
      <c r="H230" s="12">
        <v>17</v>
      </c>
      <c r="I230" s="12">
        <v>10</v>
      </c>
      <c r="J230" s="12"/>
      <c r="K230" s="12"/>
    </row>
    <row r="231" spans="1:11" x14ac:dyDescent="0.35">
      <c r="A231" s="2">
        <v>46253</v>
      </c>
      <c r="B231" s="3" t="str">
        <f t="shared" si="12"/>
        <v>Wed</v>
      </c>
      <c r="C231" s="3">
        <f t="shared" si="13"/>
        <v>34</v>
      </c>
      <c r="D231" s="3" t="str">
        <f t="shared" si="14"/>
        <v>August</v>
      </c>
      <c r="E231" s="3" t="s">
        <v>135</v>
      </c>
      <c r="F231" s="3" t="str">
        <f t="shared" si="15"/>
        <v>Total hari kerja</v>
      </c>
      <c r="G231" s="12" t="s">
        <v>23</v>
      </c>
      <c r="H231" s="12">
        <v>7</v>
      </c>
      <c r="I231" s="12">
        <v>2</v>
      </c>
      <c r="J231" s="12"/>
      <c r="K231" s="12"/>
    </row>
    <row r="232" spans="1:11" x14ac:dyDescent="0.35">
      <c r="A232" s="2">
        <v>46254</v>
      </c>
      <c r="B232" s="3" t="str">
        <f t="shared" si="12"/>
        <v>Thu</v>
      </c>
      <c r="C232" s="3">
        <f t="shared" si="13"/>
        <v>34</v>
      </c>
      <c r="D232" s="3" t="str">
        <f t="shared" si="14"/>
        <v>August</v>
      </c>
      <c r="E232" s="3" t="s">
        <v>135</v>
      </c>
      <c r="F232" s="3" t="str">
        <f t="shared" si="15"/>
        <v>Total hari kerja</v>
      </c>
      <c r="G232" s="12" t="s">
        <v>23</v>
      </c>
      <c r="H232" s="12">
        <v>12</v>
      </c>
      <c r="I232" s="12">
        <v>3</v>
      </c>
      <c r="J232" s="12"/>
      <c r="K232" s="12"/>
    </row>
    <row r="233" spans="1:11" x14ac:dyDescent="0.35">
      <c r="A233" s="2">
        <v>46255</v>
      </c>
      <c r="B233" s="3" t="str">
        <f t="shared" si="12"/>
        <v>Fri</v>
      </c>
      <c r="C233" s="3">
        <f t="shared" si="13"/>
        <v>34</v>
      </c>
      <c r="D233" s="3" t="str">
        <f t="shared" si="14"/>
        <v>August</v>
      </c>
      <c r="E233" s="3" t="s">
        <v>135</v>
      </c>
      <c r="F233" s="3" t="str">
        <f t="shared" si="15"/>
        <v>Total hari kerja</v>
      </c>
      <c r="G233" s="12" t="s">
        <v>23</v>
      </c>
      <c r="H233" s="12">
        <v>14</v>
      </c>
      <c r="I233" s="12">
        <v>8</v>
      </c>
      <c r="J233" s="12"/>
      <c r="K233" s="12"/>
    </row>
    <row r="234" spans="1:11" x14ac:dyDescent="0.35">
      <c r="A234" s="2">
        <v>46256</v>
      </c>
      <c r="B234" s="3" t="str">
        <f t="shared" si="12"/>
        <v>Sat</v>
      </c>
      <c r="C234" s="3">
        <f t="shared" si="13"/>
        <v>34</v>
      </c>
      <c r="D234" s="3" t="str">
        <f t="shared" si="14"/>
        <v>August</v>
      </c>
      <c r="E234" s="3" t="s">
        <v>135</v>
      </c>
      <c r="F234" s="3" t="str">
        <f t="shared" si="15"/>
        <v>Total hari kerja</v>
      </c>
      <c r="G234" s="12" t="s">
        <v>23</v>
      </c>
      <c r="H234" s="12">
        <v>14</v>
      </c>
      <c r="I234" s="12">
        <v>9</v>
      </c>
      <c r="J234" s="12"/>
      <c r="K234" s="12"/>
    </row>
    <row r="235" spans="1:11" x14ac:dyDescent="0.35">
      <c r="A235" s="2">
        <v>46257</v>
      </c>
      <c r="B235" s="3" t="str">
        <f t="shared" si="12"/>
        <v>Sun</v>
      </c>
      <c r="C235" s="3">
        <f t="shared" si="13"/>
        <v>35</v>
      </c>
      <c r="D235" s="3" t="str">
        <f t="shared" si="14"/>
        <v>August</v>
      </c>
      <c r="E235" s="3"/>
      <c r="F235" s="3" t="str">
        <f t="shared" si="15"/>
        <v xml:space="preserve"> </v>
      </c>
      <c r="G235" s="12" t="s">
        <v>23</v>
      </c>
      <c r="H235" s="12"/>
      <c r="I235" s="12"/>
      <c r="J235" s="12"/>
      <c r="K235" s="12"/>
    </row>
    <row r="236" spans="1:11" x14ac:dyDescent="0.35">
      <c r="A236" s="2">
        <v>46258</v>
      </c>
      <c r="B236" s="3" t="str">
        <f t="shared" si="12"/>
        <v>Mon</v>
      </c>
      <c r="C236" s="3">
        <f t="shared" si="13"/>
        <v>35</v>
      </c>
      <c r="D236" s="3" t="str">
        <f t="shared" si="14"/>
        <v>August</v>
      </c>
      <c r="E236" s="3" t="s">
        <v>135</v>
      </c>
      <c r="F236" s="3" t="str">
        <f t="shared" si="15"/>
        <v>Total hari kerja</v>
      </c>
      <c r="G236" s="12" t="s">
        <v>23</v>
      </c>
      <c r="H236" s="12">
        <v>15</v>
      </c>
      <c r="I236" s="12">
        <v>2</v>
      </c>
      <c r="J236" s="12"/>
      <c r="K236" s="12"/>
    </row>
    <row r="237" spans="1:11" x14ac:dyDescent="0.35">
      <c r="A237" s="2">
        <v>46259</v>
      </c>
      <c r="B237" s="3" t="str">
        <f t="shared" si="12"/>
        <v>Tue</v>
      </c>
      <c r="C237" s="3">
        <f t="shared" si="13"/>
        <v>35</v>
      </c>
      <c r="D237" s="3" t="str">
        <f t="shared" si="14"/>
        <v>August</v>
      </c>
      <c r="E237" s="3" t="s">
        <v>140</v>
      </c>
      <c r="F237" s="3" t="str">
        <f t="shared" si="15"/>
        <v>MERAH</v>
      </c>
      <c r="G237" s="12" t="s">
        <v>23</v>
      </c>
      <c r="H237" s="12"/>
      <c r="I237" s="12"/>
      <c r="J237" s="12"/>
      <c r="K237" s="12"/>
    </row>
    <row r="238" spans="1:11" x14ac:dyDescent="0.35">
      <c r="A238" s="2">
        <v>46260</v>
      </c>
      <c r="B238" s="3" t="str">
        <f t="shared" si="12"/>
        <v>Wed</v>
      </c>
      <c r="C238" s="3">
        <f t="shared" si="13"/>
        <v>35</v>
      </c>
      <c r="D238" s="3" t="str">
        <f t="shared" si="14"/>
        <v>August</v>
      </c>
      <c r="E238" s="3" t="s">
        <v>135</v>
      </c>
      <c r="F238" s="3" t="str">
        <f t="shared" si="15"/>
        <v>Total hari kerja</v>
      </c>
      <c r="G238" s="12" t="s">
        <v>23</v>
      </c>
      <c r="H238" s="12">
        <v>19</v>
      </c>
      <c r="I238" s="12">
        <v>2</v>
      </c>
      <c r="J238" s="12"/>
      <c r="K238" s="12"/>
    </row>
    <row r="239" spans="1:11" x14ac:dyDescent="0.35">
      <c r="A239" s="2">
        <v>46261</v>
      </c>
      <c r="B239" s="3" t="str">
        <f t="shared" si="12"/>
        <v>Thu</v>
      </c>
      <c r="C239" s="3">
        <f t="shared" si="13"/>
        <v>35</v>
      </c>
      <c r="D239" s="3" t="str">
        <f t="shared" si="14"/>
        <v>August</v>
      </c>
      <c r="E239" s="3" t="s">
        <v>135</v>
      </c>
      <c r="F239" s="3" t="str">
        <f t="shared" si="15"/>
        <v>Total hari kerja</v>
      </c>
      <c r="G239" s="12" t="s">
        <v>23</v>
      </c>
      <c r="H239" s="12">
        <v>13</v>
      </c>
      <c r="I239" s="12">
        <v>4</v>
      </c>
      <c r="J239" s="12"/>
      <c r="K239" s="12"/>
    </row>
    <row r="240" spans="1:11" x14ac:dyDescent="0.35">
      <c r="A240" s="2">
        <v>46262</v>
      </c>
      <c r="B240" s="3" t="str">
        <f t="shared" si="12"/>
        <v>Fri</v>
      </c>
      <c r="C240" s="3">
        <f t="shared" si="13"/>
        <v>35</v>
      </c>
      <c r="D240" s="3" t="str">
        <f t="shared" si="14"/>
        <v>August</v>
      </c>
      <c r="E240" s="3" t="s">
        <v>135</v>
      </c>
      <c r="F240" s="3" t="str">
        <f t="shared" si="15"/>
        <v>Total hari kerja</v>
      </c>
      <c r="G240" s="12" t="s">
        <v>23</v>
      </c>
      <c r="H240" s="12">
        <v>17</v>
      </c>
      <c r="I240" s="12">
        <v>1</v>
      </c>
      <c r="J240" s="12"/>
      <c r="K240" s="12"/>
    </row>
    <row r="241" spans="1:11" x14ac:dyDescent="0.35">
      <c r="A241" s="2">
        <v>46263</v>
      </c>
      <c r="B241" s="3" t="str">
        <f t="shared" ref="B241:B304" si="16">TEXT(A241,"DDD")</f>
        <v>Sat</v>
      </c>
      <c r="C241" s="3">
        <f t="shared" ref="C241:C304" si="17">WEEKNUM(A241)</f>
        <v>35</v>
      </c>
      <c r="D241" s="3" t="str">
        <f t="shared" ref="D241:D304" si="18">TEXT(A241,"mmmm")</f>
        <v>August</v>
      </c>
      <c r="E241" s="3" t="s">
        <v>135</v>
      </c>
      <c r="F241" s="3" t="str">
        <f t="shared" si="15"/>
        <v>Total hari kerja</v>
      </c>
      <c r="G241" s="12" t="s">
        <v>23</v>
      </c>
      <c r="H241" s="12">
        <v>34</v>
      </c>
      <c r="I241" s="12">
        <v>3</v>
      </c>
      <c r="J241" s="12"/>
      <c r="K241" s="12"/>
    </row>
    <row r="242" spans="1:11" x14ac:dyDescent="0.35">
      <c r="A242" s="2">
        <v>46264</v>
      </c>
      <c r="B242" s="3" t="str">
        <f t="shared" si="16"/>
        <v>Sun</v>
      </c>
      <c r="C242" s="3">
        <f t="shared" si="17"/>
        <v>36</v>
      </c>
      <c r="D242" s="3" t="str">
        <f t="shared" si="18"/>
        <v>August</v>
      </c>
      <c r="E242" s="3"/>
      <c r="F242" s="3" t="str">
        <f t="shared" ref="F242:F305" si="19">IF(E242="J1",$O$3,IF(E242="J2",$O$4,IF(E242="J3",$O$5,IF(E242="J4",$O$6,IF(E242="J5",$O$7," ")))))</f>
        <v xml:space="preserve"> </v>
      </c>
      <c r="G242" s="12" t="s">
        <v>23</v>
      </c>
      <c r="H242" s="12"/>
      <c r="I242" s="12"/>
      <c r="J242" s="12"/>
      <c r="K242" s="12"/>
    </row>
    <row r="243" spans="1:11" x14ac:dyDescent="0.35">
      <c r="A243" s="2">
        <v>46265</v>
      </c>
      <c r="B243" s="3" t="str">
        <f t="shared" si="16"/>
        <v>Mon</v>
      </c>
      <c r="C243" s="3">
        <f t="shared" si="17"/>
        <v>36</v>
      </c>
      <c r="D243" s="3" t="str">
        <f t="shared" si="18"/>
        <v>August</v>
      </c>
      <c r="E243" s="3" t="s">
        <v>135</v>
      </c>
      <c r="F243" s="3" t="str">
        <f t="shared" si="19"/>
        <v>Total hari kerja</v>
      </c>
      <c r="G243" s="12" t="s">
        <v>23</v>
      </c>
      <c r="H243" s="12">
        <v>8</v>
      </c>
      <c r="I243" s="12">
        <v>3</v>
      </c>
      <c r="J243" s="12"/>
      <c r="K243" s="12"/>
    </row>
    <row r="244" spans="1:11" x14ac:dyDescent="0.35">
      <c r="A244" s="2">
        <v>46266</v>
      </c>
      <c r="B244" s="3" t="str">
        <f t="shared" si="16"/>
        <v>Tue</v>
      </c>
      <c r="C244" s="3">
        <f t="shared" si="17"/>
        <v>36</v>
      </c>
      <c r="D244" s="3" t="str">
        <f t="shared" si="18"/>
        <v>September</v>
      </c>
      <c r="E244" s="3" t="s">
        <v>135</v>
      </c>
      <c r="F244" s="3" t="str">
        <f t="shared" si="19"/>
        <v>Total hari kerja</v>
      </c>
      <c r="G244" s="12" t="s">
        <v>23</v>
      </c>
      <c r="H244" s="12">
        <v>16</v>
      </c>
      <c r="I244" s="12">
        <v>2</v>
      </c>
      <c r="J244" s="12"/>
      <c r="K244" s="12"/>
    </row>
    <row r="245" spans="1:11" x14ac:dyDescent="0.35">
      <c r="A245" s="2">
        <v>46267</v>
      </c>
      <c r="B245" s="3" t="str">
        <f t="shared" si="16"/>
        <v>Wed</v>
      </c>
      <c r="C245" s="3">
        <f t="shared" si="17"/>
        <v>36</v>
      </c>
      <c r="D245" s="3" t="str">
        <f t="shared" si="18"/>
        <v>September</v>
      </c>
      <c r="E245" s="3" t="s">
        <v>135</v>
      </c>
      <c r="F245" s="3" t="str">
        <f t="shared" si="19"/>
        <v>Total hari kerja</v>
      </c>
      <c r="G245" s="12" t="s">
        <v>23</v>
      </c>
      <c r="H245" s="12">
        <v>14</v>
      </c>
      <c r="I245" s="12"/>
      <c r="J245" s="12"/>
      <c r="K245" s="12"/>
    </row>
    <row r="246" spans="1:11" x14ac:dyDescent="0.35">
      <c r="A246" s="2">
        <v>46268</v>
      </c>
      <c r="B246" s="3" t="str">
        <f t="shared" si="16"/>
        <v>Thu</v>
      </c>
      <c r="C246" s="3">
        <f t="shared" si="17"/>
        <v>36</v>
      </c>
      <c r="D246" s="3" t="str">
        <f t="shared" si="18"/>
        <v>September</v>
      </c>
      <c r="E246" s="3" t="s">
        <v>135</v>
      </c>
      <c r="F246" s="3" t="str">
        <f t="shared" si="19"/>
        <v>Total hari kerja</v>
      </c>
      <c r="G246" s="12" t="s">
        <v>23</v>
      </c>
      <c r="H246" s="12">
        <v>24</v>
      </c>
      <c r="I246" s="12">
        <v>6</v>
      </c>
      <c r="J246" s="12"/>
      <c r="K246" s="12"/>
    </row>
    <row r="247" spans="1:11" x14ac:dyDescent="0.35">
      <c r="A247" s="2">
        <v>46269</v>
      </c>
      <c r="B247" s="3" t="str">
        <f t="shared" si="16"/>
        <v>Fri</v>
      </c>
      <c r="C247" s="3">
        <f t="shared" si="17"/>
        <v>36</v>
      </c>
      <c r="D247" s="3" t="str">
        <f t="shared" si="18"/>
        <v>September</v>
      </c>
      <c r="E247" s="3" t="s">
        <v>135</v>
      </c>
      <c r="F247" s="3" t="str">
        <f t="shared" si="19"/>
        <v>Total hari kerja</v>
      </c>
      <c r="G247" s="12" t="s">
        <v>23</v>
      </c>
      <c r="H247" s="12">
        <v>10</v>
      </c>
      <c r="I247" s="12">
        <v>2</v>
      </c>
      <c r="J247" s="12"/>
      <c r="K247" s="12"/>
    </row>
    <row r="248" spans="1:11" x14ac:dyDescent="0.35">
      <c r="A248" s="2">
        <v>46270</v>
      </c>
      <c r="B248" s="3" t="str">
        <f t="shared" si="16"/>
        <v>Sat</v>
      </c>
      <c r="C248" s="3">
        <f t="shared" si="17"/>
        <v>36</v>
      </c>
      <c r="D248" s="3" t="str">
        <f t="shared" si="18"/>
        <v>September</v>
      </c>
      <c r="E248" s="3" t="s">
        <v>135</v>
      </c>
      <c r="F248" s="3" t="str">
        <f t="shared" si="19"/>
        <v>Total hari kerja</v>
      </c>
      <c r="G248" s="12" t="s">
        <v>23</v>
      </c>
      <c r="H248" s="12">
        <v>16</v>
      </c>
      <c r="I248" s="12">
        <v>7</v>
      </c>
      <c r="J248" s="12"/>
      <c r="K248" s="12"/>
    </row>
    <row r="249" spans="1:11" x14ac:dyDescent="0.35">
      <c r="A249" s="2">
        <v>46271</v>
      </c>
      <c r="B249" s="3" t="str">
        <f t="shared" si="16"/>
        <v>Sun</v>
      </c>
      <c r="C249" s="3">
        <f t="shared" si="17"/>
        <v>37</v>
      </c>
      <c r="D249" s="3" t="str">
        <f t="shared" si="18"/>
        <v>September</v>
      </c>
      <c r="E249" s="3"/>
      <c r="F249" s="3" t="str">
        <f t="shared" si="19"/>
        <v xml:space="preserve"> </v>
      </c>
      <c r="G249" s="12" t="s">
        <v>23</v>
      </c>
      <c r="H249" s="12"/>
      <c r="I249" s="12"/>
      <c r="J249" s="12"/>
      <c r="K249" s="12"/>
    </row>
    <row r="250" spans="1:11" x14ac:dyDescent="0.35">
      <c r="A250" s="2">
        <v>46272</v>
      </c>
      <c r="B250" s="3" t="str">
        <f t="shared" si="16"/>
        <v>Mon</v>
      </c>
      <c r="C250" s="3">
        <f t="shared" si="17"/>
        <v>37</v>
      </c>
      <c r="D250" s="3" t="str">
        <f t="shared" si="18"/>
        <v>September</v>
      </c>
      <c r="E250" s="3" t="s">
        <v>102</v>
      </c>
      <c r="F250" s="3" t="str">
        <f t="shared" si="19"/>
        <v>Ijin/Sakit/Alfa</v>
      </c>
      <c r="G250" s="12" t="s">
        <v>23</v>
      </c>
      <c r="H250" s="12"/>
      <c r="I250" s="12"/>
      <c r="J250" s="12"/>
      <c r="K250" s="12"/>
    </row>
    <row r="251" spans="1:11" x14ac:dyDescent="0.35">
      <c r="A251" s="2">
        <v>46273</v>
      </c>
      <c r="B251" s="3" t="str">
        <f t="shared" si="16"/>
        <v>Tue</v>
      </c>
      <c r="C251" s="3">
        <f t="shared" si="17"/>
        <v>37</v>
      </c>
      <c r="D251" s="3" t="str">
        <f t="shared" si="18"/>
        <v>September</v>
      </c>
      <c r="E251" s="3" t="s">
        <v>135</v>
      </c>
      <c r="F251" s="3" t="str">
        <f t="shared" si="19"/>
        <v>Total hari kerja</v>
      </c>
      <c r="G251" s="12" t="s">
        <v>23</v>
      </c>
      <c r="H251" s="12">
        <v>5</v>
      </c>
      <c r="I251" s="12">
        <v>3</v>
      </c>
      <c r="J251" s="12"/>
      <c r="K251" s="12"/>
    </row>
    <row r="252" spans="1:11" x14ac:dyDescent="0.35">
      <c r="A252" s="2">
        <v>46274</v>
      </c>
      <c r="B252" s="3" t="str">
        <f t="shared" si="16"/>
        <v>Wed</v>
      </c>
      <c r="C252" s="3">
        <f t="shared" si="17"/>
        <v>37</v>
      </c>
      <c r="D252" s="3" t="str">
        <f t="shared" si="18"/>
        <v>September</v>
      </c>
      <c r="E252" s="3" t="s">
        <v>135</v>
      </c>
      <c r="F252" s="3" t="str">
        <f t="shared" si="19"/>
        <v>Total hari kerja</v>
      </c>
      <c r="G252" s="12" t="s">
        <v>23</v>
      </c>
      <c r="H252" s="12">
        <v>17</v>
      </c>
      <c r="I252" s="12">
        <v>1</v>
      </c>
      <c r="J252" s="12"/>
      <c r="K252" s="12"/>
    </row>
    <row r="253" spans="1:11" x14ac:dyDescent="0.35">
      <c r="A253" s="2">
        <v>46275</v>
      </c>
      <c r="B253" s="3" t="str">
        <f t="shared" si="16"/>
        <v>Thu</v>
      </c>
      <c r="C253" s="3">
        <f t="shared" si="17"/>
        <v>37</v>
      </c>
      <c r="D253" s="3" t="str">
        <f t="shared" si="18"/>
        <v>September</v>
      </c>
      <c r="E253" s="3" t="s">
        <v>135</v>
      </c>
      <c r="F253" s="3" t="str">
        <f t="shared" si="19"/>
        <v>Total hari kerja</v>
      </c>
      <c r="G253" s="12" t="s">
        <v>23</v>
      </c>
      <c r="H253" s="12">
        <v>8</v>
      </c>
      <c r="I253" s="12">
        <v>8</v>
      </c>
      <c r="J253" s="12"/>
      <c r="K253" s="12"/>
    </row>
    <row r="254" spans="1:11" x14ac:dyDescent="0.35">
      <c r="A254" s="2">
        <v>46276</v>
      </c>
      <c r="B254" s="3" t="str">
        <f t="shared" si="16"/>
        <v>Fri</v>
      </c>
      <c r="C254" s="3">
        <f t="shared" si="17"/>
        <v>37</v>
      </c>
      <c r="D254" s="3" t="str">
        <f t="shared" si="18"/>
        <v>September</v>
      </c>
      <c r="E254" s="3" t="s">
        <v>135</v>
      </c>
      <c r="F254" s="3" t="str">
        <f t="shared" si="19"/>
        <v>Total hari kerja</v>
      </c>
      <c r="G254" s="12" t="s">
        <v>23</v>
      </c>
      <c r="H254" s="12">
        <v>21</v>
      </c>
      <c r="I254" s="12">
        <v>2</v>
      </c>
      <c r="J254" s="12"/>
      <c r="K254" s="12"/>
    </row>
    <row r="255" spans="1:11" x14ac:dyDescent="0.35">
      <c r="A255" s="2">
        <v>46277</v>
      </c>
      <c r="B255" s="3" t="str">
        <f t="shared" si="16"/>
        <v>Sat</v>
      </c>
      <c r="C255" s="3">
        <f t="shared" si="17"/>
        <v>37</v>
      </c>
      <c r="D255" s="3" t="str">
        <f t="shared" si="18"/>
        <v>September</v>
      </c>
      <c r="E255" s="3" t="s">
        <v>135</v>
      </c>
      <c r="F255" s="3" t="str">
        <f t="shared" si="19"/>
        <v>Total hari kerja</v>
      </c>
      <c r="G255" s="12" t="s">
        <v>23</v>
      </c>
      <c r="H255" s="12">
        <v>6</v>
      </c>
      <c r="I255" s="12">
        <v>4</v>
      </c>
      <c r="J255" s="12"/>
      <c r="K255" s="12"/>
    </row>
    <row r="256" spans="1:11" x14ac:dyDescent="0.35">
      <c r="A256" s="2">
        <v>46278</v>
      </c>
      <c r="B256" s="3" t="str">
        <f t="shared" si="16"/>
        <v>Sun</v>
      </c>
      <c r="C256" s="3">
        <f t="shared" si="17"/>
        <v>38</v>
      </c>
      <c r="D256" s="3" t="str">
        <f t="shared" si="18"/>
        <v>September</v>
      </c>
      <c r="E256" s="3"/>
      <c r="F256" s="3" t="str">
        <f t="shared" si="19"/>
        <v xml:space="preserve"> </v>
      </c>
      <c r="G256" s="12" t="s">
        <v>23</v>
      </c>
      <c r="H256" s="12"/>
      <c r="I256" s="12"/>
      <c r="J256" s="12"/>
      <c r="K256" s="12"/>
    </row>
    <row r="257" spans="1:11" x14ac:dyDescent="0.35">
      <c r="A257" s="2">
        <v>46279</v>
      </c>
      <c r="B257" s="3" t="str">
        <f t="shared" si="16"/>
        <v>Mon</v>
      </c>
      <c r="C257" s="3">
        <f t="shared" si="17"/>
        <v>38</v>
      </c>
      <c r="D257" s="3" t="str">
        <f t="shared" si="18"/>
        <v>September</v>
      </c>
      <c r="E257" s="3" t="s">
        <v>135</v>
      </c>
      <c r="F257" s="3" t="str">
        <f t="shared" si="19"/>
        <v>Total hari kerja</v>
      </c>
      <c r="G257" s="12" t="s">
        <v>23</v>
      </c>
      <c r="H257" s="12">
        <v>10</v>
      </c>
      <c r="I257" s="12"/>
      <c r="J257" s="12"/>
      <c r="K257" s="12"/>
    </row>
    <row r="258" spans="1:11" x14ac:dyDescent="0.35">
      <c r="A258" s="2">
        <v>46280</v>
      </c>
      <c r="B258" s="3" t="str">
        <f t="shared" si="16"/>
        <v>Tue</v>
      </c>
      <c r="C258" s="3">
        <f t="shared" si="17"/>
        <v>38</v>
      </c>
      <c r="D258" s="3" t="str">
        <f t="shared" si="18"/>
        <v>September</v>
      </c>
      <c r="E258" s="3" t="s">
        <v>135</v>
      </c>
      <c r="F258" s="3" t="str">
        <f t="shared" si="19"/>
        <v>Total hari kerja</v>
      </c>
      <c r="G258" s="12" t="s">
        <v>23</v>
      </c>
      <c r="H258" s="12">
        <v>19</v>
      </c>
      <c r="I258" s="12">
        <v>2</v>
      </c>
      <c r="J258" s="12"/>
      <c r="K258" s="12"/>
    </row>
    <row r="259" spans="1:11" x14ac:dyDescent="0.35">
      <c r="A259" s="2">
        <v>46281</v>
      </c>
      <c r="B259" s="3" t="str">
        <f t="shared" si="16"/>
        <v>Wed</v>
      </c>
      <c r="C259" s="3">
        <f t="shared" si="17"/>
        <v>38</v>
      </c>
      <c r="D259" s="3" t="str">
        <f t="shared" si="18"/>
        <v>September</v>
      </c>
      <c r="E259" s="3" t="s">
        <v>135</v>
      </c>
      <c r="F259" s="3" t="str">
        <f t="shared" si="19"/>
        <v>Total hari kerja</v>
      </c>
      <c r="G259" s="12" t="s">
        <v>23</v>
      </c>
      <c r="H259" s="12">
        <v>4</v>
      </c>
      <c r="I259" s="12">
        <v>1</v>
      </c>
      <c r="J259" s="12"/>
      <c r="K259" s="12"/>
    </row>
    <row r="260" spans="1:11" x14ac:dyDescent="0.35">
      <c r="A260" s="2">
        <v>46282</v>
      </c>
      <c r="B260" s="3" t="str">
        <f t="shared" si="16"/>
        <v>Thu</v>
      </c>
      <c r="C260" s="3">
        <f t="shared" si="17"/>
        <v>38</v>
      </c>
      <c r="D260" s="3" t="str">
        <f t="shared" si="18"/>
        <v>September</v>
      </c>
      <c r="E260" s="3" t="s">
        <v>135</v>
      </c>
      <c r="F260" s="3" t="str">
        <f t="shared" si="19"/>
        <v>Total hari kerja</v>
      </c>
      <c r="G260" s="12" t="s">
        <v>23</v>
      </c>
      <c r="H260" s="12">
        <v>16</v>
      </c>
      <c r="I260" s="12">
        <v>5</v>
      </c>
      <c r="J260" s="12"/>
      <c r="K260" s="12"/>
    </row>
    <row r="261" spans="1:11" x14ac:dyDescent="0.35">
      <c r="A261" s="2">
        <v>46283</v>
      </c>
      <c r="B261" s="3" t="str">
        <f t="shared" si="16"/>
        <v>Fri</v>
      </c>
      <c r="C261" s="3">
        <f t="shared" si="17"/>
        <v>38</v>
      </c>
      <c r="D261" s="3" t="str">
        <f t="shared" si="18"/>
        <v>September</v>
      </c>
      <c r="E261" s="3" t="s">
        <v>135</v>
      </c>
      <c r="F261" s="3" t="str">
        <f t="shared" si="19"/>
        <v>Total hari kerja</v>
      </c>
      <c r="G261" s="12" t="s">
        <v>23</v>
      </c>
      <c r="H261" s="12">
        <v>13</v>
      </c>
      <c r="I261" s="12">
        <v>4</v>
      </c>
      <c r="J261" s="12"/>
      <c r="K261" s="12"/>
    </row>
    <row r="262" spans="1:11" x14ac:dyDescent="0.35">
      <c r="A262" s="2">
        <v>46284</v>
      </c>
      <c r="B262" s="3" t="str">
        <f t="shared" si="16"/>
        <v>Sat</v>
      </c>
      <c r="C262" s="3">
        <f t="shared" si="17"/>
        <v>38</v>
      </c>
      <c r="D262" s="3" t="str">
        <f t="shared" si="18"/>
        <v>September</v>
      </c>
      <c r="E262" s="3" t="s">
        <v>135</v>
      </c>
      <c r="F262" s="3" t="str">
        <f t="shared" si="19"/>
        <v>Total hari kerja</v>
      </c>
      <c r="G262" s="12" t="s">
        <v>23</v>
      </c>
      <c r="H262" s="12">
        <v>11</v>
      </c>
      <c r="I262" s="12">
        <v>1</v>
      </c>
      <c r="J262" s="12"/>
      <c r="K262" s="12"/>
    </row>
    <row r="263" spans="1:11" x14ac:dyDescent="0.35">
      <c r="A263" s="2">
        <v>46285</v>
      </c>
      <c r="B263" s="3" t="str">
        <f t="shared" si="16"/>
        <v>Sun</v>
      </c>
      <c r="C263" s="3">
        <f t="shared" si="17"/>
        <v>39</v>
      </c>
      <c r="D263" s="3" t="str">
        <f t="shared" si="18"/>
        <v>September</v>
      </c>
      <c r="E263" s="3"/>
      <c r="F263" s="3" t="str">
        <f t="shared" si="19"/>
        <v xml:space="preserve"> </v>
      </c>
      <c r="G263" s="12" t="s">
        <v>23</v>
      </c>
      <c r="H263" s="12"/>
      <c r="I263" s="12"/>
      <c r="J263" s="12"/>
      <c r="K263" s="12"/>
    </row>
    <row r="264" spans="1:11" x14ac:dyDescent="0.35">
      <c r="A264" s="2">
        <v>46286</v>
      </c>
      <c r="B264" s="3" t="str">
        <f t="shared" si="16"/>
        <v>Mon</v>
      </c>
      <c r="C264" s="3">
        <f t="shared" si="17"/>
        <v>39</v>
      </c>
      <c r="D264" s="3" t="str">
        <f t="shared" si="18"/>
        <v>September</v>
      </c>
      <c r="E264" s="3" t="s">
        <v>135</v>
      </c>
      <c r="F264" s="3" t="str">
        <f t="shared" si="19"/>
        <v>Total hari kerja</v>
      </c>
      <c r="G264" s="12" t="s">
        <v>23</v>
      </c>
      <c r="H264" s="12">
        <v>18</v>
      </c>
      <c r="I264" s="12"/>
      <c r="J264" s="12"/>
      <c r="K264" s="12"/>
    </row>
    <row r="265" spans="1:11" x14ac:dyDescent="0.35">
      <c r="A265" s="2">
        <v>46287</v>
      </c>
      <c r="B265" s="3" t="str">
        <f t="shared" si="16"/>
        <v>Tue</v>
      </c>
      <c r="C265" s="3">
        <f t="shared" si="17"/>
        <v>39</v>
      </c>
      <c r="D265" s="3" t="str">
        <f t="shared" si="18"/>
        <v>September</v>
      </c>
      <c r="E265" s="3" t="s">
        <v>135</v>
      </c>
      <c r="F265" s="3" t="str">
        <f t="shared" si="19"/>
        <v>Total hari kerja</v>
      </c>
      <c r="G265" s="12" t="s">
        <v>23</v>
      </c>
      <c r="H265" s="12">
        <v>12</v>
      </c>
      <c r="I265" s="12">
        <v>2</v>
      </c>
      <c r="J265" s="12"/>
      <c r="K265" s="12"/>
    </row>
    <row r="266" spans="1:11" x14ac:dyDescent="0.35">
      <c r="A266" s="2">
        <v>46288</v>
      </c>
      <c r="B266" s="3" t="str">
        <f t="shared" si="16"/>
        <v>Wed</v>
      </c>
      <c r="C266" s="3">
        <f t="shared" si="17"/>
        <v>39</v>
      </c>
      <c r="D266" s="3" t="str">
        <f t="shared" si="18"/>
        <v>September</v>
      </c>
      <c r="E266" s="3" t="s">
        <v>135</v>
      </c>
      <c r="F266" s="3" t="str">
        <f t="shared" si="19"/>
        <v>Total hari kerja</v>
      </c>
      <c r="G266" s="12" t="s">
        <v>23</v>
      </c>
      <c r="H266" s="12">
        <v>5</v>
      </c>
      <c r="I266" s="12">
        <v>5</v>
      </c>
      <c r="J266" s="12"/>
      <c r="K266" s="12"/>
    </row>
    <row r="267" spans="1:11" x14ac:dyDescent="0.35">
      <c r="A267" s="2">
        <v>46289</v>
      </c>
      <c r="B267" s="3" t="str">
        <f t="shared" si="16"/>
        <v>Thu</v>
      </c>
      <c r="C267" s="3">
        <f t="shared" si="17"/>
        <v>39</v>
      </c>
      <c r="D267" s="3" t="str">
        <f t="shared" si="18"/>
        <v>September</v>
      </c>
      <c r="E267" s="3" t="s">
        <v>135</v>
      </c>
      <c r="F267" s="3" t="str">
        <f t="shared" si="19"/>
        <v>Total hari kerja</v>
      </c>
      <c r="G267" s="12" t="s">
        <v>23</v>
      </c>
      <c r="H267" s="12">
        <v>12</v>
      </c>
      <c r="I267" s="12">
        <v>8</v>
      </c>
      <c r="J267" s="12"/>
      <c r="K267" s="12"/>
    </row>
    <row r="268" spans="1:11" x14ac:dyDescent="0.35">
      <c r="A268" s="2">
        <v>46290</v>
      </c>
      <c r="B268" s="3" t="str">
        <f t="shared" si="16"/>
        <v>Fri</v>
      </c>
      <c r="C268" s="3">
        <f t="shared" si="17"/>
        <v>39</v>
      </c>
      <c r="D268" s="3" t="str">
        <f t="shared" si="18"/>
        <v>September</v>
      </c>
      <c r="E268" s="3" t="s">
        <v>135</v>
      </c>
      <c r="F268" s="3" t="str">
        <f t="shared" si="19"/>
        <v>Total hari kerja</v>
      </c>
      <c r="G268" s="12" t="s">
        <v>23</v>
      </c>
      <c r="H268" s="12">
        <v>5</v>
      </c>
      <c r="I268" s="12">
        <v>6</v>
      </c>
      <c r="J268" s="12"/>
      <c r="K268" s="12"/>
    </row>
    <row r="269" spans="1:11" x14ac:dyDescent="0.35">
      <c r="A269" s="2">
        <v>46291</v>
      </c>
      <c r="B269" s="3" t="str">
        <f t="shared" si="16"/>
        <v>Sat</v>
      </c>
      <c r="C269" s="3">
        <f t="shared" si="17"/>
        <v>39</v>
      </c>
      <c r="D269" s="3" t="str">
        <f t="shared" si="18"/>
        <v>September</v>
      </c>
      <c r="E269" s="3" t="s">
        <v>135</v>
      </c>
      <c r="F269" s="3" t="str">
        <f t="shared" si="19"/>
        <v>Total hari kerja</v>
      </c>
      <c r="G269" s="12" t="s">
        <v>23</v>
      </c>
      <c r="H269" s="12">
        <v>4</v>
      </c>
      <c r="I269" s="12">
        <v>2</v>
      </c>
      <c r="J269" s="12"/>
      <c r="K269" s="12"/>
    </row>
    <row r="270" spans="1:11" x14ac:dyDescent="0.35">
      <c r="A270" s="2">
        <v>46292</v>
      </c>
      <c r="B270" s="3" t="str">
        <f t="shared" si="16"/>
        <v>Sun</v>
      </c>
      <c r="C270" s="3">
        <f t="shared" si="17"/>
        <v>40</v>
      </c>
      <c r="D270" s="3" t="str">
        <f t="shared" si="18"/>
        <v>September</v>
      </c>
      <c r="E270" s="3"/>
      <c r="F270" s="3" t="str">
        <f t="shared" si="19"/>
        <v xml:space="preserve"> </v>
      </c>
      <c r="G270" s="12" t="s">
        <v>23</v>
      </c>
      <c r="H270" s="12"/>
      <c r="I270" s="12"/>
      <c r="J270" s="12"/>
      <c r="K270" s="12"/>
    </row>
    <row r="271" spans="1:11" x14ac:dyDescent="0.35">
      <c r="A271" s="2">
        <v>46293</v>
      </c>
      <c r="B271" s="3" t="str">
        <f t="shared" si="16"/>
        <v>Mon</v>
      </c>
      <c r="C271" s="3">
        <f t="shared" si="17"/>
        <v>40</v>
      </c>
      <c r="D271" s="3" t="str">
        <f t="shared" si="18"/>
        <v>September</v>
      </c>
      <c r="E271" s="3" t="s">
        <v>135</v>
      </c>
      <c r="F271" s="3" t="str">
        <f t="shared" si="19"/>
        <v>Total hari kerja</v>
      </c>
      <c r="G271" s="12" t="s">
        <v>23</v>
      </c>
      <c r="H271" s="12">
        <v>13</v>
      </c>
      <c r="I271" s="12"/>
      <c r="J271" s="12"/>
      <c r="K271" s="12"/>
    </row>
    <row r="272" spans="1:11" x14ac:dyDescent="0.35">
      <c r="A272" s="2">
        <v>46294</v>
      </c>
      <c r="B272" s="3" t="str">
        <f t="shared" si="16"/>
        <v>Tue</v>
      </c>
      <c r="C272" s="3">
        <f t="shared" si="17"/>
        <v>40</v>
      </c>
      <c r="D272" s="3" t="str">
        <f t="shared" si="18"/>
        <v>September</v>
      </c>
      <c r="E272" s="3" t="s">
        <v>135</v>
      </c>
      <c r="F272" s="3" t="str">
        <f t="shared" si="19"/>
        <v>Total hari kerja</v>
      </c>
      <c r="G272" s="12" t="s">
        <v>23</v>
      </c>
      <c r="H272" s="12"/>
      <c r="I272" s="12"/>
      <c r="J272" s="12"/>
      <c r="K272" s="12"/>
    </row>
    <row r="273" spans="1:11" x14ac:dyDescent="0.35">
      <c r="A273" s="2">
        <v>46295</v>
      </c>
      <c r="B273" s="3" t="str">
        <f t="shared" si="16"/>
        <v>Wed</v>
      </c>
      <c r="C273" s="3">
        <f t="shared" si="17"/>
        <v>40</v>
      </c>
      <c r="D273" s="3" t="str">
        <f t="shared" si="18"/>
        <v>September</v>
      </c>
      <c r="E273" s="3" t="s">
        <v>135</v>
      </c>
      <c r="F273" s="3" t="str">
        <f t="shared" si="19"/>
        <v>Total hari kerja</v>
      </c>
      <c r="G273" s="12" t="s">
        <v>23</v>
      </c>
      <c r="H273" s="12"/>
      <c r="I273" s="12"/>
      <c r="J273" s="12"/>
      <c r="K273" s="12"/>
    </row>
    <row r="274" spans="1:11" x14ac:dyDescent="0.35">
      <c r="A274" s="2">
        <v>46296</v>
      </c>
      <c r="B274" s="3" t="str">
        <f t="shared" si="16"/>
        <v>Thu</v>
      </c>
      <c r="C274" s="3">
        <f t="shared" si="17"/>
        <v>40</v>
      </c>
      <c r="D274" s="3" t="str">
        <f t="shared" si="18"/>
        <v>October</v>
      </c>
      <c r="E274" s="3"/>
      <c r="F274" s="3" t="str">
        <f t="shared" si="19"/>
        <v xml:space="preserve"> </v>
      </c>
      <c r="G274" s="12" t="s">
        <v>23</v>
      </c>
      <c r="H274" s="12"/>
      <c r="I274" s="12"/>
      <c r="J274" s="12"/>
      <c r="K274" s="12"/>
    </row>
    <row r="275" spans="1:11" x14ac:dyDescent="0.35">
      <c r="A275" s="2">
        <v>46297</v>
      </c>
      <c r="B275" s="3" t="str">
        <f t="shared" si="16"/>
        <v>Fri</v>
      </c>
      <c r="C275" s="3">
        <f t="shared" si="17"/>
        <v>40</v>
      </c>
      <c r="D275" s="3" t="str">
        <f t="shared" si="18"/>
        <v>October</v>
      </c>
      <c r="E275" s="3"/>
      <c r="F275" s="3" t="str">
        <f t="shared" si="19"/>
        <v xml:space="preserve"> </v>
      </c>
      <c r="G275" s="12" t="s">
        <v>23</v>
      </c>
      <c r="H275" s="12"/>
      <c r="I275" s="12"/>
      <c r="J275" s="12"/>
      <c r="K275" s="12"/>
    </row>
    <row r="276" spans="1:11" x14ac:dyDescent="0.35">
      <c r="A276" s="2">
        <v>46298</v>
      </c>
      <c r="B276" s="3" t="str">
        <f t="shared" si="16"/>
        <v>Sat</v>
      </c>
      <c r="C276" s="3">
        <f t="shared" si="17"/>
        <v>40</v>
      </c>
      <c r="D276" s="3" t="str">
        <f t="shared" si="18"/>
        <v>October</v>
      </c>
      <c r="E276" s="3"/>
      <c r="F276" s="3" t="str">
        <f t="shared" si="19"/>
        <v xml:space="preserve"> </v>
      </c>
      <c r="G276" s="12" t="s">
        <v>23</v>
      </c>
      <c r="H276" s="12"/>
      <c r="I276" s="12"/>
      <c r="J276" s="12"/>
      <c r="K276" s="12"/>
    </row>
    <row r="277" spans="1:11" x14ac:dyDescent="0.35">
      <c r="A277" s="2">
        <v>46299</v>
      </c>
      <c r="B277" s="3" t="str">
        <f t="shared" si="16"/>
        <v>Sun</v>
      </c>
      <c r="C277" s="3">
        <f t="shared" si="17"/>
        <v>41</v>
      </c>
      <c r="D277" s="3" t="str">
        <f t="shared" si="18"/>
        <v>October</v>
      </c>
      <c r="E277" s="3"/>
      <c r="F277" s="3" t="str">
        <f t="shared" si="19"/>
        <v xml:space="preserve"> </v>
      </c>
      <c r="G277" s="12" t="s">
        <v>23</v>
      </c>
      <c r="H277" s="12"/>
      <c r="I277" s="12"/>
      <c r="J277" s="12"/>
      <c r="K277" s="12"/>
    </row>
    <row r="278" spans="1:11" x14ac:dyDescent="0.35">
      <c r="A278" s="2">
        <v>46300</v>
      </c>
      <c r="B278" s="3" t="str">
        <f t="shared" si="16"/>
        <v>Mon</v>
      </c>
      <c r="C278" s="3">
        <f t="shared" si="17"/>
        <v>41</v>
      </c>
      <c r="D278" s="3" t="str">
        <f t="shared" si="18"/>
        <v>October</v>
      </c>
      <c r="E278" s="3"/>
      <c r="F278" s="3" t="str">
        <f t="shared" si="19"/>
        <v xml:space="preserve"> </v>
      </c>
      <c r="G278" s="12" t="s">
        <v>23</v>
      </c>
      <c r="H278" s="12"/>
      <c r="I278" s="12"/>
      <c r="J278" s="12"/>
      <c r="K278" s="12"/>
    </row>
    <row r="279" spans="1:11" x14ac:dyDescent="0.35">
      <c r="A279" s="2">
        <v>46301</v>
      </c>
      <c r="B279" s="3" t="str">
        <f t="shared" si="16"/>
        <v>Tue</v>
      </c>
      <c r="C279" s="3">
        <f t="shared" si="17"/>
        <v>41</v>
      </c>
      <c r="D279" s="3" t="str">
        <f t="shared" si="18"/>
        <v>October</v>
      </c>
      <c r="E279" s="3"/>
      <c r="F279" s="3" t="str">
        <f t="shared" si="19"/>
        <v xml:space="preserve"> </v>
      </c>
      <c r="G279" s="12" t="s">
        <v>23</v>
      </c>
      <c r="H279" s="12"/>
      <c r="I279" s="12"/>
      <c r="J279" s="12"/>
      <c r="K279" s="12"/>
    </row>
    <row r="280" spans="1:11" x14ac:dyDescent="0.35">
      <c r="A280" s="2">
        <v>46302</v>
      </c>
      <c r="B280" s="3" t="str">
        <f t="shared" si="16"/>
        <v>Wed</v>
      </c>
      <c r="C280" s="3">
        <f t="shared" si="17"/>
        <v>41</v>
      </c>
      <c r="D280" s="3" t="str">
        <f t="shared" si="18"/>
        <v>October</v>
      </c>
      <c r="E280" s="3"/>
      <c r="F280" s="3" t="str">
        <f t="shared" si="19"/>
        <v xml:space="preserve"> </v>
      </c>
      <c r="G280" s="12" t="s">
        <v>23</v>
      </c>
      <c r="H280" s="12"/>
      <c r="I280" s="12"/>
      <c r="J280" s="12"/>
      <c r="K280" s="12"/>
    </row>
    <row r="281" spans="1:11" x14ac:dyDescent="0.35">
      <c r="A281" s="2">
        <v>46303</v>
      </c>
      <c r="B281" s="3" t="str">
        <f t="shared" si="16"/>
        <v>Thu</v>
      </c>
      <c r="C281" s="3">
        <f t="shared" si="17"/>
        <v>41</v>
      </c>
      <c r="D281" s="3" t="str">
        <f t="shared" si="18"/>
        <v>October</v>
      </c>
      <c r="E281" s="3"/>
      <c r="F281" s="3" t="str">
        <f t="shared" si="19"/>
        <v xml:space="preserve"> </v>
      </c>
      <c r="G281" s="12" t="s">
        <v>23</v>
      </c>
      <c r="H281" s="12"/>
      <c r="I281" s="12"/>
      <c r="J281" s="12"/>
      <c r="K281" s="12"/>
    </row>
    <row r="282" spans="1:11" x14ac:dyDescent="0.35">
      <c r="A282" s="2">
        <v>46304</v>
      </c>
      <c r="B282" s="3" t="str">
        <f t="shared" si="16"/>
        <v>Fri</v>
      </c>
      <c r="C282" s="3">
        <f t="shared" si="17"/>
        <v>41</v>
      </c>
      <c r="D282" s="3" t="str">
        <f t="shared" si="18"/>
        <v>October</v>
      </c>
      <c r="E282" s="3"/>
      <c r="F282" s="3" t="str">
        <f t="shared" si="19"/>
        <v xml:space="preserve"> </v>
      </c>
      <c r="G282" s="12" t="s">
        <v>23</v>
      </c>
      <c r="H282" s="12"/>
      <c r="I282" s="12"/>
      <c r="J282" s="12"/>
      <c r="K282" s="12"/>
    </row>
    <row r="283" spans="1:11" x14ac:dyDescent="0.35">
      <c r="A283" s="2">
        <v>46305</v>
      </c>
      <c r="B283" s="3" t="str">
        <f t="shared" si="16"/>
        <v>Sat</v>
      </c>
      <c r="C283" s="3">
        <f t="shared" si="17"/>
        <v>41</v>
      </c>
      <c r="D283" s="3" t="str">
        <f t="shared" si="18"/>
        <v>October</v>
      </c>
      <c r="E283" s="3"/>
      <c r="F283" s="3" t="str">
        <f t="shared" si="19"/>
        <v xml:space="preserve"> </v>
      </c>
      <c r="G283" s="12" t="s">
        <v>23</v>
      </c>
      <c r="H283" s="12"/>
      <c r="I283" s="12"/>
      <c r="J283" s="12"/>
      <c r="K283" s="12"/>
    </row>
    <row r="284" spans="1:11" x14ac:dyDescent="0.35">
      <c r="A284" s="2">
        <v>46306</v>
      </c>
      <c r="B284" s="3" t="str">
        <f t="shared" si="16"/>
        <v>Sun</v>
      </c>
      <c r="C284" s="3">
        <f t="shared" si="17"/>
        <v>42</v>
      </c>
      <c r="D284" s="3" t="str">
        <f t="shared" si="18"/>
        <v>October</v>
      </c>
      <c r="E284" s="3"/>
      <c r="F284" s="3" t="str">
        <f t="shared" si="19"/>
        <v xml:space="preserve"> </v>
      </c>
      <c r="G284" s="12" t="s">
        <v>23</v>
      </c>
      <c r="H284" s="12"/>
      <c r="I284" s="12"/>
      <c r="J284" s="12"/>
      <c r="K284" s="12"/>
    </row>
    <row r="285" spans="1:11" x14ac:dyDescent="0.35">
      <c r="A285" s="2">
        <v>46307</v>
      </c>
      <c r="B285" s="3" t="str">
        <f t="shared" si="16"/>
        <v>Mon</v>
      </c>
      <c r="C285" s="3">
        <f t="shared" si="17"/>
        <v>42</v>
      </c>
      <c r="D285" s="3" t="str">
        <f t="shared" si="18"/>
        <v>October</v>
      </c>
      <c r="E285" s="3"/>
      <c r="F285" s="3" t="str">
        <f t="shared" si="19"/>
        <v xml:space="preserve"> </v>
      </c>
      <c r="G285" s="12" t="s">
        <v>23</v>
      </c>
      <c r="H285" s="12"/>
      <c r="I285" s="12"/>
      <c r="J285" s="12"/>
      <c r="K285" s="12"/>
    </row>
    <row r="286" spans="1:11" x14ac:dyDescent="0.35">
      <c r="A286" s="2">
        <v>46308</v>
      </c>
      <c r="B286" s="3" t="str">
        <f t="shared" si="16"/>
        <v>Tue</v>
      </c>
      <c r="C286" s="3">
        <f t="shared" si="17"/>
        <v>42</v>
      </c>
      <c r="D286" s="3" t="str">
        <f t="shared" si="18"/>
        <v>October</v>
      </c>
      <c r="E286" s="3"/>
      <c r="F286" s="3" t="str">
        <f t="shared" si="19"/>
        <v xml:space="preserve"> </v>
      </c>
      <c r="G286" s="12" t="s">
        <v>23</v>
      </c>
      <c r="H286" s="12"/>
      <c r="I286" s="12"/>
      <c r="J286" s="12"/>
      <c r="K286" s="12"/>
    </row>
    <row r="287" spans="1:11" x14ac:dyDescent="0.35">
      <c r="A287" s="2">
        <v>46309</v>
      </c>
      <c r="B287" s="3" t="str">
        <f t="shared" si="16"/>
        <v>Wed</v>
      </c>
      <c r="C287" s="3">
        <f t="shared" si="17"/>
        <v>42</v>
      </c>
      <c r="D287" s="3" t="str">
        <f t="shared" si="18"/>
        <v>October</v>
      </c>
      <c r="E287" s="3"/>
      <c r="F287" s="3" t="str">
        <f t="shared" si="19"/>
        <v xml:space="preserve"> </v>
      </c>
      <c r="G287" s="12" t="s">
        <v>23</v>
      </c>
      <c r="H287" s="12"/>
      <c r="I287" s="12"/>
      <c r="J287" s="12"/>
      <c r="K287" s="12"/>
    </row>
    <row r="288" spans="1:11" x14ac:dyDescent="0.35">
      <c r="A288" s="2">
        <v>46310</v>
      </c>
      <c r="B288" s="3" t="str">
        <f t="shared" si="16"/>
        <v>Thu</v>
      </c>
      <c r="C288" s="3">
        <f t="shared" si="17"/>
        <v>42</v>
      </c>
      <c r="D288" s="3" t="str">
        <f t="shared" si="18"/>
        <v>October</v>
      </c>
      <c r="E288" s="3"/>
      <c r="F288" s="3" t="str">
        <f t="shared" si="19"/>
        <v xml:space="preserve"> </v>
      </c>
      <c r="G288" s="12" t="s">
        <v>23</v>
      </c>
      <c r="H288" s="12"/>
      <c r="I288" s="12"/>
      <c r="J288" s="12"/>
      <c r="K288" s="12"/>
    </row>
    <row r="289" spans="1:12" x14ac:dyDescent="0.35">
      <c r="A289" s="2">
        <v>46311</v>
      </c>
      <c r="B289" s="3" t="str">
        <f t="shared" si="16"/>
        <v>Fri</v>
      </c>
      <c r="C289" s="3">
        <f t="shared" si="17"/>
        <v>42</v>
      </c>
      <c r="D289" s="3" t="str">
        <f t="shared" si="18"/>
        <v>October</v>
      </c>
      <c r="E289" s="3"/>
      <c r="F289" s="3" t="str">
        <f t="shared" si="19"/>
        <v xml:space="preserve"> </v>
      </c>
      <c r="G289" s="12" t="s">
        <v>23</v>
      </c>
      <c r="H289" s="12"/>
      <c r="I289" s="12"/>
      <c r="J289" s="12"/>
      <c r="K289" s="12"/>
    </row>
    <row r="290" spans="1:12" x14ac:dyDescent="0.35">
      <c r="A290" s="2">
        <v>46312</v>
      </c>
      <c r="B290" s="3" t="str">
        <f t="shared" si="16"/>
        <v>Sat</v>
      </c>
      <c r="C290" s="3">
        <f t="shared" si="17"/>
        <v>42</v>
      </c>
      <c r="D290" s="3" t="str">
        <f t="shared" si="18"/>
        <v>October</v>
      </c>
      <c r="E290" s="3"/>
      <c r="F290" s="3" t="str">
        <f t="shared" si="19"/>
        <v xml:space="preserve"> </v>
      </c>
      <c r="G290" s="12" t="s">
        <v>23</v>
      </c>
      <c r="H290" s="12"/>
      <c r="I290" s="12"/>
      <c r="J290" s="12"/>
      <c r="K290" s="12"/>
    </row>
    <row r="291" spans="1:12" x14ac:dyDescent="0.35">
      <c r="A291" s="2">
        <v>46313</v>
      </c>
      <c r="B291" s="3" t="str">
        <f t="shared" si="16"/>
        <v>Sun</v>
      </c>
      <c r="C291" s="3">
        <f t="shared" si="17"/>
        <v>43</v>
      </c>
      <c r="D291" s="3" t="str">
        <f t="shared" si="18"/>
        <v>October</v>
      </c>
      <c r="E291" s="3"/>
      <c r="F291" s="3" t="str">
        <f t="shared" si="19"/>
        <v xml:space="preserve"> </v>
      </c>
      <c r="G291" s="12" t="s">
        <v>23</v>
      </c>
      <c r="H291" s="12"/>
      <c r="I291" s="12"/>
      <c r="J291" s="12"/>
      <c r="K291" s="12"/>
      <c r="L291" t="s">
        <v>146</v>
      </c>
    </row>
    <row r="292" spans="1:12" x14ac:dyDescent="0.35">
      <c r="A292" s="2">
        <v>46314</v>
      </c>
      <c r="B292" s="3" t="str">
        <f t="shared" si="16"/>
        <v>Mon</v>
      </c>
      <c r="C292" s="3">
        <f t="shared" si="17"/>
        <v>43</v>
      </c>
      <c r="D292" s="3" t="str">
        <f t="shared" si="18"/>
        <v>October</v>
      </c>
      <c r="E292" s="3"/>
      <c r="F292" s="3" t="str">
        <f t="shared" si="19"/>
        <v xml:space="preserve"> </v>
      </c>
      <c r="G292" s="12" t="s">
        <v>23</v>
      </c>
      <c r="H292" s="12"/>
      <c r="I292" s="12"/>
      <c r="J292" s="12"/>
      <c r="K292" s="12"/>
    </row>
    <row r="293" spans="1:12" x14ac:dyDescent="0.35">
      <c r="A293" s="2">
        <v>46315</v>
      </c>
      <c r="B293" s="3" t="str">
        <f t="shared" si="16"/>
        <v>Tue</v>
      </c>
      <c r="C293" s="3">
        <f t="shared" si="17"/>
        <v>43</v>
      </c>
      <c r="D293" s="3" t="str">
        <f t="shared" si="18"/>
        <v>October</v>
      </c>
      <c r="E293" s="3"/>
      <c r="F293" s="3" t="str">
        <f t="shared" si="19"/>
        <v xml:space="preserve"> </v>
      </c>
      <c r="G293" s="12" t="s">
        <v>23</v>
      </c>
      <c r="H293" s="12"/>
      <c r="I293" s="12"/>
      <c r="J293" s="12"/>
      <c r="K293" s="12"/>
    </row>
    <row r="294" spans="1:12" x14ac:dyDescent="0.35">
      <c r="A294" s="2">
        <v>46316</v>
      </c>
      <c r="B294" s="3" t="str">
        <f t="shared" si="16"/>
        <v>Wed</v>
      </c>
      <c r="C294" s="3">
        <f t="shared" si="17"/>
        <v>43</v>
      </c>
      <c r="D294" s="3" t="str">
        <f t="shared" si="18"/>
        <v>October</v>
      </c>
      <c r="E294" s="3"/>
      <c r="F294" s="3" t="str">
        <f t="shared" si="19"/>
        <v xml:space="preserve"> </v>
      </c>
      <c r="G294" s="12" t="s">
        <v>23</v>
      </c>
      <c r="H294" s="12"/>
      <c r="I294" s="12"/>
      <c r="J294" s="12"/>
      <c r="K294" s="12"/>
    </row>
    <row r="295" spans="1:12" x14ac:dyDescent="0.35">
      <c r="A295" s="2">
        <v>46317</v>
      </c>
      <c r="B295" s="3" t="str">
        <f t="shared" si="16"/>
        <v>Thu</v>
      </c>
      <c r="C295" s="3">
        <f t="shared" si="17"/>
        <v>43</v>
      </c>
      <c r="D295" s="3" t="str">
        <f t="shared" si="18"/>
        <v>October</v>
      </c>
      <c r="E295" s="3"/>
      <c r="F295" s="3" t="str">
        <f t="shared" si="19"/>
        <v xml:space="preserve"> </v>
      </c>
      <c r="G295" s="12" t="s">
        <v>23</v>
      </c>
      <c r="H295" s="12"/>
      <c r="I295" s="12"/>
      <c r="J295" s="12"/>
      <c r="K295" s="12"/>
    </row>
    <row r="296" spans="1:12" x14ac:dyDescent="0.35">
      <c r="A296" s="2">
        <v>46318</v>
      </c>
      <c r="B296" s="3" t="str">
        <f t="shared" si="16"/>
        <v>Fri</v>
      </c>
      <c r="C296" s="3">
        <f t="shared" si="17"/>
        <v>43</v>
      </c>
      <c r="D296" s="3" t="str">
        <f t="shared" si="18"/>
        <v>October</v>
      </c>
      <c r="E296" s="3"/>
      <c r="F296" s="3" t="str">
        <f t="shared" si="19"/>
        <v xml:space="preserve"> </v>
      </c>
      <c r="G296" s="12" t="s">
        <v>23</v>
      </c>
      <c r="H296" s="12"/>
      <c r="I296" s="12"/>
      <c r="J296" s="12"/>
      <c r="K296" s="12"/>
    </row>
    <row r="297" spans="1:12" x14ac:dyDescent="0.35">
      <c r="A297" s="2">
        <v>46319</v>
      </c>
      <c r="B297" s="3" t="str">
        <f t="shared" si="16"/>
        <v>Sat</v>
      </c>
      <c r="C297" s="3">
        <f t="shared" si="17"/>
        <v>43</v>
      </c>
      <c r="D297" s="3" t="str">
        <f t="shared" si="18"/>
        <v>October</v>
      </c>
      <c r="E297" s="3"/>
      <c r="F297" s="3" t="str">
        <f t="shared" si="19"/>
        <v xml:space="preserve"> </v>
      </c>
      <c r="G297" s="12" t="s">
        <v>23</v>
      </c>
      <c r="H297" s="12"/>
      <c r="I297" s="12"/>
      <c r="J297" s="12"/>
      <c r="K297" s="12"/>
    </row>
    <row r="298" spans="1:12" x14ac:dyDescent="0.35">
      <c r="A298" s="2">
        <v>46320</v>
      </c>
      <c r="B298" s="3" t="str">
        <f t="shared" si="16"/>
        <v>Sun</v>
      </c>
      <c r="C298" s="3">
        <f t="shared" si="17"/>
        <v>44</v>
      </c>
      <c r="D298" s="3" t="str">
        <f t="shared" si="18"/>
        <v>October</v>
      </c>
      <c r="E298" s="3"/>
      <c r="F298" s="3" t="str">
        <f t="shared" si="19"/>
        <v xml:space="preserve"> </v>
      </c>
      <c r="G298" s="12" t="s">
        <v>23</v>
      </c>
      <c r="H298" s="12"/>
      <c r="I298" s="12"/>
      <c r="J298" s="12"/>
      <c r="K298" s="12"/>
    </row>
    <row r="299" spans="1:12" x14ac:dyDescent="0.35">
      <c r="A299" s="2">
        <v>46321</v>
      </c>
      <c r="B299" s="3" t="str">
        <f t="shared" si="16"/>
        <v>Mon</v>
      </c>
      <c r="C299" s="3">
        <f t="shared" si="17"/>
        <v>44</v>
      </c>
      <c r="D299" s="3" t="str">
        <f t="shared" si="18"/>
        <v>October</v>
      </c>
      <c r="E299" s="3"/>
      <c r="F299" s="3" t="str">
        <f t="shared" si="19"/>
        <v xml:space="preserve"> </v>
      </c>
      <c r="G299" s="12" t="s">
        <v>23</v>
      </c>
      <c r="H299" s="12"/>
      <c r="I299" s="12"/>
      <c r="J299" s="12"/>
      <c r="K299" s="12"/>
    </row>
    <row r="300" spans="1:12" x14ac:dyDescent="0.35">
      <c r="A300" s="2">
        <v>46322</v>
      </c>
      <c r="B300" s="3" t="str">
        <f t="shared" si="16"/>
        <v>Tue</v>
      </c>
      <c r="C300" s="3">
        <f t="shared" si="17"/>
        <v>44</v>
      </c>
      <c r="D300" s="3" t="str">
        <f t="shared" si="18"/>
        <v>October</v>
      </c>
      <c r="E300" s="3"/>
      <c r="F300" s="3" t="str">
        <f t="shared" si="19"/>
        <v xml:space="preserve"> </v>
      </c>
      <c r="G300" s="12" t="s">
        <v>23</v>
      </c>
      <c r="H300" s="12"/>
      <c r="I300" s="12"/>
      <c r="J300" s="12"/>
      <c r="K300" s="12"/>
    </row>
    <row r="301" spans="1:12" x14ac:dyDescent="0.35">
      <c r="A301" s="2">
        <v>46323</v>
      </c>
      <c r="B301" s="3" t="str">
        <f t="shared" si="16"/>
        <v>Wed</v>
      </c>
      <c r="C301" s="3">
        <f t="shared" si="17"/>
        <v>44</v>
      </c>
      <c r="D301" s="3" t="str">
        <f t="shared" si="18"/>
        <v>October</v>
      </c>
      <c r="E301" s="3"/>
      <c r="F301" s="3" t="str">
        <f t="shared" si="19"/>
        <v xml:space="preserve"> </v>
      </c>
      <c r="G301" s="12" t="s">
        <v>23</v>
      </c>
      <c r="H301" s="12"/>
      <c r="I301" s="12"/>
      <c r="J301" s="12"/>
      <c r="K301" s="12"/>
    </row>
    <row r="302" spans="1:12" x14ac:dyDescent="0.35">
      <c r="A302" s="2">
        <v>46324</v>
      </c>
      <c r="B302" s="3" t="str">
        <f t="shared" si="16"/>
        <v>Thu</v>
      </c>
      <c r="C302" s="3">
        <f t="shared" si="17"/>
        <v>44</v>
      </c>
      <c r="D302" s="3" t="str">
        <f t="shared" si="18"/>
        <v>October</v>
      </c>
      <c r="E302" s="3"/>
      <c r="F302" s="3" t="str">
        <f t="shared" si="19"/>
        <v xml:space="preserve"> </v>
      </c>
      <c r="G302" s="12" t="s">
        <v>23</v>
      </c>
      <c r="H302" s="12"/>
      <c r="I302" s="12"/>
      <c r="J302" s="12"/>
      <c r="K302" s="12"/>
    </row>
    <row r="303" spans="1:12" x14ac:dyDescent="0.35">
      <c r="A303" s="2">
        <v>46325</v>
      </c>
      <c r="B303" s="3" t="str">
        <f t="shared" si="16"/>
        <v>Fri</v>
      </c>
      <c r="C303" s="3">
        <f t="shared" si="17"/>
        <v>44</v>
      </c>
      <c r="D303" s="3" t="str">
        <f t="shared" si="18"/>
        <v>October</v>
      </c>
      <c r="E303" s="3"/>
      <c r="F303" s="3" t="str">
        <f t="shared" si="19"/>
        <v xml:space="preserve"> </v>
      </c>
      <c r="G303" s="12" t="s">
        <v>23</v>
      </c>
      <c r="H303" s="12"/>
      <c r="I303" s="12"/>
      <c r="J303" s="12"/>
      <c r="K303" s="12"/>
    </row>
    <row r="304" spans="1:12" x14ac:dyDescent="0.35">
      <c r="A304" s="2">
        <v>46326</v>
      </c>
      <c r="B304" s="3" t="str">
        <f t="shared" si="16"/>
        <v>Sat</v>
      </c>
      <c r="C304" s="3">
        <f t="shared" si="17"/>
        <v>44</v>
      </c>
      <c r="D304" s="3" t="str">
        <f t="shared" si="18"/>
        <v>October</v>
      </c>
      <c r="E304" s="3"/>
      <c r="F304" s="3" t="str">
        <f t="shared" si="19"/>
        <v xml:space="preserve"> </v>
      </c>
      <c r="G304" s="12" t="s">
        <v>23</v>
      </c>
      <c r="H304" s="12"/>
      <c r="I304" s="12"/>
      <c r="J304" s="12"/>
      <c r="K304" s="12"/>
    </row>
    <row r="305" spans="1:11" x14ac:dyDescent="0.35">
      <c r="A305" s="2">
        <v>46327</v>
      </c>
      <c r="B305" s="3" t="str">
        <f t="shared" ref="B305:B349" si="20">TEXT(A305,"DDD")</f>
        <v>Sun</v>
      </c>
      <c r="C305" s="3">
        <f t="shared" ref="C305:C349" si="21">WEEKNUM(A305)</f>
        <v>45</v>
      </c>
      <c r="D305" s="3" t="str">
        <f t="shared" ref="D305:D349" si="22">TEXT(A305,"mmmm")</f>
        <v>November</v>
      </c>
      <c r="E305" s="3"/>
      <c r="F305" s="3" t="str">
        <f t="shared" si="19"/>
        <v xml:space="preserve"> </v>
      </c>
      <c r="G305" s="12" t="s">
        <v>23</v>
      </c>
      <c r="H305" s="12"/>
      <c r="I305" s="12"/>
      <c r="J305" s="12"/>
      <c r="K305" s="12"/>
    </row>
    <row r="306" spans="1:11" x14ac:dyDescent="0.35">
      <c r="A306" s="2">
        <v>46328</v>
      </c>
      <c r="B306" s="3" t="str">
        <f t="shared" si="20"/>
        <v>Mon</v>
      </c>
      <c r="C306" s="3">
        <f t="shared" si="21"/>
        <v>45</v>
      </c>
      <c r="D306" s="3" t="str">
        <f t="shared" si="22"/>
        <v>November</v>
      </c>
      <c r="E306" s="3"/>
      <c r="F306" s="3" t="str">
        <f t="shared" ref="F306:F349" si="23">IF(E306="J1",$O$3,IF(E306="J2",$O$4,IF(E306="J3",$O$5,IF(E306="J4",$O$6,IF(E306="J5",$O$7," ")))))</f>
        <v xml:space="preserve"> </v>
      </c>
      <c r="G306" s="12" t="s">
        <v>23</v>
      </c>
      <c r="H306" s="12"/>
      <c r="I306" s="12"/>
      <c r="J306" s="12"/>
      <c r="K306" s="12"/>
    </row>
    <row r="307" spans="1:11" x14ac:dyDescent="0.35">
      <c r="A307" s="2">
        <v>46329</v>
      </c>
      <c r="B307" s="3" t="str">
        <f t="shared" si="20"/>
        <v>Tue</v>
      </c>
      <c r="C307" s="3">
        <f t="shared" si="21"/>
        <v>45</v>
      </c>
      <c r="D307" s="3" t="str">
        <f t="shared" si="22"/>
        <v>November</v>
      </c>
      <c r="E307" s="3"/>
      <c r="F307" s="3" t="str">
        <f t="shared" si="23"/>
        <v xml:space="preserve"> </v>
      </c>
      <c r="G307" s="12" t="s">
        <v>23</v>
      </c>
      <c r="H307" s="12"/>
      <c r="I307" s="12"/>
      <c r="J307" s="12"/>
      <c r="K307" s="12"/>
    </row>
    <row r="308" spans="1:11" x14ac:dyDescent="0.35">
      <c r="A308" s="2">
        <v>46330</v>
      </c>
      <c r="B308" s="3" t="str">
        <f t="shared" si="20"/>
        <v>Wed</v>
      </c>
      <c r="C308" s="3">
        <f t="shared" si="21"/>
        <v>45</v>
      </c>
      <c r="D308" s="3" t="str">
        <f t="shared" si="22"/>
        <v>November</v>
      </c>
      <c r="E308" s="3"/>
      <c r="F308" s="3" t="str">
        <f t="shared" si="23"/>
        <v xml:space="preserve"> </v>
      </c>
      <c r="G308" s="12" t="s">
        <v>23</v>
      </c>
      <c r="H308" s="12"/>
      <c r="I308" s="12"/>
      <c r="J308" s="12"/>
      <c r="K308" s="12"/>
    </row>
    <row r="309" spans="1:11" x14ac:dyDescent="0.35">
      <c r="A309" s="2">
        <v>46331</v>
      </c>
      <c r="B309" s="3" t="str">
        <f t="shared" si="20"/>
        <v>Thu</v>
      </c>
      <c r="C309" s="3">
        <f t="shared" si="21"/>
        <v>45</v>
      </c>
      <c r="D309" s="3" t="str">
        <f t="shared" si="22"/>
        <v>November</v>
      </c>
      <c r="E309" s="3"/>
      <c r="F309" s="3" t="str">
        <f t="shared" si="23"/>
        <v xml:space="preserve"> </v>
      </c>
      <c r="G309" s="12" t="s">
        <v>23</v>
      </c>
      <c r="H309" s="12"/>
      <c r="I309" s="12"/>
      <c r="J309" s="12"/>
      <c r="K309" s="12"/>
    </row>
    <row r="310" spans="1:11" x14ac:dyDescent="0.35">
      <c r="A310" s="2">
        <v>46332</v>
      </c>
      <c r="B310" s="3" t="str">
        <f t="shared" si="20"/>
        <v>Fri</v>
      </c>
      <c r="C310" s="3">
        <f t="shared" si="21"/>
        <v>45</v>
      </c>
      <c r="D310" s="3" t="str">
        <f t="shared" si="22"/>
        <v>November</v>
      </c>
      <c r="E310" s="3"/>
      <c r="F310" s="3" t="str">
        <f t="shared" si="23"/>
        <v xml:space="preserve"> </v>
      </c>
      <c r="G310" s="12" t="s">
        <v>23</v>
      </c>
      <c r="H310" s="12"/>
      <c r="I310" s="12"/>
      <c r="J310" s="12"/>
      <c r="K310" s="12"/>
    </row>
    <row r="311" spans="1:11" x14ac:dyDescent="0.35">
      <c r="A311" s="2">
        <v>46333</v>
      </c>
      <c r="B311" s="3" t="str">
        <f t="shared" si="20"/>
        <v>Sat</v>
      </c>
      <c r="C311" s="3">
        <f t="shared" si="21"/>
        <v>45</v>
      </c>
      <c r="D311" s="3" t="str">
        <f t="shared" si="22"/>
        <v>November</v>
      </c>
      <c r="E311" s="3"/>
      <c r="F311" s="3" t="str">
        <f t="shared" si="23"/>
        <v xml:space="preserve"> </v>
      </c>
      <c r="G311" s="12" t="s">
        <v>23</v>
      </c>
      <c r="H311" s="12"/>
      <c r="I311" s="12"/>
      <c r="J311" s="12"/>
      <c r="K311" s="12"/>
    </row>
    <row r="312" spans="1:11" x14ac:dyDescent="0.35">
      <c r="A312" s="2">
        <v>46334</v>
      </c>
      <c r="B312" s="3" t="str">
        <f t="shared" si="20"/>
        <v>Sun</v>
      </c>
      <c r="C312" s="3">
        <f t="shared" si="21"/>
        <v>46</v>
      </c>
      <c r="D312" s="3" t="str">
        <f t="shared" si="22"/>
        <v>November</v>
      </c>
      <c r="E312" s="3"/>
      <c r="F312" s="3" t="str">
        <f t="shared" si="23"/>
        <v xml:space="preserve"> </v>
      </c>
      <c r="G312" s="12" t="s">
        <v>23</v>
      </c>
      <c r="H312" s="12"/>
      <c r="I312" s="12"/>
      <c r="J312" s="12"/>
      <c r="K312" s="12"/>
    </row>
    <row r="313" spans="1:11" x14ac:dyDescent="0.35">
      <c r="A313" s="2">
        <v>46335</v>
      </c>
      <c r="B313" s="3" t="str">
        <f t="shared" si="20"/>
        <v>Mon</v>
      </c>
      <c r="C313" s="3">
        <f t="shared" si="21"/>
        <v>46</v>
      </c>
      <c r="D313" s="3" t="str">
        <f t="shared" si="22"/>
        <v>November</v>
      </c>
      <c r="E313" s="3"/>
      <c r="F313" s="3" t="str">
        <f t="shared" si="23"/>
        <v xml:space="preserve"> </v>
      </c>
      <c r="G313" s="12" t="s">
        <v>23</v>
      </c>
      <c r="H313" s="12"/>
      <c r="I313" s="12"/>
      <c r="J313" s="12"/>
      <c r="K313" s="12"/>
    </row>
    <row r="314" spans="1:11" x14ac:dyDescent="0.35">
      <c r="A314" s="2">
        <v>46336</v>
      </c>
      <c r="B314" s="3" t="str">
        <f t="shared" si="20"/>
        <v>Tue</v>
      </c>
      <c r="C314" s="3">
        <f t="shared" si="21"/>
        <v>46</v>
      </c>
      <c r="D314" s="3" t="str">
        <f t="shared" si="22"/>
        <v>November</v>
      </c>
      <c r="E314" s="3"/>
      <c r="F314" s="3" t="str">
        <f t="shared" si="23"/>
        <v xml:space="preserve"> </v>
      </c>
      <c r="G314" s="12" t="s">
        <v>23</v>
      </c>
      <c r="H314" s="12"/>
      <c r="I314" s="12"/>
      <c r="J314" s="12"/>
      <c r="K314" s="12"/>
    </row>
    <row r="315" spans="1:11" x14ac:dyDescent="0.35">
      <c r="A315" s="2">
        <v>46337</v>
      </c>
      <c r="B315" s="3" t="str">
        <f t="shared" si="20"/>
        <v>Wed</v>
      </c>
      <c r="C315" s="3">
        <f t="shared" si="21"/>
        <v>46</v>
      </c>
      <c r="D315" s="3" t="str">
        <f t="shared" si="22"/>
        <v>November</v>
      </c>
      <c r="E315" s="3"/>
      <c r="F315" s="3" t="str">
        <f t="shared" si="23"/>
        <v xml:space="preserve"> </v>
      </c>
      <c r="G315" s="12" t="s">
        <v>23</v>
      </c>
      <c r="H315" s="12"/>
      <c r="I315" s="12"/>
      <c r="J315" s="12"/>
      <c r="K315" s="12"/>
    </row>
    <row r="316" spans="1:11" x14ac:dyDescent="0.35">
      <c r="A316" s="2">
        <v>46338</v>
      </c>
      <c r="B316" s="3" t="str">
        <f t="shared" si="20"/>
        <v>Thu</v>
      </c>
      <c r="C316" s="3">
        <f t="shared" si="21"/>
        <v>46</v>
      </c>
      <c r="D316" s="3" t="str">
        <f t="shared" si="22"/>
        <v>November</v>
      </c>
      <c r="E316" s="3"/>
      <c r="F316" s="3" t="str">
        <f t="shared" si="23"/>
        <v xml:space="preserve"> </v>
      </c>
      <c r="G316" s="12" t="s">
        <v>23</v>
      </c>
      <c r="H316" s="12"/>
      <c r="I316" s="12"/>
      <c r="J316" s="12"/>
      <c r="K316" s="12"/>
    </row>
    <row r="317" spans="1:11" x14ac:dyDescent="0.35">
      <c r="A317" s="2">
        <v>46339</v>
      </c>
      <c r="B317" s="3" t="str">
        <f t="shared" si="20"/>
        <v>Fri</v>
      </c>
      <c r="C317" s="3">
        <f t="shared" si="21"/>
        <v>46</v>
      </c>
      <c r="D317" s="3" t="str">
        <f t="shared" si="22"/>
        <v>November</v>
      </c>
      <c r="E317" s="3"/>
      <c r="F317" s="3" t="str">
        <f t="shared" si="23"/>
        <v xml:space="preserve"> </v>
      </c>
      <c r="G317" s="12" t="s">
        <v>23</v>
      </c>
      <c r="H317" s="12"/>
      <c r="I317" s="12"/>
      <c r="J317" s="12"/>
      <c r="K317" s="12"/>
    </row>
    <row r="318" spans="1:11" x14ac:dyDescent="0.35">
      <c r="A318" s="2">
        <v>46340</v>
      </c>
      <c r="B318" s="3" t="str">
        <f t="shared" si="20"/>
        <v>Sat</v>
      </c>
      <c r="C318" s="3">
        <f t="shared" si="21"/>
        <v>46</v>
      </c>
      <c r="D318" s="3" t="str">
        <f t="shared" si="22"/>
        <v>November</v>
      </c>
      <c r="E318" s="3"/>
      <c r="F318" s="3" t="str">
        <f t="shared" si="23"/>
        <v xml:space="preserve"> </v>
      </c>
      <c r="G318" s="12" t="s">
        <v>23</v>
      </c>
      <c r="H318" s="12"/>
      <c r="I318" s="12"/>
      <c r="J318" s="12"/>
      <c r="K318" s="12"/>
    </row>
    <row r="319" spans="1:11" x14ac:dyDescent="0.35">
      <c r="A319" s="2">
        <v>46341</v>
      </c>
      <c r="B319" s="3" t="str">
        <f t="shared" si="20"/>
        <v>Sun</v>
      </c>
      <c r="C319" s="3">
        <f t="shared" si="21"/>
        <v>47</v>
      </c>
      <c r="D319" s="3" t="str">
        <f t="shared" si="22"/>
        <v>November</v>
      </c>
      <c r="E319" s="3"/>
      <c r="F319" s="3" t="str">
        <f t="shared" si="23"/>
        <v xml:space="preserve"> </v>
      </c>
      <c r="G319" s="12" t="s">
        <v>23</v>
      </c>
      <c r="H319" s="12"/>
      <c r="I319" s="12"/>
      <c r="J319" s="12"/>
      <c r="K319" s="12"/>
    </row>
    <row r="320" spans="1:11" x14ac:dyDescent="0.35">
      <c r="A320" s="2">
        <v>46342</v>
      </c>
      <c r="B320" s="3" t="str">
        <f t="shared" si="20"/>
        <v>Mon</v>
      </c>
      <c r="C320" s="3">
        <f t="shared" si="21"/>
        <v>47</v>
      </c>
      <c r="D320" s="3" t="str">
        <f t="shared" si="22"/>
        <v>November</v>
      </c>
      <c r="E320" s="3"/>
      <c r="F320" s="3" t="str">
        <f t="shared" si="23"/>
        <v xml:space="preserve"> </v>
      </c>
      <c r="G320" s="12" t="s">
        <v>23</v>
      </c>
      <c r="H320" s="12"/>
      <c r="I320" s="12"/>
      <c r="J320" s="12"/>
      <c r="K320" s="12"/>
    </row>
    <row r="321" spans="1:11" x14ac:dyDescent="0.35">
      <c r="A321" s="2">
        <v>46343</v>
      </c>
      <c r="B321" s="3" t="str">
        <f t="shared" si="20"/>
        <v>Tue</v>
      </c>
      <c r="C321" s="3">
        <f t="shared" si="21"/>
        <v>47</v>
      </c>
      <c r="D321" s="3" t="str">
        <f t="shared" si="22"/>
        <v>November</v>
      </c>
      <c r="E321" s="3"/>
      <c r="F321" s="3" t="str">
        <f t="shared" si="23"/>
        <v xml:space="preserve"> </v>
      </c>
      <c r="G321" s="12" t="s">
        <v>23</v>
      </c>
      <c r="H321" s="12"/>
      <c r="I321" s="12"/>
      <c r="J321" s="12"/>
      <c r="K321" s="12"/>
    </row>
    <row r="322" spans="1:11" x14ac:dyDescent="0.35">
      <c r="A322" s="2">
        <v>46344</v>
      </c>
      <c r="B322" s="3" t="str">
        <f t="shared" si="20"/>
        <v>Wed</v>
      </c>
      <c r="C322" s="3">
        <f t="shared" si="21"/>
        <v>47</v>
      </c>
      <c r="D322" s="3" t="str">
        <f t="shared" si="22"/>
        <v>November</v>
      </c>
      <c r="E322" s="3"/>
      <c r="F322" s="3" t="str">
        <f t="shared" si="23"/>
        <v xml:space="preserve"> </v>
      </c>
      <c r="G322" s="12" t="s">
        <v>23</v>
      </c>
      <c r="H322" s="12"/>
      <c r="I322" s="12"/>
      <c r="J322" s="12"/>
      <c r="K322" s="12"/>
    </row>
    <row r="323" spans="1:11" x14ac:dyDescent="0.35">
      <c r="A323" s="2">
        <v>46345</v>
      </c>
      <c r="B323" s="3" t="str">
        <f t="shared" si="20"/>
        <v>Thu</v>
      </c>
      <c r="C323" s="3">
        <f t="shared" si="21"/>
        <v>47</v>
      </c>
      <c r="D323" s="3" t="str">
        <f t="shared" si="22"/>
        <v>November</v>
      </c>
      <c r="E323" s="3"/>
      <c r="F323" s="3" t="str">
        <f t="shared" si="23"/>
        <v xml:space="preserve"> </v>
      </c>
      <c r="G323" s="12" t="s">
        <v>23</v>
      </c>
      <c r="H323" s="12"/>
      <c r="I323" s="12"/>
      <c r="J323" s="12"/>
      <c r="K323" s="12"/>
    </row>
    <row r="324" spans="1:11" x14ac:dyDescent="0.35">
      <c r="A324" s="2">
        <v>46346</v>
      </c>
      <c r="B324" s="3" t="str">
        <f t="shared" si="20"/>
        <v>Fri</v>
      </c>
      <c r="C324" s="3">
        <f t="shared" si="21"/>
        <v>47</v>
      </c>
      <c r="D324" s="3" t="str">
        <f t="shared" si="22"/>
        <v>November</v>
      </c>
      <c r="E324" s="3"/>
      <c r="F324" s="3" t="str">
        <f t="shared" si="23"/>
        <v xml:space="preserve"> </v>
      </c>
      <c r="G324" s="12" t="s">
        <v>23</v>
      </c>
      <c r="H324" s="12"/>
      <c r="I324" s="12"/>
      <c r="J324" s="12"/>
      <c r="K324" s="12"/>
    </row>
    <row r="325" spans="1:11" x14ac:dyDescent="0.35">
      <c r="A325" s="2">
        <v>46347</v>
      </c>
      <c r="B325" s="3" t="str">
        <f t="shared" si="20"/>
        <v>Sat</v>
      </c>
      <c r="C325" s="3">
        <f t="shared" si="21"/>
        <v>47</v>
      </c>
      <c r="D325" s="3" t="str">
        <f t="shared" si="22"/>
        <v>November</v>
      </c>
      <c r="E325" s="3"/>
      <c r="F325" s="3" t="str">
        <f t="shared" si="23"/>
        <v xml:space="preserve"> </v>
      </c>
      <c r="G325" s="12" t="s">
        <v>23</v>
      </c>
      <c r="H325" s="12"/>
      <c r="I325" s="12"/>
      <c r="J325" s="12"/>
      <c r="K325" s="12"/>
    </row>
    <row r="326" spans="1:11" x14ac:dyDescent="0.35">
      <c r="A326" s="2">
        <v>46348</v>
      </c>
      <c r="B326" s="3" t="str">
        <f t="shared" si="20"/>
        <v>Sun</v>
      </c>
      <c r="C326" s="3">
        <f t="shared" si="21"/>
        <v>48</v>
      </c>
      <c r="D326" s="3" t="str">
        <f t="shared" si="22"/>
        <v>November</v>
      </c>
      <c r="E326" s="3"/>
      <c r="F326" s="3" t="str">
        <f t="shared" si="23"/>
        <v xml:space="preserve"> </v>
      </c>
      <c r="G326" s="12" t="s">
        <v>23</v>
      </c>
      <c r="H326" s="12"/>
      <c r="I326" s="12"/>
      <c r="J326" s="12"/>
      <c r="K326" s="12"/>
    </row>
    <row r="327" spans="1:11" x14ac:dyDescent="0.35">
      <c r="A327" s="2">
        <v>46349</v>
      </c>
      <c r="B327" s="3" t="str">
        <f t="shared" si="20"/>
        <v>Mon</v>
      </c>
      <c r="C327" s="3">
        <f t="shared" si="21"/>
        <v>48</v>
      </c>
      <c r="D327" s="3" t="str">
        <f t="shared" si="22"/>
        <v>November</v>
      </c>
      <c r="E327" s="3"/>
      <c r="F327" s="3" t="str">
        <f t="shared" si="23"/>
        <v xml:space="preserve"> </v>
      </c>
      <c r="G327" s="12" t="s">
        <v>23</v>
      </c>
      <c r="H327" s="12"/>
      <c r="I327" s="12"/>
      <c r="J327" s="12"/>
      <c r="K327" s="12"/>
    </row>
    <row r="328" spans="1:11" x14ac:dyDescent="0.35">
      <c r="A328" s="2">
        <v>46350</v>
      </c>
      <c r="B328" s="3" t="str">
        <f t="shared" si="20"/>
        <v>Tue</v>
      </c>
      <c r="C328" s="3">
        <f t="shared" si="21"/>
        <v>48</v>
      </c>
      <c r="D328" s="3" t="str">
        <f t="shared" si="22"/>
        <v>November</v>
      </c>
      <c r="E328" s="3"/>
      <c r="F328" s="3" t="str">
        <f t="shared" si="23"/>
        <v xml:space="preserve"> </v>
      </c>
      <c r="G328" s="12" t="s">
        <v>23</v>
      </c>
      <c r="H328" s="12"/>
      <c r="I328" s="12"/>
      <c r="J328" s="12"/>
      <c r="K328" s="12"/>
    </row>
    <row r="329" spans="1:11" x14ac:dyDescent="0.35">
      <c r="A329" s="2">
        <v>46351</v>
      </c>
      <c r="B329" s="3" t="str">
        <f t="shared" si="20"/>
        <v>Wed</v>
      </c>
      <c r="C329" s="3">
        <f t="shared" si="21"/>
        <v>48</v>
      </c>
      <c r="D329" s="3" t="str">
        <f t="shared" si="22"/>
        <v>November</v>
      </c>
      <c r="E329" s="3"/>
      <c r="F329" s="3" t="str">
        <f t="shared" si="23"/>
        <v xml:space="preserve"> </v>
      </c>
      <c r="G329" s="12" t="s">
        <v>23</v>
      </c>
      <c r="H329" s="12"/>
      <c r="I329" s="12"/>
      <c r="J329" s="12"/>
      <c r="K329" s="12"/>
    </row>
    <row r="330" spans="1:11" x14ac:dyDescent="0.35">
      <c r="A330" s="2">
        <v>46352</v>
      </c>
      <c r="B330" s="3" t="str">
        <f t="shared" si="20"/>
        <v>Thu</v>
      </c>
      <c r="C330" s="3">
        <f t="shared" si="21"/>
        <v>48</v>
      </c>
      <c r="D330" s="3" t="str">
        <f t="shared" si="22"/>
        <v>November</v>
      </c>
      <c r="E330" s="3"/>
      <c r="F330" s="3" t="str">
        <f t="shared" si="23"/>
        <v xml:space="preserve"> </v>
      </c>
      <c r="G330" s="12" t="s">
        <v>23</v>
      </c>
      <c r="H330" s="12"/>
      <c r="I330" s="12"/>
      <c r="J330" s="12"/>
      <c r="K330" s="12"/>
    </row>
    <row r="331" spans="1:11" x14ac:dyDescent="0.35">
      <c r="A331" s="2">
        <v>46353</v>
      </c>
      <c r="B331" s="3" t="str">
        <f t="shared" si="20"/>
        <v>Fri</v>
      </c>
      <c r="C331" s="3">
        <f t="shared" si="21"/>
        <v>48</v>
      </c>
      <c r="D331" s="3" t="str">
        <f t="shared" si="22"/>
        <v>November</v>
      </c>
      <c r="E331" s="3"/>
      <c r="F331" s="3" t="str">
        <f t="shared" si="23"/>
        <v xml:space="preserve"> </v>
      </c>
      <c r="G331" s="12" t="s">
        <v>23</v>
      </c>
      <c r="H331" s="12"/>
      <c r="I331" s="12"/>
      <c r="J331" s="12"/>
      <c r="K331" s="12"/>
    </row>
    <row r="332" spans="1:11" x14ac:dyDescent="0.35">
      <c r="A332" s="2">
        <v>46354</v>
      </c>
      <c r="B332" s="3" t="str">
        <f t="shared" si="20"/>
        <v>Sat</v>
      </c>
      <c r="C332" s="3">
        <f t="shared" si="21"/>
        <v>48</v>
      </c>
      <c r="D332" s="3" t="str">
        <f t="shared" si="22"/>
        <v>November</v>
      </c>
      <c r="E332" s="3"/>
      <c r="F332" s="3" t="str">
        <f t="shared" si="23"/>
        <v xml:space="preserve"> </v>
      </c>
      <c r="G332" s="12" t="s">
        <v>23</v>
      </c>
      <c r="H332" s="12"/>
      <c r="I332" s="12"/>
      <c r="J332" s="12"/>
      <c r="K332" s="12"/>
    </row>
    <row r="333" spans="1:11" x14ac:dyDescent="0.35">
      <c r="A333" s="2">
        <v>46355</v>
      </c>
      <c r="B333" s="3" t="str">
        <f t="shared" si="20"/>
        <v>Sun</v>
      </c>
      <c r="C333" s="3">
        <f t="shared" si="21"/>
        <v>49</v>
      </c>
      <c r="D333" s="3" t="str">
        <f t="shared" si="22"/>
        <v>November</v>
      </c>
      <c r="E333" s="3"/>
      <c r="F333" s="3" t="str">
        <f t="shared" si="23"/>
        <v xml:space="preserve"> </v>
      </c>
      <c r="G333" s="12" t="s">
        <v>23</v>
      </c>
      <c r="H333" s="12"/>
      <c r="I333" s="12"/>
      <c r="J333" s="12"/>
      <c r="K333" s="12"/>
    </row>
    <row r="334" spans="1:11" x14ac:dyDescent="0.35">
      <c r="A334" s="2">
        <v>46356</v>
      </c>
      <c r="B334" s="3" t="str">
        <f t="shared" si="20"/>
        <v>Mon</v>
      </c>
      <c r="C334" s="3">
        <f t="shared" si="21"/>
        <v>49</v>
      </c>
      <c r="D334" s="3" t="str">
        <f t="shared" si="22"/>
        <v>November</v>
      </c>
      <c r="E334" s="3"/>
      <c r="F334" s="3" t="str">
        <f t="shared" si="23"/>
        <v xml:space="preserve"> </v>
      </c>
      <c r="G334" s="12" t="s">
        <v>23</v>
      </c>
      <c r="H334" s="12"/>
      <c r="I334" s="12"/>
      <c r="J334" s="12"/>
      <c r="K334" s="12"/>
    </row>
    <row r="335" spans="1:11" x14ac:dyDescent="0.35">
      <c r="A335" s="2">
        <v>46357</v>
      </c>
      <c r="B335" s="3" t="str">
        <f t="shared" si="20"/>
        <v>Tue</v>
      </c>
      <c r="C335" s="3">
        <f t="shared" si="21"/>
        <v>49</v>
      </c>
      <c r="D335" s="3" t="str">
        <f t="shared" si="22"/>
        <v>December</v>
      </c>
      <c r="E335" s="3"/>
      <c r="F335" s="3" t="str">
        <f t="shared" si="23"/>
        <v xml:space="preserve"> </v>
      </c>
      <c r="G335" s="12" t="s">
        <v>23</v>
      </c>
      <c r="H335" s="12"/>
      <c r="I335" s="12"/>
      <c r="J335" s="12"/>
      <c r="K335" s="12"/>
    </row>
    <row r="336" spans="1:11" x14ac:dyDescent="0.35">
      <c r="A336" s="2">
        <v>46358</v>
      </c>
      <c r="B336" s="3" t="str">
        <f t="shared" si="20"/>
        <v>Wed</v>
      </c>
      <c r="C336" s="3">
        <f t="shared" si="21"/>
        <v>49</v>
      </c>
      <c r="D336" s="3" t="str">
        <f t="shared" si="22"/>
        <v>December</v>
      </c>
      <c r="E336" s="3"/>
      <c r="F336" s="3" t="str">
        <f t="shared" si="23"/>
        <v xml:space="preserve"> </v>
      </c>
      <c r="G336" s="12" t="s">
        <v>23</v>
      </c>
      <c r="H336" s="12"/>
      <c r="I336" s="12"/>
      <c r="J336" s="12"/>
      <c r="K336" s="12"/>
    </row>
    <row r="337" spans="1:11" x14ac:dyDescent="0.35">
      <c r="A337" s="2">
        <v>46359</v>
      </c>
      <c r="B337" s="3" t="str">
        <f t="shared" si="20"/>
        <v>Thu</v>
      </c>
      <c r="C337" s="3">
        <f t="shared" si="21"/>
        <v>49</v>
      </c>
      <c r="D337" s="3" t="str">
        <f t="shared" si="22"/>
        <v>December</v>
      </c>
      <c r="E337" s="3"/>
      <c r="F337" s="3" t="str">
        <f t="shared" si="23"/>
        <v xml:space="preserve"> </v>
      </c>
      <c r="G337" s="12" t="s">
        <v>23</v>
      </c>
      <c r="H337" s="12"/>
      <c r="I337" s="12"/>
      <c r="J337" s="12"/>
      <c r="K337" s="12"/>
    </row>
    <row r="338" spans="1:11" x14ac:dyDescent="0.35">
      <c r="A338" s="2">
        <v>46360</v>
      </c>
      <c r="B338" s="3" t="str">
        <f t="shared" si="20"/>
        <v>Fri</v>
      </c>
      <c r="C338" s="3">
        <f t="shared" si="21"/>
        <v>49</v>
      </c>
      <c r="D338" s="3" t="str">
        <f t="shared" si="22"/>
        <v>December</v>
      </c>
      <c r="E338" s="3"/>
      <c r="F338" s="3" t="str">
        <f t="shared" si="23"/>
        <v xml:space="preserve"> </v>
      </c>
      <c r="G338" s="12" t="s">
        <v>23</v>
      </c>
      <c r="H338" s="12"/>
      <c r="I338" s="12"/>
      <c r="J338" s="12"/>
      <c r="K338" s="12"/>
    </row>
    <row r="339" spans="1:11" x14ac:dyDescent="0.35">
      <c r="A339" s="2">
        <v>46361</v>
      </c>
      <c r="B339" s="3" t="str">
        <f t="shared" si="20"/>
        <v>Sat</v>
      </c>
      <c r="C339" s="3">
        <f t="shared" si="21"/>
        <v>49</v>
      </c>
      <c r="D339" s="3" t="str">
        <f t="shared" si="22"/>
        <v>December</v>
      </c>
      <c r="E339" s="3"/>
      <c r="F339" s="3" t="str">
        <f t="shared" si="23"/>
        <v xml:space="preserve"> </v>
      </c>
      <c r="G339" s="12" t="s">
        <v>23</v>
      </c>
      <c r="H339" s="12"/>
      <c r="I339" s="12"/>
      <c r="J339" s="12"/>
      <c r="K339" s="12"/>
    </row>
    <row r="340" spans="1:11" x14ac:dyDescent="0.35">
      <c r="A340" s="2">
        <v>46362</v>
      </c>
      <c r="B340" s="3" t="str">
        <f t="shared" si="20"/>
        <v>Sun</v>
      </c>
      <c r="C340" s="3">
        <f t="shared" si="21"/>
        <v>50</v>
      </c>
      <c r="D340" s="3" t="str">
        <f t="shared" si="22"/>
        <v>December</v>
      </c>
      <c r="E340" s="3"/>
      <c r="F340" s="3" t="str">
        <f t="shared" si="23"/>
        <v xml:space="preserve"> </v>
      </c>
      <c r="G340" s="12" t="s">
        <v>23</v>
      </c>
      <c r="H340" s="12"/>
      <c r="I340" s="12"/>
      <c r="J340" s="12"/>
      <c r="K340" s="12"/>
    </row>
    <row r="341" spans="1:11" x14ac:dyDescent="0.35">
      <c r="A341" s="2">
        <v>46363</v>
      </c>
      <c r="B341" s="3" t="str">
        <f t="shared" si="20"/>
        <v>Mon</v>
      </c>
      <c r="C341" s="3">
        <f t="shared" si="21"/>
        <v>50</v>
      </c>
      <c r="D341" s="3" t="str">
        <f t="shared" si="22"/>
        <v>December</v>
      </c>
      <c r="E341" s="3"/>
      <c r="F341" s="3" t="str">
        <f t="shared" si="23"/>
        <v xml:space="preserve"> </v>
      </c>
      <c r="G341" s="12" t="s">
        <v>23</v>
      </c>
      <c r="H341" s="12"/>
      <c r="I341" s="12"/>
      <c r="J341" s="12"/>
      <c r="K341" s="12"/>
    </row>
    <row r="342" spans="1:11" x14ac:dyDescent="0.35">
      <c r="A342" s="2">
        <v>46364</v>
      </c>
      <c r="B342" s="3" t="str">
        <f t="shared" si="20"/>
        <v>Tue</v>
      </c>
      <c r="C342" s="3">
        <f t="shared" si="21"/>
        <v>50</v>
      </c>
      <c r="D342" s="3" t="str">
        <f t="shared" si="22"/>
        <v>December</v>
      </c>
      <c r="E342" s="3"/>
      <c r="F342" s="3" t="str">
        <f t="shared" si="23"/>
        <v xml:space="preserve"> </v>
      </c>
      <c r="G342" s="12" t="s">
        <v>23</v>
      </c>
      <c r="H342" s="12"/>
      <c r="I342" s="12"/>
      <c r="J342" s="12"/>
      <c r="K342" s="12"/>
    </row>
    <row r="343" spans="1:11" x14ac:dyDescent="0.35">
      <c r="A343" s="2">
        <v>46365</v>
      </c>
      <c r="B343" s="3" t="str">
        <f t="shared" si="20"/>
        <v>Wed</v>
      </c>
      <c r="C343" s="3">
        <f t="shared" si="21"/>
        <v>50</v>
      </c>
      <c r="D343" s="3" t="str">
        <f t="shared" si="22"/>
        <v>December</v>
      </c>
      <c r="E343" s="3"/>
      <c r="F343" s="3" t="str">
        <f t="shared" si="23"/>
        <v xml:space="preserve"> </v>
      </c>
      <c r="G343" s="12" t="s">
        <v>23</v>
      </c>
      <c r="H343" s="12"/>
      <c r="I343" s="12"/>
      <c r="J343" s="12"/>
      <c r="K343" s="12"/>
    </row>
    <row r="344" spans="1:11" x14ac:dyDescent="0.35">
      <c r="A344" s="2">
        <v>46366</v>
      </c>
      <c r="B344" s="3" t="str">
        <f t="shared" si="20"/>
        <v>Thu</v>
      </c>
      <c r="C344" s="3">
        <f t="shared" si="21"/>
        <v>50</v>
      </c>
      <c r="D344" s="3" t="str">
        <f t="shared" si="22"/>
        <v>December</v>
      </c>
      <c r="E344" s="3"/>
      <c r="F344" s="3" t="str">
        <f t="shared" si="23"/>
        <v xml:space="preserve"> </v>
      </c>
      <c r="G344" s="12" t="s">
        <v>23</v>
      </c>
      <c r="H344" s="12"/>
      <c r="I344" s="12"/>
      <c r="J344" s="12"/>
      <c r="K344" s="12"/>
    </row>
    <row r="345" spans="1:11" x14ac:dyDescent="0.35">
      <c r="A345" s="2">
        <v>46367</v>
      </c>
      <c r="B345" s="3" t="str">
        <f t="shared" si="20"/>
        <v>Fri</v>
      </c>
      <c r="C345" s="3">
        <f t="shared" si="21"/>
        <v>50</v>
      </c>
      <c r="D345" s="3" t="str">
        <f t="shared" si="22"/>
        <v>December</v>
      </c>
      <c r="E345" s="3"/>
      <c r="F345" s="3" t="str">
        <f t="shared" si="23"/>
        <v xml:space="preserve"> </v>
      </c>
      <c r="G345" s="12" t="s">
        <v>23</v>
      </c>
      <c r="H345" s="12"/>
      <c r="I345" s="12"/>
      <c r="J345" s="12"/>
      <c r="K345" s="12"/>
    </row>
    <row r="346" spans="1:11" x14ac:dyDescent="0.35">
      <c r="A346" s="2">
        <v>46368</v>
      </c>
      <c r="B346" s="3" t="str">
        <f t="shared" si="20"/>
        <v>Sat</v>
      </c>
      <c r="C346" s="3">
        <f t="shared" si="21"/>
        <v>50</v>
      </c>
      <c r="D346" s="3" t="str">
        <f t="shared" si="22"/>
        <v>December</v>
      </c>
      <c r="E346" s="3"/>
      <c r="F346" s="3" t="str">
        <f t="shared" si="23"/>
        <v xml:space="preserve"> </v>
      </c>
      <c r="G346" s="12" t="s">
        <v>23</v>
      </c>
      <c r="H346" s="12"/>
      <c r="I346" s="12"/>
      <c r="J346" s="12"/>
      <c r="K346" s="12"/>
    </row>
    <row r="347" spans="1:11" x14ac:dyDescent="0.35">
      <c r="A347" s="2">
        <v>46369</v>
      </c>
      <c r="B347" s="3" t="str">
        <f t="shared" si="20"/>
        <v>Sun</v>
      </c>
      <c r="C347" s="3">
        <f t="shared" si="21"/>
        <v>51</v>
      </c>
      <c r="D347" s="3" t="str">
        <f t="shared" si="22"/>
        <v>December</v>
      </c>
      <c r="E347" s="3"/>
      <c r="F347" s="3" t="str">
        <f t="shared" si="23"/>
        <v xml:space="preserve"> </v>
      </c>
      <c r="G347" s="12" t="s">
        <v>23</v>
      </c>
      <c r="H347" s="12"/>
      <c r="I347" s="12"/>
      <c r="J347" s="12"/>
      <c r="K347" s="12"/>
    </row>
    <row r="348" spans="1:11" x14ac:dyDescent="0.35">
      <c r="A348" s="2">
        <v>46370</v>
      </c>
      <c r="B348" s="3" t="str">
        <f t="shared" si="20"/>
        <v>Mon</v>
      </c>
      <c r="C348" s="3">
        <f t="shared" si="21"/>
        <v>51</v>
      </c>
      <c r="D348" s="3" t="str">
        <f t="shared" si="22"/>
        <v>December</v>
      </c>
      <c r="E348" s="3"/>
      <c r="F348" s="3" t="str">
        <f t="shared" si="23"/>
        <v xml:space="preserve"> </v>
      </c>
      <c r="G348" s="12" t="s">
        <v>23</v>
      </c>
      <c r="H348" s="12"/>
      <c r="I348" s="12"/>
      <c r="J348" s="12"/>
      <c r="K348" s="12"/>
    </row>
    <row r="349" spans="1:11" x14ac:dyDescent="0.35">
      <c r="A349" s="2">
        <v>46371</v>
      </c>
      <c r="B349" s="3" t="str">
        <f t="shared" si="20"/>
        <v>Tue</v>
      </c>
      <c r="C349" s="3">
        <f t="shared" si="21"/>
        <v>51</v>
      </c>
      <c r="D349" s="3" t="str">
        <f t="shared" si="22"/>
        <v>December</v>
      </c>
      <c r="E349" s="3"/>
      <c r="F349" s="3" t="str">
        <f t="shared" si="23"/>
        <v xml:space="preserve"> </v>
      </c>
      <c r="G349" s="12" t="s">
        <v>23</v>
      </c>
      <c r="H349" s="12"/>
      <c r="I349" s="12"/>
      <c r="J349" s="12"/>
      <c r="K349" s="12"/>
    </row>
  </sheetData>
  <mergeCells count="1">
    <mergeCell ref="A1:F1"/>
  </mergeCells>
  <phoneticPr fontId="7" type="noConversion"/>
  <conditionalFormatting sqref="B1:B1048576">
    <cfRule type="containsText" dxfId="37" priority="9" operator="containsText" text="MGG">
      <formula>NOT(ISERROR(SEARCH("MGG",B1)))</formula>
    </cfRule>
  </conditionalFormatting>
  <conditionalFormatting sqref="B2:B1048576">
    <cfRule type="containsText" dxfId="36" priority="10" operator="containsText" text="SUN">
      <formula>NOT(ISERROR(SEARCH("SUN",B2)))</formula>
    </cfRule>
  </conditionalFormatting>
  <conditionalFormatting sqref="F1:F1048576 G2:K2">
    <cfRule type="containsText" dxfId="35" priority="6" operator="containsText" text="IJIN">
      <formula>NOT(ISERROR(SEARCH("IJIN",F1)))</formula>
    </cfRule>
    <cfRule type="containsText" dxfId="34" priority="7" operator="containsText" text="SAKIT">
      <formula>NOT(ISERROR(SEARCH("SAKIT",F1)))</formula>
    </cfRule>
    <cfRule type="containsText" dxfId="33" priority="8" operator="containsText" text="MASUK">
      <formula>NOT(ISERROR(SEARCH("MASUK",F1)))</formula>
    </cfRule>
  </conditionalFormatting>
  <conditionalFormatting sqref="F1:F1048576">
    <cfRule type="cellIs" dxfId="32" priority="1" operator="equal">
      <formula>"Ijin/Sakit/Alfa"</formula>
    </cfRule>
    <cfRule type="containsText" dxfId="31" priority="2" operator="containsText" text="LEMBUR">
      <formula>NOT(ISERROR(SEARCH("LEMBUR",F1)))</formula>
    </cfRule>
    <cfRule type="containsText" dxfId="30" priority="3" operator="containsText" text="LEMBUR">
      <formula>NOT(ISERROR(SEARCH("LEMBUR",F1)))</formula>
    </cfRule>
    <cfRule type="containsText" dxfId="29" priority="4" operator="containsText" text="Total hari kerja">
      <formula>NOT(ISERROR(SEARCH("Total hari kerja",F1)))</formula>
    </cfRule>
    <cfRule type="containsText" dxfId="28" priority="5" operator="containsText" text="MERAH">
      <formula>NOT(ISERROR(SEARCH("MERAH",F1)))</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5DA5E-4220-40B3-977B-F142C7FE3422}">
  <dimension ref="A1:O318"/>
  <sheetViews>
    <sheetView zoomScale="85" zoomScaleNormal="85" workbookViewId="0">
      <pane ySplit="2" topLeftCell="A260" activePane="bottomLeft" state="frozen"/>
      <selection pane="bottomLeft" activeCell="I271" sqref="I271"/>
    </sheetView>
  </sheetViews>
  <sheetFormatPr defaultRowHeight="14.5" x14ac:dyDescent="0.35"/>
  <cols>
    <col min="1" max="1" width="8.81640625" bestFit="1" customWidth="1"/>
    <col min="2" max="2" width="4.54296875" bestFit="1" customWidth="1"/>
    <col min="3" max="3" width="5.90625" bestFit="1" customWidth="1"/>
    <col min="4" max="4" width="9.81640625" bestFit="1" customWidth="1"/>
    <col min="5" max="5" width="11.453125" bestFit="1" customWidth="1"/>
    <col min="6" max="6" width="13.36328125" bestFit="1" customWidth="1"/>
    <col min="7" max="7" width="21.54296875" bestFit="1" customWidth="1"/>
    <col min="8" max="10" width="6" bestFit="1" customWidth="1"/>
    <col min="11" max="11" width="6" customWidth="1"/>
    <col min="369" max="369" width="9.90625" customWidth="1"/>
  </cols>
  <sheetData>
    <row r="1" spans="1:15" ht="90" customHeight="1" x14ac:dyDescent="0.35">
      <c r="A1" s="115" t="s">
        <v>0</v>
      </c>
      <c r="B1" s="115"/>
      <c r="C1" s="115"/>
      <c r="D1" s="115"/>
      <c r="E1" s="115"/>
      <c r="F1" s="115"/>
      <c r="M1" s="9" t="s">
        <v>159</v>
      </c>
    </row>
    <row r="2" spans="1:15" x14ac:dyDescent="0.35">
      <c r="A2" s="1" t="s">
        <v>1</v>
      </c>
      <c r="B2" s="1" t="s">
        <v>2</v>
      </c>
      <c r="C2" s="1" t="s">
        <v>3</v>
      </c>
      <c r="D2" s="1" t="s">
        <v>4</v>
      </c>
      <c r="E2" s="1" t="s">
        <v>25</v>
      </c>
      <c r="F2" s="1" t="s">
        <v>12</v>
      </c>
      <c r="G2" s="1" t="s">
        <v>22</v>
      </c>
      <c r="H2" s="1" t="s">
        <v>44</v>
      </c>
      <c r="I2" s="1" t="s">
        <v>45</v>
      </c>
      <c r="J2" s="1" t="s">
        <v>46</v>
      </c>
      <c r="K2" s="1" t="s">
        <v>120</v>
      </c>
    </row>
    <row r="3" spans="1:15" x14ac:dyDescent="0.35">
      <c r="A3" s="2">
        <v>46025</v>
      </c>
      <c r="B3" s="3" t="str">
        <f>TEXT(A3,"DDD")</f>
        <v>Sat</v>
      </c>
      <c r="C3" s="3">
        <f t="shared" ref="C3:C17" si="0">WEEKNUM(A3)</f>
        <v>1</v>
      </c>
      <c r="D3" s="3" t="str">
        <f t="shared" ref="D3:D17" si="1">TEXT(A3,"mmmm")</f>
        <v>January</v>
      </c>
      <c r="E3" s="3" t="s">
        <v>135</v>
      </c>
      <c r="F3" s="3" t="str">
        <f t="shared" ref="F3:F18" si="2">IF(E3="J1",$O$3,IF(E3="J2",$O$4,IF(E3="J3",$O$5,IF(E3="J4",$O$6,IF(E3="J5",$O$7," ")))))</f>
        <v>Total hari kerja</v>
      </c>
      <c r="G3" s="12" t="s">
        <v>24</v>
      </c>
      <c r="H3" s="12">
        <v>1</v>
      </c>
      <c r="I3" s="12"/>
      <c r="J3" s="12"/>
      <c r="K3" s="12"/>
      <c r="N3" t="s">
        <v>5</v>
      </c>
      <c r="O3" s="11" t="s">
        <v>20</v>
      </c>
    </row>
    <row r="4" spans="1:15" x14ac:dyDescent="0.35">
      <c r="A4" s="2">
        <v>46026</v>
      </c>
      <c r="B4" s="3" t="str">
        <f t="shared" ref="B4:B17" si="3">TEXT(A4,"DDD")</f>
        <v>Sun</v>
      </c>
      <c r="C4" s="3">
        <f t="shared" si="0"/>
        <v>2</v>
      </c>
      <c r="D4" s="3" t="str">
        <f t="shared" si="1"/>
        <v>January</v>
      </c>
      <c r="E4" s="3"/>
      <c r="F4" s="3" t="str">
        <f t="shared" si="2"/>
        <v xml:space="preserve"> </v>
      </c>
      <c r="G4" s="12" t="s">
        <v>24</v>
      </c>
      <c r="H4" s="12"/>
      <c r="I4" s="12"/>
      <c r="J4" s="12"/>
      <c r="K4" s="12"/>
      <c r="N4" t="s">
        <v>7</v>
      </c>
      <c r="O4" s="4" t="s">
        <v>30</v>
      </c>
    </row>
    <row r="5" spans="1:15" x14ac:dyDescent="0.35">
      <c r="A5" s="2">
        <v>46027</v>
      </c>
      <c r="B5" s="3" t="str">
        <f t="shared" si="3"/>
        <v>Mon</v>
      </c>
      <c r="C5" s="3">
        <f t="shared" si="0"/>
        <v>2</v>
      </c>
      <c r="D5" s="3" t="str">
        <f t="shared" si="1"/>
        <v>January</v>
      </c>
      <c r="E5" s="3" t="s">
        <v>135</v>
      </c>
      <c r="F5" s="3" t="str">
        <f t="shared" si="2"/>
        <v>Total hari kerja</v>
      </c>
      <c r="G5" s="12" t="s">
        <v>24</v>
      </c>
      <c r="H5" s="12">
        <v>4</v>
      </c>
      <c r="I5" s="12">
        <v>4</v>
      </c>
      <c r="J5" s="12"/>
      <c r="K5" s="12"/>
      <c r="N5" t="s">
        <v>9</v>
      </c>
      <c r="O5" s="10" t="s">
        <v>118</v>
      </c>
    </row>
    <row r="6" spans="1:15" x14ac:dyDescent="0.35">
      <c r="A6" s="2">
        <v>46028</v>
      </c>
      <c r="B6" s="3" t="str">
        <f t="shared" si="3"/>
        <v>Tue</v>
      </c>
      <c r="C6" s="3">
        <f t="shared" si="0"/>
        <v>2</v>
      </c>
      <c r="D6" s="3" t="str">
        <f t="shared" si="1"/>
        <v>January</v>
      </c>
      <c r="E6" s="3" t="s">
        <v>135</v>
      </c>
      <c r="F6" s="3" t="str">
        <f t="shared" si="2"/>
        <v>Total hari kerja</v>
      </c>
      <c r="G6" s="12" t="s">
        <v>24</v>
      </c>
      <c r="H6" s="12">
        <v>2</v>
      </c>
      <c r="I6" s="12">
        <v>4</v>
      </c>
      <c r="J6" s="12"/>
      <c r="K6" s="12"/>
      <c r="N6" t="s">
        <v>10</v>
      </c>
      <c r="O6" s="5" t="s">
        <v>139</v>
      </c>
    </row>
    <row r="7" spans="1:15" x14ac:dyDescent="0.35">
      <c r="A7" s="2">
        <v>46029</v>
      </c>
      <c r="B7" s="3" t="str">
        <f t="shared" si="3"/>
        <v>Wed</v>
      </c>
      <c r="C7" s="3">
        <f t="shared" si="0"/>
        <v>2</v>
      </c>
      <c r="D7" s="3" t="str">
        <f t="shared" si="1"/>
        <v>January</v>
      </c>
      <c r="E7" s="3" t="s">
        <v>135</v>
      </c>
      <c r="F7" s="3" t="str">
        <f t="shared" si="2"/>
        <v>Total hari kerja</v>
      </c>
      <c r="G7" s="12" t="s">
        <v>24</v>
      </c>
      <c r="H7" s="12">
        <v>4</v>
      </c>
      <c r="I7" s="12">
        <v>2</v>
      </c>
      <c r="J7" s="12"/>
      <c r="K7" s="12"/>
      <c r="N7" t="s">
        <v>11</v>
      </c>
      <c r="O7" s="6" t="s">
        <v>138</v>
      </c>
    </row>
    <row r="8" spans="1:15" x14ac:dyDescent="0.35">
      <c r="A8" s="2">
        <v>46030</v>
      </c>
      <c r="B8" s="3" t="str">
        <f t="shared" si="3"/>
        <v>Thu</v>
      </c>
      <c r="C8" s="3">
        <f t="shared" si="0"/>
        <v>2</v>
      </c>
      <c r="D8" s="3" t="str">
        <f t="shared" si="1"/>
        <v>January</v>
      </c>
      <c r="E8" s="3" t="s">
        <v>135</v>
      </c>
      <c r="F8" s="3" t="str">
        <f t="shared" si="2"/>
        <v>Total hari kerja</v>
      </c>
      <c r="G8" s="12" t="s">
        <v>24</v>
      </c>
      <c r="H8" s="12">
        <v>3</v>
      </c>
      <c r="I8" s="12">
        <v>1</v>
      </c>
      <c r="J8" s="12"/>
      <c r="K8" s="12"/>
    </row>
    <row r="9" spans="1:15" x14ac:dyDescent="0.35">
      <c r="A9" s="2">
        <v>46031</v>
      </c>
      <c r="B9" s="3" t="str">
        <f t="shared" si="3"/>
        <v>Fri</v>
      </c>
      <c r="C9" s="3">
        <f t="shared" si="0"/>
        <v>2</v>
      </c>
      <c r="D9" s="3" t="str">
        <f t="shared" si="1"/>
        <v>January</v>
      </c>
      <c r="E9" s="3" t="s">
        <v>102</v>
      </c>
      <c r="F9" s="3" t="str">
        <f t="shared" si="2"/>
        <v>Ijin/Sakit/Alfa</v>
      </c>
      <c r="G9" s="12" t="s">
        <v>24</v>
      </c>
      <c r="H9" s="12"/>
      <c r="I9" s="12"/>
      <c r="J9" s="12"/>
      <c r="K9" s="12"/>
    </row>
    <row r="10" spans="1:15" x14ac:dyDescent="0.35">
      <c r="A10" s="2">
        <v>46032</v>
      </c>
      <c r="B10" s="3" t="str">
        <f t="shared" si="3"/>
        <v>Sat</v>
      </c>
      <c r="C10" s="3">
        <f t="shared" si="0"/>
        <v>2</v>
      </c>
      <c r="D10" s="3" t="str">
        <f t="shared" si="1"/>
        <v>January</v>
      </c>
      <c r="E10" s="3" t="s">
        <v>135</v>
      </c>
      <c r="F10" s="3" t="str">
        <f t="shared" si="2"/>
        <v>Total hari kerja</v>
      </c>
      <c r="G10" s="12" t="s">
        <v>24</v>
      </c>
      <c r="H10" s="12">
        <v>1</v>
      </c>
      <c r="I10" s="12"/>
      <c r="J10" s="12"/>
      <c r="K10" s="12"/>
    </row>
    <row r="11" spans="1:15" x14ac:dyDescent="0.35">
      <c r="A11" s="2">
        <v>46033</v>
      </c>
      <c r="B11" s="3" t="str">
        <f t="shared" si="3"/>
        <v>Sun</v>
      </c>
      <c r="C11" s="3">
        <f t="shared" si="0"/>
        <v>3</v>
      </c>
      <c r="D11" s="3" t="str">
        <f t="shared" si="1"/>
        <v>January</v>
      </c>
      <c r="E11" s="3"/>
      <c r="F11" s="3" t="str">
        <f t="shared" si="2"/>
        <v xml:space="preserve"> </v>
      </c>
      <c r="G11" s="12" t="s">
        <v>24</v>
      </c>
      <c r="H11" s="12"/>
      <c r="I11" s="12"/>
      <c r="J11" s="12"/>
      <c r="K11" s="12"/>
    </row>
    <row r="12" spans="1:15" x14ac:dyDescent="0.35">
      <c r="A12" s="2">
        <v>46034</v>
      </c>
      <c r="B12" s="3" t="str">
        <f t="shared" si="3"/>
        <v>Mon</v>
      </c>
      <c r="C12" s="3">
        <f t="shared" si="0"/>
        <v>3</v>
      </c>
      <c r="D12" s="3" t="str">
        <f t="shared" si="1"/>
        <v>January</v>
      </c>
      <c r="E12" s="3" t="s">
        <v>135</v>
      </c>
      <c r="F12" s="3" t="str">
        <f t="shared" si="2"/>
        <v>Total hari kerja</v>
      </c>
      <c r="G12" s="12" t="s">
        <v>24</v>
      </c>
      <c r="H12" s="12">
        <v>3</v>
      </c>
      <c r="I12" s="12"/>
      <c r="J12" s="12"/>
      <c r="K12" s="12"/>
    </row>
    <row r="13" spans="1:15" x14ac:dyDescent="0.35">
      <c r="A13" s="2">
        <v>46035</v>
      </c>
      <c r="B13" s="3" t="str">
        <f t="shared" si="3"/>
        <v>Tue</v>
      </c>
      <c r="C13" s="3">
        <f t="shared" si="0"/>
        <v>3</v>
      </c>
      <c r="D13" s="3" t="str">
        <f t="shared" si="1"/>
        <v>January</v>
      </c>
      <c r="E13" s="3" t="s">
        <v>135</v>
      </c>
      <c r="F13" s="3" t="str">
        <f t="shared" si="2"/>
        <v>Total hari kerja</v>
      </c>
      <c r="G13" s="12" t="s">
        <v>24</v>
      </c>
      <c r="H13" s="12">
        <v>1</v>
      </c>
      <c r="I13" s="12"/>
      <c r="J13" s="12"/>
      <c r="K13" s="12"/>
    </row>
    <row r="14" spans="1:15" x14ac:dyDescent="0.35">
      <c r="A14" s="2">
        <v>46036</v>
      </c>
      <c r="B14" s="3" t="str">
        <f t="shared" si="3"/>
        <v>Wed</v>
      </c>
      <c r="C14" s="3">
        <f t="shared" si="0"/>
        <v>3</v>
      </c>
      <c r="D14" s="3" t="str">
        <f t="shared" si="1"/>
        <v>January</v>
      </c>
      <c r="E14" s="3" t="s">
        <v>135</v>
      </c>
      <c r="F14" s="3" t="str">
        <f t="shared" si="2"/>
        <v>Total hari kerja</v>
      </c>
      <c r="G14" s="12" t="s">
        <v>24</v>
      </c>
      <c r="H14" s="12">
        <v>4</v>
      </c>
      <c r="I14" s="12">
        <v>1</v>
      </c>
      <c r="J14" s="12"/>
      <c r="K14" s="12"/>
    </row>
    <row r="15" spans="1:15" x14ac:dyDescent="0.35">
      <c r="A15" s="2">
        <v>46037</v>
      </c>
      <c r="B15" s="3" t="str">
        <f t="shared" si="3"/>
        <v>Thu</v>
      </c>
      <c r="C15" s="3">
        <f t="shared" si="0"/>
        <v>3</v>
      </c>
      <c r="D15" s="3" t="str">
        <f t="shared" si="1"/>
        <v>January</v>
      </c>
      <c r="E15" s="3" t="s">
        <v>135</v>
      </c>
      <c r="F15" s="3" t="str">
        <f t="shared" si="2"/>
        <v>Total hari kerja</v>
      </c>
      <c r="G15" s="12" t="s">
        <v>24</v>
      </c>
      <c r="H15" s="12">
        <v>5</v>
      </c>
      <c r="I15" s="12">
        <v>1</v>
      </c>
      <c r="J15" s="12"/>
      <c r="K15" s="12"/>
    </row>
    <row r="16" spans="1:15" x14ac:dyDescent="0.35">
      <c r="A16" s="2">
        <v>46038</v>
      </c>
      <c r="B16" s="3" t="str">
        <f t="shared" si="3"/>
        <v>Fri</v>
      </c>
      <c r="C16" s="3">
        <f t="shared" si="0"/>
        <v>3</v>
      </c>
      <c r="D16" s="3" t="str">
        <f t="shared" si="1"/>
        <v>January</v>
      </c>
      <c r="E16" s="3" t="s">
        <v>135</v>
      </c>
      <c r="F16" s="3" t="str">
        <f t="shared" si="2"/>
        <v>Total hari kerja</v>
      </c>
      <c r="G16" s="12" t="s">
        <v>24</v>
      </c>
      <c r="H16" s="12">
        <v>8</v>
      </c>
      <c r="I16" s="12"/>
      <c r="J16" s="12"/>
      <c r="K16" s="12"/>
    </row>
    <row r="17" spans="1:12" x14ac:dyDescent="0.35">
      <c r="A17" s="2">
        <v>46039</v>
      </c>
      <c r="B17" s="3" t="str">
        <f t="shared" si="3"/>
        <v>Sat</v>
      </c>
      <c r="C17" s="3">
        <f t="shared" si="0"/>
        <v>3</v>
      </c>
      <c r="D17" s="3" t="str">
        <f t="shared" si="1"/>
        <v>January</v>
      </c>
      <c r="E17" s="3" t="s">
        <v>102</v>
      </c>
      <c r="F17" s="3" t="str">
        <f t="shared" si="2"/>
        <v>Ijin/Sakit/Alfa</v>
      </c>
      <c r="G17" s="12" t="s">
        <v>24</v>
      </c>
      <c r="H17" s="12"/>
      <c r="I17" s="12"/>
      <c r="J17" s="12"/>
      <c r="K17" s="12"/>
      <c r="L17" t="s">
        <v>32</v>
      </c>
    </row>
    <row r="18" spans="1:12" x14ac:dyDescent="0.35">
      <c r="A18" s="2">
        <v>46040</v>
      </c>
      <c r="B18" s="3" t="str">
        <f t="shared" ref="B18:B81" si="4">TEXT(A18,"DDD")</f>
        <v>Sun</v>
      </c>
      <c r="C18" s="3">
        <f t="shared" ref="C18:C81" si="5">WEEKNUM(A18)</f>
        <v>4</v>
      </c>
      <c r="D18" s="3" t="str">
        <f t="shared" ref="D18:D81" si="6">TEXT(A18,"mmmm")</f>
        <v>January</v>
      </c>
      <c r="E18" s="3"/>
      <c r="F18" s="3" t="str">
        <f t="shared" si="2"/>
        <v xml:space="preserve"> </v>
      </c>
      <c r="G18" s="12" t="s">
        <v>24</v>
      </c>
      <c r="H18" s="12"/>
      <c r="I18" s="12"/>
      <c r="J18" s="12"/>
      <c r="K18" s="12"/>
    </row>
    <row r="19" spans="1:12" x14ac:dyDescent="0.35">
      <c r="A19" s="2">
        <v>46041</v>
      </c>
      <c r="B19" s="3" t="str">
        <f t="shared" si="4"/>
        <v>Mon</v>
      </c>
      <c r="C19" s="3">
        <f t="shared" si="5"/>
        <v>4</v>
      </c>
      <c r="D19" s="3" t="str">
        <f t="shared" si="6"/>
        <v>January</v>
      </c>
      <c r="E19" s="3" t="s">
        <v>135</v>
      </c>
      <c r="F19" s="3" t="str">
        <f t="shared" ref="F19:F82" si="7">IF(E19="J1",$O$3,IF(E19="J2",$O$4,IF(E19="J3",$O$5,IF(E19="J4",$O$6,IF(E19="J5",$O$7," ")))))</f>
        <v>Total hari kerja</v>
      </c>
      <c r="G19" s="12" t="s">
        <v>24</v>
      </c>
      <c r="H19" s="12">
        <v>3</v>
      </c>
      <c r="I19" s="12"/>
      <c r="J19" s="12"/>
      <c r="K19" s="12"/>
    </row>
    <row r="20" spans="1:12" x14ac:dyDescent="0.35">
      <c r="A20" s="2">
        <v>46042</v>
      </c>
      <c r="B20" s="3" t="str">
        <f t="shared" si="4"/>
        <v>Tue</v>
      </c>
      <c r="C20" s="3">
        <f t="shared" si="5"/>
        <v>4</v>
      </c>
      <c r="D20" s="3" t="str">
        <f t="shared" si="6"/>
        <v>January</v>
      </c>
      <c r="E20" s="3" t="s">
        <v>135</v>
      </c>
      <c r="F20" s="3" t="str">
        <f t="shared" si="7"/>
        <v>Total hari kerja</v>
      </c>
      <c r="G20" s="12" t="s">
        <v>24</v>
      </c>
      <c r="H20" s="12">
        <v>3</v>
      </c>
      <c r="I20" s="12"/>
      <c r="J20" s="12"/>
      <c r="K20" s="12"/>
    </row>
    <row r="21" spans="1:12" x14ac:dyDescent="0.35">
      <c r="A21" s="2">
        <v>46043</v>
      </c>
      <c r="B21" s="3" t="str">
        <f t="shared" si="4"/>
        <v>Wed</v>
      </c>
      <c r="C21" s="3">
        <f t="shared" si="5"/>
        <v>4</v>
      </c>
      <c r="D21" s="3" t="str">
        <f t="shared" si="6"/>
        <v>January</v>
      </c>
      <c r="E21" s="3"/>
      <c r="F21" s="3" t="str">
        <f t="shared" si="7"/>
        <v xml:space="preserve"> </v>
      </c>
      <c r="G21" s="12" t="s">
        <v>24</v>
      </c>
      <c r="H21" s="12"/>
      <c r="I21" s="12"/>
      <c r="J21" s="12"/>
      <c r="K21" s="12"/>
    </row>
    <row r="22" spans="1:12" x14ac:dyDescent="0.35">
      <c r="A22" s="2">
        <v>46044</v>
      </c>
      <c r="B22" s="3" t="str">
        <f t="shared" si="4"/>
        <v>Thu</v>
      </c>
      <c r="C22" s="3">
        <f t="shared" si="5"/>
        <v>4</v>
      </c>
      <c r="D22" s="3" t="str">
        <f t="shared" si="6"/>
        <v>January</v>
      </c>
      <c r="E22" s="3"/>
      <c r="F22" s="3" t="str">
        <f t="shared" si="7"/>
        <v xml:space="preserve"> </v>
      </c>
      <c r="G22" s="12" t="s">
        <v>24</v>
      </c>
      <c r="H22" s="12"/>
      <c r="I22" s="12"/>
      <c r="J22" s="12"/>
      <c r="K22" s="12"/>
    </row>
    <row r="23" spans="1:12" x14ac:dyDescent="0.35">
      <c r="A23" s="2">
        <v>46045</v>
      </c>
      <c r="B23" s="3" t="str">
        <f t="shared" si="4"/>
        <v>Fri</v>
      </c>
      <c r="C23" s="3">
        <f t="shared" si="5"/>
        <v>4</v>
      </c>
      <c r="D23" s="3" t="str">
        <f t="shared" si="6"/>
        <v>January</v>
      </c>
      <c r="E23" s="3"/>
      <c r="F23" s="3" t="str">
        <f t="shared" si="7"/>
        <v xml:space="preserve"> </v>
      </c>
      <c r="G23" s="12" t="s">
        <v>24</v>
      </c>
      <c r="H23" s="12"/>
      <c r="I23" s="12"/>
      <c r="J23" s="12"/>
      <c r="K23" s="12"/>
    </row>
    <row r="24" spans="1:12" x14ac:dyDescent="0.35">
      <c r="A24" s="2">
        <v>46046</v>
      </c>
      <c r="B24" s="3" t="str">
        <f t="shared" si="4"/>
        <v>Sat</v>
      </c>
      <c r="C24" s="3">
        <f t="shared" si="5"/>
        <v>4</v>
      </c>
      <c r="D24" s="3" t="str">
        <f t="shared" si="6"/>
        <v>January</v>
      </c>
      <c r="E24" s="3"/>
      <c r="F24" s="3" t="str">
        <f t="shared" si="7"/>
        <v xml:space="preserve"> </v>
      </c>
      <c r="G24" s="12" t="s">
        <v>24</v>
      </c>
      <c r="H24" s="12"/>
      <c r="I24" s="12"/>
      <c r="J24" s="12"/>
      <c r="K24" s="12"/>
    </row>
    <row r="25" spans="1:12" x14ac:dyDescent="0.35">
      <c r="A25" s="2">
        <v>46047</v>
      </c>
      <c r="B25" s="3" t="str">
        <f t="shared" si="4"/>
        <v>Sun</v>
      </c>
      <c r="C25" s="3">
        <f t="shared" si="5"/>
        <v>5</v>
      </c>
      <c r="D25" s="3" t="str">
        <f t="shared" si="6"/>
        <v>January</v>
      </c>
      <c r="E25" s="3"/>
      <c r="F25" s="3" t="str">
        <f t="shared" si="7"/>
        <v xml:space="preserve"> </v>
      </c>
      <c r="G25" s="12" t="s">
        <v>24</v>
      </c>
      <c r="H25" s="12"/>
      <c r="I25" s="12"/>
      <c r="J25" s="12"/>
      <c r="K25" s="12"/>
    </row>
    <row r="26" spans="1:12" x14ac:dyDescent="0.35">
      <c r="A26" s="2">
        <v>46048</v>
      </c>
      <c r="B26" s="3" t="str">
        <f t="shared" si="4"/>
        <v>Mon</v>
      </c>
      <c r="C26" s="3">
        <f t="shared" si="5"/>
        <v>5</v>
      </c>
      <c r="D26" s="3" t="str">
        <f t="shared" si="6"/>
        <v>January</v>
      </c>
      <c r="E26" s="3" t="s">
        <v>5</v>
      </c>
      <c r="F26" s="3" t="str">
        <f t="shared" si="7"/>
        <v>Total hari kerja</v>
      </c>
      <c r="G26" s="12" t="s">
        <v>158</v>
      </c>
      <c r="H26" s="12">
        <v>3</v>
      </c>
      <c r="I26" s="12">
        <v>5</v>
      </c>
      <c r="J26" s="12">
        <v>1</v>
      </c>
      <c r="K26" s="12"/>
    </row>
    <row r="27" spans="1:12" x14ac:dyDescent="0.35">
      <c r="A27" s="2">
        <v>46049</v>
      </c>
      <c r="B27" s="3" t="str">
        <f t="shared" si="4"/>
        <v>Tue</v>
      </c>
      <c r="C27" s="3">
        <f t="shared" si="5"/>
        <v>5</v>
      </c>
      <c r="D27" s="3" t="str">
        <f t="shared" si="6"/>
        <v>January</v>
      </c>
      <c r="E27" s="3" t="s">
        <v>5</v>
      </c>
      <c r="F27" s="3" t="str">
        <f t="shared" si="7"/>
        <v>Total hari kerja</v>
      </c>
      <c r="G27" s="12" t="s">
        <v>158</v>
      </c>
      <c r="H27" s="12">
        <v>1</v>
      </c>
      <c r="I27" s="12">
        <v>3</v>
      </c>
      <c r="J27" s="12">
        <v>4</v>
      </c>
      <c r="K27" s="12"/>
    </row>
    <row r="28" spans="1:12" x14ac:dyDescent="0.35">
      <c r="A28" s="2">
        <v>46050</v>
      </c>
      <c r="B28" s="3" t="str">
        <f t="shared" si="4"/>
        <v>Wed</v>
      </c>
      <c r="C28" s="3">
        <f t="shared" si="5"/>
        <v>5</v>
      </c>
      <c r="D28" s="3" t="str">
        <f t="shared" si="6"/>
        <v>January</v>
      </c>
      <c r="E28" s="3" t="s">
        <v>5</v>
      </c>
      <c r="F28" s="3" t="str">
        <f t="shared" si="7"/>
        <v>Total hari kerja</v>
      </c>
      <c r="G28" s="12" t="s">
        <v>158</v>
      </c>
      <c r="H28" s="12">
        <v>1</v>
      </c>
      <c r="I28" s="12">
        <v>2</v>
      </c>
      <c r="J28" s="12"/>
      <c r="K28" s="12"/>
    </row>
    <row r="29" spans="1:12" x14ac:dyDescent="0.35">
      <c r="A29" s="2">
        <v>46051</v>
      </c>
      <c r="B29" s="3" t="str">
        <f t="shared" si="4"/>
        <v>Thu</v>
      </c>
      <c r="C29" s="3">
        <f t="shared" si="5"/>
        <v>5</v>
      </c>
      <c r="D29" s="3" t="str">
        <f t="shared" si="6"/>
        <v>January</v>
      </c>
      <c r="E29" s="3" t="s">
        <v>7</v>
      </c>
      <c r="F29" s="3" t="str">
        <f t="shared" si="7"/>
        <v>Ijin/Sakit/Alfa</v>
      </c>
      <c r="G29" s="12" t="s">
        <v>158</v>
      </c>
      <c r="H29" s="12"/>
      <c r="I29" s="12"/>
      <c r="J29" s="12"/>
      <c r="K29" s="12"/>
    </row>
    <row r="30" spans="1:12" x14ac:dyDescent="0.35">
      <c r="A30" s="2">
        <v>46052</v>
      </c>
      <c r="B30" s="3" t="str">
        <f t="shared" si="4"/>
        <v>Fri</v>
      </c>
      <c r="C30" s="3">
        <f t="shared" si="5"/>
        <v>5</v>
      </c>
      <c r="D30" s="3" t="str">
        <f t="shared" si="6"/>
        <v>January</v>
      </c>
      <c r="E30" s="3" t="s">
        <v>5</v>
      </c>
      <c r="F30" s="3" t="str">
        <f t="shared" si="7"/>
        <v>Total hari kerja</v>
      </c>
      <c r="G30" s="12" t="s">
        <v>158</v>
      </c>
      <c r="H30" s="12">
        <v>3</v>
      </c>
      <c r="I30" s="12">
        <v>4</v>
      </c>
      <c r="J30" s="12">
        <v>2</v>
      </c>
      <c r="K30" s="12"/>
    </row>
    <row r="31" spans="1:12" x14ac:dyDescent="0.35">
      <c r="A31" s="2">
        <v>46053</v>
      </c>
      <c r="B31" s="3" t="str">
        <f t="shared" si="4"/>
        <v>Sat</v>
      </c>
      <c r="C31" s="3">
        <f t="shared" si="5"/>
        <v>5</v>
      </c>
      <c r="D31" s="3" t="str">
        <f t="shared" si="6"/>
        <v>January</v>
      </c>
      <c r="E31" s="3" t="s">
        <v>5</v>
      </c>
      <c r="F31" s="3" t="str">
        <f t="shared" si="7"/>
        <v>Total hari kerja</v>
      </c>
      <c r="G31" s="12" t="s">
        <v>158</v>
      </c>
      <c r="H31" s="12"/>
      <c r="I31" s="12"/>
      <c r="J31" s="12"/>
      <c r="K31" s="12"/>
    </row>
    <row r="32" spans="1:12" x14ac:dyDescent="0.35">
      <c r="A32" s="2">
        <v>46054</v>
      </c>
      <c r="B32" s="3" t="str">
        <f t="shared" si="4"/>
        <v>Sun</v>
      </c>
      <c r="C32" s="3">
        <f t="shared" si="5"/>
        <v>6</v>
      </c>
      <c r="D32" s="3" t="str">
        <f t="shared" si="6"/>
        <v>February</v>
      </c>
      <c r="E32" s="3"/>
      <c r="F32" s="3" t="str">
        <f t="shared" si="7"/>
        <v xml:space="preserve"> </v>
      </c>
      <c r="G32" s="12" t="s">
        <v>158</v>
      </c>
      <c r="H32" s="12"/>
      <c r="I32" s="12"/>
      <c r="J32" s="12"/>
      <c r="K32" s="12"/>
    </row>
    <row r="33" spans="1:12" x14ac:dyDescent="0.35">
      <c r="A33" s="2">
        <v>46055</v>
      </c>
      <c r="B33" s="3" t="str">
        <f t="shared" si="4"/>
        <v>Mon</v>
      </c>
      <c r="C33" s="3">
        <f t="shared" si="5"/>
        <v>6</v>
      </c>
      <c r="D33" s="3" t="str">
        <f t="shared" si="6"/>
        <v>February</v>
      </c>
      <c r="E33" s="3" t="s">
        <v>5</v>
      </c>
      <c r="F33" s="3" t="str">
        <f t="shared" si="7"/>
        <v>Total hari kerja</v>
      </c>
      <c r="G33" s="12" t="s">
        <v>158</v>
      </c>
      <c r="H33" s="12">
        <v>2</v>
      </c>
      <c r="I33" s="12">
        <v>1</v>
      </c>
      <c r="J33" s="12">
        <v>3</v>
      </c>
      <c r="K33" s="12"/>
    </row>
    <row r="34" spans="1:12" x14ac:dyDescent="0.35">
      <c r="A34" s="2">
        <v>46056</v>
      </c>
      <c r="B34" s="3" t="str">
        <f t="shared" si="4"/>
        <v>Tue</v>
      </c>
      <c r="C34" s="3">
        <f t="shared" si="5"/>
        <v>6</v>
      </c>
      <c r="D34" s="3" t="str">
        <f t="shared" si="6"/>
        <v>February</v>
      </c>
      <c r="E34" s="3" t="s">
        <v>5</v>
      </c>
      <c r="F34" s="3" t="str">
        <f t="shared" si="7"/>
        <v>Total hari kerja</v>
      </c>
      <c r="G34" s="12" t="s">
        <v>158</v>
      </c>
      <c r="H34" s="12">
        <v>3</v>
      </c>
      <c r="I34" s="12">
        <v>1</v>
      </c>
      <c r="J34" s="12"/>
      <c r="K34" s="12"/>
    </row>
    <row r="35" spans="1:12" x14ac:dyDescent="0.35">
      <c r="A35" s="2">
        <v>46057</v>
      </c>
      <c r="B35" s="3" t="str">
        <f t="shared" si="4"/>
        <v>Wed</v>
      </c>
      <c r="C35" s="3">
        <f t="shared" si="5"/>
        <v>6</v>
      </c>
      <c r="D35" s="3" t="str">
        <f t="shared" si="6"/>
        <v>February</v>
      </c>
      <c r="E35" s="3" t="s">
        <v>5</v>
      </c>
      <c r="F35" s="3" t="str">
        <f t="shared" si="7"/>
        <v>Total hari kerja</v>
      </c>
      <c r="G35" s="12" t="s">
        <v>158</v>
      </c>
      <c r="H35" s="12">
        <v>2</v>
      </c>
      <c r="I35" s="12">
        <v>4</v>
      </c>
      <c r="J35" s="12">
        <v>1</v>
      </c>
      <c r="K35" s="12"/>
    </row>
    <row r="36" spans="1:12" x14ac:dyDescent="0.35">
      <c r="A36" s="2">
        <v>46058</v>
      </c>
      <c r="B36" s="3" t="str">
        <f t="shared" si="4"/>
        <v>Thu</v>
      </c>
      <c r="C36" s="3">
        <f t="shared" si="5"/>
        <v>6</v>
      </c>
      <c r="D36" s="3" t="str">
        <f t="shared" si="6"/>
        <v>February</v>
      </c>
      <c r="E36" s="3" t="s">
        <v>5</v>
      </c>
      <c r="F36" s="3" t="str">
        <f t="shared" si="7"/>
        <v>Total hari kerja</v>
      </c>
      <c r="G36" s="12" t="s">
        <v>158</v>
      </c>
      <c r="H36" s="12">
        <v>4</v>
      </c>
      <c r="I36" s="12"/>
      <c r="J36" s="12"/>
      <c r="K36" s="12"/>
    </row>
    <row r="37" spans="1:12" x14ac:dyDescent="0.35">
      <c r="A37" s="2">
        <v>46059</v>
      </c>
      <c r="B37" s="3" t="str">
        <f t="shared" si="4"/>
        <v>Fri</v>
      </c>
      <c r="C37" s="3">
        <f t="shared" si="5"/>
        <v>6</v>
      </c>
      <c r="D37" s="3" t="str">
        <f t="shared" si="6"/>
        <v>February</v>
      </c>
      <c r="E37" s="3" t="s">
        <v>5</v>
      </c>
      <c r="F37" s="3" t="str">
        <f t="shared" si="7"/>
        <v>Total hari kerja</v>
      </c>
      <c r="G37" s="12" t="s">
        <v>158</v>
      </c>
      <c r="H37" s="12">
        <v>1</v>
      </c>
      <c r="I37" s="12"/>
      <c r="J37" s="12"/>
      <c r="K37" s="12"/>
    </row>
    <row r="38" spans="1:12" x14ac:dyDescent="0.35">
      <c r="A38" s="2">
        <v>46060</v>
      </c>
      <c r="B38" s="3" t="str">
        <f t="shared" si="4"/>
        <v>Sat</v>
      </c>
      <c r="C38" s="3">
        <f t="shared" si="5"/>
        <v>6</v>
      </c>
      <c r="D38" s="3" t="str">
        <f t="shared" si="6"/>
        <v>February</v>
      </c>
      <c r="E38" s="3" t="s">
        <v>5</v>
      </c>
      <c r="F38" s="3" t="str">
        <f t="shared" si="7"/>
        <v>Total hari kerja</v>
      </c>
      <c r="G38" s="12" t="s">
        <v>158</v>
      </c>
      <c r="H38" s="12">
        <v>2</v>
      </c>
      <c r="I38" s="12">
        <v>1</v>
      </c>
      <c r="J38" s="12"/>
      <c r="K38" s="12"/>
    </row>
    <row r="39" spans="1:12" x14ac:dyDescent="0.35">
      <c r="A39" s="2">
        <v>46061</v>
      </c>
      <c r="B39" s="3" t="str">
        <f t="shared" si="4"/>
        <v>Sun</v>
      </c>
      <c r="C39" s="3">
        <f t="shared" si="5"/>
        <v>7</v>
      </c>
      <c r="D39" s="3" t="str">
        <f t="shared" si="6"/>
        <v>February</v>
      </c>
      <c r="E39" s="3"/>
      <c r="F39" s="3" t="str">
        <f t="shared" si="7"/>
        <v xml:space="preserve"> </v>
      </c>
      <c r="G39" s="12" t="s">
        <v>158</v>
      </c>
      <c r="H39" s="12"/>
      <c r="I39" s="12"/>
      <c r="J39" s="12"/>
      <c r="K39" s="12"/>
    </row>
    <row r="40" spans="1:12" x14ac:dyDescent="0.35">
      <c r="A40" s="2">
        <v>46062</v>
      </c>
      <c r="B40" s="3" t="str">
        <f t="shared" si="4"/>
        <v>Mon</v>
      </c>
      <c r="C40" s="3">
        <f t="shared" si="5"/>
        <v>7</v>
      </c>
      <c r="D40" s="3" t="str">
        <f t="shared" si="6"/>
        <v>February</v>
      </c>
      <c r="E40" s="3" t="s">
        <v>5</v>
      </c>
      <c r="F40" s="3" t="str">
        <f t="shared" si="7"/>
        <v>Total hari kerja</v>
      </c>
      <c r="G40" s="12" t="s">
        <v>158</v>
      </c>
      <c r="H40" s="12">
        <v>1</v>
      </c>
      <c r="I40" s="12">
        <v>3</v>
      </c>
      <c r="J40" s="12"/>
      <c r="K40" s="12"/>
    </row>
    <row r="41" spans="1:12" x14ac:dyDescent="0.35">
      <c r="A41" s="2">
        <v>46063</v>
      </c>
      <c r="B41" s="3" t="str">
        <f t="shared" si="4"/>
        <v>Tue</v>
      </c>
      <c r="C41" s="3">
        <f t="shared" si="5"/>
        <v>7</v>
      </c>
      <c r="D41" s="3" t="str">
        <f t="shared" si="6"/>
        <v>February</v>
      </c>
      <c r="E41" s="3" t="s">
        <v>5</v>
      </c>
      <c r="F41" s="3" t="str">
        <f t="shared" si="7"/>
        <v>Total hari kerja</v>
      </c>
      <c r="G41" s="12" t="s">
        <v>158</v>
      </c>
      <c r="H41" s="12">
        <v>3</v>
      </c>
      <c r="I41" s="12">
        <v>4</v>
      </c>
      <c r="J41" s="12"/>
      <c r="K41" s="12"/>
    </row>
    <row r="42" spans="1:12" x14ac:dyDescent="0.35">
      <c r="A42" s="2">
        <v>46064</v>
      </c>
      <c r="B42" s="3" t="str">
        <f t="shared" si="4"/>
        <v>Wed</v>
      </c>
      <c r="C42" s="3">
        <f t="shared" si="5"/>
        <v>7</v>
      </c>
      <c r="D42" s="3" t="str">
        <f t="shared" si="6"/>
        <v>February</v>
      </c>
      <c r="E42" s="3" t="s">
        <v>5</v>
      </c>
      <c r="F42" s="3" t="str">
        <f t="shared" si="7"/>
        <v>Total hari kerja</v>
      </c>
      <c r="G42" s="12" t="s">
        <v>158</v>
      </c>
      <c r="H42" s="12">
        <v>5</v>
      </c>
      <c r="I42" s="12">
        <v>2</v>
      </c>
      <c r="J42" s="12">
        <v>2</v>
      </c>
      <c r="K42" s="12"/>
    </row>
    <row r="43" spans="1:12" x14ac:dyDescent="0.35">
      <c r="A43" s="2">
        <v>46065</v>
      </c>
      <c r="B43" s="3" t="str">
        <f t="shared" si="4"/>
        <v>Thu</v>
      </c>
      <c r="C43" s="3">
        <f t="shared" si="5"/>
        <v>7</v>
      </c>
      <c r="D43" s="3" t="str">
        <f t="shared" si="6"/>
        <v>February</v>
      </c>
      <c r="E43" s="3" t="s">
        <v>5</v>
      </c>
      <c r="F43" s="3" t="str">
        <f t="shared" si="7"/>
        <v>Total hari kerja</v>
      </c>
      <c r="G43" s="12" t="s">
        <v>158</v>
      </c>
      <c r="H43" s="12">
        <v>3</v>
      </c>
      <c r="I43" s="12">
        <v>3</v>
      </c>
      <c r="J43" s="12">
        <v>3</v>
      </c>
      <c r="K43" s="12"/>
    </row>
    <row r="44" spans="1:12" x14ac:dyDescent="0.35">
      <c r="A44" s="2">
        <v>46066</v>
      </c>
      <c r="B44" s="3" t="str">
        <f t="shared" si="4"/>
        <v>Fri</v>
      </c>
      <c r="C44" s="3">
        <f t="shared" si="5"/>
        <v>7</v>
      </c>
      <c r="D44" s="3" t="str">
        <f t="shared" si="6"/>
        <v>February</v>
      </c>
      <c r="E44" s="3" t="s">
        <v>5</v>
      </c>
      <c r="F44" s="3" t="str">
        <f t="shared" si="7"/>
        <v>Total hari kerja</v>
      </c>
      <c r="G44" s="12" t="s">
        <v>158</v>
      </c>
      <c r="H44" s="12">
        <v>4</v>
      </c>
      <c r="I44" s="12">
        <v>1</v>
      </c>
      <c r="J44" s="12">
        <v>3</v>
      </c>
      <c r="K44" s="12"/>
    </row>
    <row r="45" spans="1:12" x14ac:dyDescent="0.35">
      <c r="A45" s="2">
        <v>46067</v>
      </c>
      <c r="B45" s="3" t="str">
        <f t="shared" si="4"/>
        <v>Sat</v>
      </c>
      <c r="C45" s="3">
        <f t="shared" si="5"/>
        <v>7</v>
      </c>
      <c r="D45" s="3" t="str">
        <f t="shared" si="6"/>
        <v>February</v>
      </c>
      <c r="E45" s="3" t="s">
        <v>5</v>
      </c>
      <c r="F45" s="3" t="str">
        <f t="shared" si="7"/>
        <v>Total hari kerja</v>
      </c>
      <c r="G45" s="12" t="s">
        <v>158</v>
      </c>
      <c r="H45" s="12">
        <v>1</v>
      </c>
      <c r="I45" s="12">
        <v>4</v>
      </c>
      <c r="J45" s="12">
        <v>1</v>
      </c>
      <c r="K45" s="12"/>
    </row>
    <row r="46" spans="1:12" x14ac:dyDescent="0.35">
      <c r="A46" s="2">
        <v>46068</v>
      </c>
      <c r="B46" s="3" t="str">
        <f t="shared" si="4"/>
        <v>Sun</v>
      </c>
      <c r="C46" s="3">
        <f t="shared" si="5"/>
        <v>8</v>
      </c>
      <c r="D46" s="3" t="str">
        <f t="shared" si="6"/>
        <v>February</v>
      </c>
      <c r="E46" s="3"/>
      <c r="F46" s="3" t="str">
        <f t="shared" si="7"/>
        <v xml:space="preserve"> </v>
      </c>
      <c r="G46" s="12" t="s">
        <v>158</v>
      </c>
      <c r="H46" s="12"/>
      <c r="I46" s="12"/>
      <c r="J46" s="12"/>
      <c r="K46" s="12"/>
    </row>
    <row r="47" spans="1:12" x14ac:dyDescent="0.35">
      <c r="A47" s="2">
        <v>46069</v>
      </c>
      <c r="B47" s="3" t="str">
        <f t="shared" si="4"/>
        <v>Mon</v>
      </c>
      <c r="C47" s="3">
        <f t="shared" si="5"/>
        <v>8</v>
      </c>
      <c r="D47" s="3" t="str">
        <f t="shared" si="6"/>
        <v>February</v>
      </c>
      <c r="E47" s="3" t="s">
        <v>5</v>
      </c>
      <c r="F47" s="3" t="str">
        <f t="shared" si="7"/>
        <v>Total hari kerja</v>
      </c>
      <c r="G47" s="12" t="s">
        <v>158</v>
      </c>
      <c r="H47" s="12">
        <v>1</v>
      </c>
      <c r="I47" s="12">
        <v>1</v>
      </c>
      <c r="J47" s="12"/>
      <c r="K47" s="12"/>
    </row>
    <row r="48" spans="1:12" x14ac:dyDescent="0.35">
      <c r="A48" s="2">
        <v>46070</v>
      </c>
      <c r="B48" s="3" t="str">
        <f t="shared" si="4"/>
        <v>Tue</v>
      </c>
      <c r="C48" s="3">
        <f t="shared" si="5"/>
        <v>8</v>
      </c>
      <c r="D48" s="3" t="str">
        <f t="shared" si="6"/>
        <v>February</v>
      </c>
      <c r="E48" s="3" t="s">
        <v>5</v>
      </c>
      <c r="F48" s="3" t="str">
        <f t="shared" si="7"/>
        <v>Total hari kerja</v>
      </c>
      <c r="G48" s="12" t="s">
        <v>158</v>
      </c>
      <c r="H48" s="12">
        <v>1</v>
      </c>
      <c r="I48" s="12">
        <v>1</v>
      </c>
      <c r="J48" s="12"/>
      <c r="K48" s="12"/>
      <c r="L48" t="s">
        <v>32</v>
      </c>
    </row>
    <row r="49" spans="1:12" x14ac:dyDescent="0.35">
      <c r="A49" s="2">
        <v>46071</v>
      </c>
      <c r="B49" s="3" t="str">
        <f t="shared" si="4"/>
        <v>Wed</v>
      </c>
      <c r="C49" s="3">
        <f t="shared" si="5"/>
        <v>8</v>
      </c>
      <c r="D49" s="3" t="str">
        <f t="shared" si="6"/>
        <v>February</v>
      </c>
      <c r="E49" s="3" t="s">
        <v>5</v>
      </c>
      <c r="F49" s="3" t="str">
        <f t="shared" si="7"/>
        <v>Total hari kerja</v>
      </c>
      <c r="G49" s="12" t="s">
        <v>158</v>
      </c>
      <c r="H49" s="12">
        <v>2</v>
      </c>
      <c r="I49" s="12">
        <v>1</v>
      </c>
      <c r="J49" s="12"/>
      <c r="K49" s="12"/>
    </row>
    <row r="50" spans="1:12" x14ac:dyDescent="0.35">
      <c r="A50" s="2">
        <v>46072</v>
      </c>
      <c r="B50" s="3" t="str">
        <f t="shared" si="4"/>
        <v>Thu</v>
      </c>
      <c r="C50" s="3">
        <f t="shared" si="5"/>
        <v>8</v>
      </c>
      <c r="D50" s="3" t="str">
        <f t="shared" si="6"/>
        <v>February</v>
      </c>
      <c r="E50" s="3" t="s">
        <v>5</v>
      </c>
      <c r="F50" s="3" t="str">
        <f t="shared" si="7"/>
        <v>Total hari kerja</v>
      </c>
      <c r="G50" s="12" t="s">
        <v>158</v>
      </c>
      <c r="H50" s="12">
        <v>3</v>
      </c>
      <c r="I50" s="12">
        <v>2</v>
      </c>
      <c r="J50" s="12"/>
      <c r="K50" s="12"/>
    </row>
    <row r="51" spans="1:12" x14ac:dyDescent="0.35">
      <c r="A51" s="2">
        <v>46073</v>
      </c>
      <c r="B51" s="3" t="str">
        <f t="shared" si="4"/>
        <v>Fri</v>
      </c>
      <c r="C51" s="3">
        <f t="shared" si="5"/>
        <v>8</v>
      </c>
      <c r="D51" s="3" t="str">
        <f t="shared" si="6"/>
        <v>February</v>
      </c>
      <c r="E51" s="3" t="s">
        <v>5</v>
      </c>
      <c r="F51" s="3" t="str">
        <f t="shared" si="7"/>
        <v>Total hari kerja</v>
      </c>
      <c r="G51" s="12" t="s">
        <v>158</v>
      </c>
      <c r="H51" s="12">
        <v>1</v>
      </c>
      <c r="I51" s="12">
        <v>1</v>
      </c>
      <c r="J51" s="12"/>
      <c r="K51" s="12"/>
    </row>
    <row r="52" spans="1:12" x14ac:dyDescent="0.35">
      <c r="A52" s="2">
        <v>46074</v>
      </c>
      <c r="B52" s="3" t="str">
        <f t="shared" si="4"/>
        <v>Sat</v>
      </c>
      <c r="C52" s="3">
        <f t="shared" si="5"/>
        <v>8</v>
      </c>
      <c r="D52" s="3" t="str">
        <f t="shared" si="6"/>
        <v>February</v>
      </c>
      <c r="E52" s="3" t="s">
        <v>5</v>
      </c>
      <c r="F52" s="3" t="str">
        <f t="shared" si="7"/>
        <v>Total hari kerja</v>
      </c>
      <c r="G52" s="12" t="s">
        <v>158</v>
      </c>
      <c r="H52" s="12">
        <v>3</v>
      </c>
      <c r="I52" s="12">
        <v>1</v>
      </c>
      <c r="J52" s="12">
        <v>1</v>
      </c>
      <c r="K52" s="12"/>
    </row>
    <row r="53" spans="1:12" x14ac:dyDescent="0.35">
      <c r="A53" s="2">
        <v>46075</v>
      </c>
      <c r="B53" s="3" t="str">
        <f t="shared" si="4"/>
        <v>Sun</v>
      </c>
      <c r="C53" s="3">
        <f t="shared" si="5"/>
        <v>9</v>
      </c>
      <c r="D53" s="3" t="str">
        <f t="shared" si="6"/>
        <v>February</v>
      </c>
      <c r="E53" s="3"/>
      <c r="F53" s="3" t="str">
        <f t="shared" si="7"/>
        <v xml:space="preserve"> </v>
      </c>
      <c r="G53" s="12" t="s">
        <v>158</v>
      </c>
      <c r="H53" s="12"/>
      <c r="I53" s="12"/>
      <c r="J53" s="12"/>
      <c r="K53" s="12"/>
    </row>
    <row r="54" spans="1:12" x14ac:dyDescent="0.35">
      <c r="A54" s="2">
        <v>46076</v>
      </c>
      <c r="B54" s="3" t="str">
        <f t="shared" si="4"/>
        <v>Mon</v>
      </c>
      <c r="C54" s="3">
        <f t="shared" si="5"/>
        <v>9</v>
      </c>
      <c r="D54" s="3" t="str">
        <f t="shared" si="6"/>
        <v>February</v>
      </c>
      <c r="E54" s="3" t="s">
        <v>5</v>
      </c>
      <c r="F54" s="3" t="str">
        <f t="shared" si="7"/>
        <v>Total hari kerja</v>
      </c>
      <c r="G54" s="12" t="s">
        <v>158</v>
      </c>
      <c r="H54" s="12">
        <v>5</v>
      </c>
      <c r="I54" s="12">
        <v>5</v>
      </c>
      <c r="J54" s="12">
        <v>3</v>
      </c>
      <c r="K54" s="12"/>
    </row>
    <row r="55" spans="1:12" x14ac:dyDescent="0.35">
      <c r="A55" s="2">
        <v>46077</v>
      </c>
      <c r="B55" s="3" t="str">
        <f t="shared" si="4"/>
        <v>Tue</v>
      </c>
      <c r="C55" s="3">
        <f t="shared" si="5"/>
        <v>9</v>
      </c>
      <c r="D55" s="3" t="str">
        <f t="shared" si="6"/>
        <v>February</v>
      </c>
      <c r="E55" s="3" t="s">
        <v>5</v>
      </c>
      <c r="F55" s="3" t="str">
        <f t="shared" si="7"/>
        <v>Total hari kerja</v>
      </c>
      <c r="G55" s="12" t="s">
        <v>158</v>
      </c>
      <c r="H55" s="12">
        <v>3</v>
      </c>
      <c r="I55" s="12">
        <v>1</v>
      </c>
      <c r="J55" s="12">
        <v>3</v>
      </c>
      <c r="K55" s="12"/>
    </row>
    <row r="56" spans="1:12" x14ac:dyDescent="0.35">
      <c r="A56" s="2">
        <v>46078</v>
      </c>
      <c r="B56" s="3" t="str">
        <f t="shared" si="4"/>
        <v>Wed</v>
      </c>
      <c r="C56" s="3">
        <f t="shared" si="5"/>
        <v>9</v>
      </c>
      <c r="D56" s="3" t="str">
        <f t="shared" si="6"/>
        <v>February</v>
      </c>
      <c r="E56" s="3" t="s">
        <v>5</v>
      </c>
      <c r="F56" s="3" t="str">
        <f t="shared" si="7"/>
        <v>Total hari kerja</v>
      </c>
      <c r="G56" s="12" t="s">
        <v>158</v>
      </c>
      <c r="H56" s="12">
        <v>5</v>
      </c>
      <c r="I56" s="12">
        <v>3</v>
      </c>
      <c r="J56" s="12">
        <v>3</v>
      </c>
      <c r="K56" s="12"/>
    </row>
    <row r="57" spans="1:12" x14ac:dyDescent="0.35">
      <c r="A57" s="2">
        <v>46079</v>
      </c>
      <c r="B57" s="3" t="str">
        <f t="shared" si="4"/>
        <v>Thu</v>
      </c>
      <c r="C57" s="3">
        <f t="shared" si="5"/>
        <v>9</v>
      </c>
      <c r="D57" s="3" t="str">
        <f t="shared" si="6"/>
        <v>February</v>
      </c>
      <c r="E57" s="3" t="s">
        <v>5</v>
      </c>
      <c r="F57" s="3" t="str">
        <f t="shared" si="7"/>
        <v>Total hari kerja</v>
      </c>
      <c r="G57" s="12" t="s">
        <v>158</v>
      </c>
      <c r="H57" s="12">
        <v>2</v>
      </c>
      <c r="I57" s="12">
        <v>3</v>
      </c>
      <c r="J57" s="12"/>
      <c r="K57" s="12"/>
    </row>
    <row r="58" spans="1:12" x14ac:dyDescent="0.35">
      <c r="A58" s="2">
        <v>46080</v>
      </c>
      <c r="B58" s="3" t="str">
        <f t="shared" si="4"/>
        <v>Fri</v>
      </c>
      <c r="C58" s="3">
        <f t="shared" si="5"/>
        <v>9</v>
      </c>
      <c r="D58" s="3" t="str">
        <f t="shared" si="6"/>
        <v>February</v>
      </c>
      <c r="E58" s="3" t="s">
        <v>5</v>
      </c>
      <c r="F58" s="3" t="str">
        <f t="shared" si="7"/>
        <v>Total hari kerja</v>
      </c>
      <c r="G58" s="12" t="s">
        <v>158</v>
      </c>
      <c r="H58" s="12">
        <v>3</v>
      </c>
      <c r="I58" s="12">
        <v>2</v>
      </c>
      <c r="J58" s="12">
        <v>6</v>
      </c>
      <c r="K58" s="12"/>
    </row>
    <row r="59" spans="1:12" x14ac:dyDescent="0.35">
      <c r="A59" s="2">
        <v>46081</v>
      </c>
      <c r="B59" s="3" t="str">
        <f t="shared" si="4"/>
        <v>Sat</v>
      </c>
      <c r="C59" s="3">
        <f t="shared" si="5"/>
        <v>9</v>
      </c>
      <c r="D59" s="3" t="str">
        <f t="shared" si="6"/>
        <v>February</v>
      </c>
      <c r="E59" s="3" t="s">
        <v>5</v>
      </c>
      <c r="F59" s="3" t="str">
        <f t="shared" si="7"/>
        <v>Total hari kerja</v>
      </c>
      <c r="G59" s="12" t="s">
        <v>158</v>
      </c>
      <c r="H59" s="12"/>
      <c r="I59" s="12"/>
      <c r="J59" s="12"/>
      <c r="K59" s="12"/>
    </row>
    <row r="60" spans="1:12" x14ac:dyDescent="0.35">
      <c r="A60" s="2">
        <v>46082</v>
      </c>
      <c r="B60" s="3" t="str">
        <f t="shared" si="4"/>
        <v>Sun</v>
      </c>
      <c r="C60" s="3">
        <f t="shared" si="5"/>
        <v>10</v>
      </c>
      <c r="D60" s="3" t="str">
        <f t="shared" si="6"/>
        <v>March</v>
      </c>
      <c r="E60" s="3"/>
      <c r="F60" s="3" t="str">
        <f t="shared" si="7"/>
        <v xml:space="preserve"> </v>
      </c>
      <c r="G60" s="12" t="s">
        <v>158</v>
      </c>
      <c r="H60" s="12"/>
      <c r="I60" s="12"/>
      <c r="J60" s="12"/>
      <c r="K60" s="12"/>
    </row>
    <row r="61" spans="1:12" x14ac:dyDescent="0.35">
      <c r="A61" s="2">
        <v>46083</v>
      </c>
      <c r="B61" s="3" t="str">
        <f t="shared" si="4"/>
        <v>Mon</v>
      </c>
      <c r="C61" s="3">
        <f t="shared" si="5"/>
        <v>10</v>
      </c>
      <c r="D61" s="3" t="str">
        <f t="shared" si="6"/>
        <v>March</v>
      </c>
      <c r="E61" s="3" t="s">
        <v>102</v>
      </c>
      <c r="F61" s="3" t="str">
        <f t="shared" si="7"/>
        <v>Ijin/Sakit/Alfa</v>
      </c>
      <c r="G61" s="12" t="s">
        <v>158</v>
      </c>
      <c r="H61" s="12"/>
      <c r="I61" s="12"/>
      <c r="J61" s="12"/>
      <c r="K61" s="12"/>
    </row>
    <row r="62" spans="1:12" x14ac:dyDescent="0.35">
      <c r="A62" s="2">
        <v>46084</v>
      </c>
      <c r="B62" s="3" t="str">
        <f t="shared" si="4"/>
        <v>Tue</v>
      </c>
      <c r="C62" s="3">
        <f t="shared" si="5"/>
        <v>10</v>
      </c>
      <c r="D62" s="3" t="str">
        <f t="shared" si="6"/>
        <v>March</v>
      </c>
      <c r="E62" s="3" t="s">
        <v>5</v>
      </c>
      <c r="F62" s="3" t="str">
        <f t="shared" si="7"/>
        <v>Total hari kerja</v>
      </c>
      <c r="G62" s="12" t="s">
        <v>158</v>
      </c>
      <c r="H62" s="12">
        <v>1</v>
      </c>
      <c r="I62" s="12">
        <v>1</v>
      </c>
      <c r="J62" s="12">
        <v>5</v>
      </c>
      <c r="K62" s="12"/>
      <c r="L62" t="s">
        <v>32</v>
      </c>
    </row>
    <row r="63" spans="1:12" x14ac:dyDescent="0.35">
      <c r="A63" s="2">
        <v>46085</v>
      </c>
      <c r="B63" s="3" t="str">
        <f t="shared" si="4"/>
        <v>Wed</v>
      </c>
      <c r="C63" s="3">
        <f t="shared" si="5"/>
        <v>10</v>
      </c>
      <c r="D63" s="3" t="str">
        <f t="shared" si="6"/>
        <v>March</v>
      </c>
      <c r="E63" s="3" t="s">
        <v>5</v>
      </c>
      <c r="F63" s="3" t="str">
        <f t="shared" si="7"/>
        <v>Total hari kerja</v>
      </c>
      <c r="G63" s="12" t="s">
        <v>158</v>
      </c>
      <c r="H63" s="12">
        <v>3</v>
      </c>
      <c r="I63" s="12">
        <v>2</v>
      </c>
      <c r="J63" s="12">
        <v>2</v>
      </c>
      <c r="K63" s="12"/>
    </row>
    <row r="64" spans="1:12" x14ac:dyDescent="0.35">
      <c r="A64" s="2">
        <v>46086</v>
      </c>
      <c r="B64" s="3" t="str">
        <f t="shared" si="4"/>
        <v>Thu</v>
      </c>
      <c r="C64" s="3">
        <f t="shared" si="5"/>
        <v>10</v>
      </c>
      <c r="D64" s="3" t="str">
        <f t="shared" si="6"/>
        <v>March</v>
      </c>
      <c r="E64" s="3" t="s">
        <v>5</v>
      </c>
      <c r="F64" s="3" t="str">
        <f t="shared" si="7"/>
        <v>Total hari kerja</v>
      </c>
      <c r="G64" s="12" t="s">
        <v>158</v>
      </c>
      <c r="H64" s="12">
        <v>1</v>
      </c>
      <c r="I64" s="12">
        <v>5</v>
      </c>
      <c r="J64" s="12"/>
      <c r="K64" s="12"/>
    </row>
    <row r="65" spans="1:12" x14ac:dyDescent="0.35">
      <c r="A65" s="2">
        <v>46087</v>
      </c>
      <c r="B65" s="3" t="str">
        <f t="shared" si="4"/>
        <v>Fri</v>
      </c>
      <c r="C65" s="3">
        <f t="shared" si="5"/>
        <v>10</v>
      </c>
      <c r="D65" s="3" t="str">
        <f t="shared" si="6"/>
        <v>March</v>
      </c>
      <c r="E65" s="3" t="s">
        <v>5</v>
      </c>
      <c r="F65" s="3" t="str">
        <f t="shared" si="7"/>
        <v>Total hari kerja</v>
      </c>
      <c r="G65" s="12" t="s">
        <v>158</v>
      </c>
      <c r="H65" s="12">
        <v>2</v>
      </c>
      <c r="I65" s="12">
        <v>1</v>
      </c>
      <c r="J65" s="12"/>
      <c r="K65" s="12"/>
    </row>
    <row r="66" spans="1:12" x14ac:dyDescent="0.35">
      <c r="A66" s="2">
        <v>46088</v>
      </c>
      <c r="B66" s="3" t="str">
        <f t="shared" si="4"/>
        <v>Sat</v>
      </c>
      <c r="C66" s="3">
        <f t="shared" si="5"/>
        <v>10</v>
      </c>
      <c r="D66" s="3" t="str">
        <f t="shared" si="6"/>
        <v>March</v>
      </c>
      <c r="E66" s="3" t="s">
        <v>5</v>
      </c>
      <c r="F66" s="3" t="str">
        <f t="shared" si="7"/>
        <v>Total hari kerja</v>
      </c>
      <c r="G66" s="12" t="s">
        <v>158</v>
      </c>
      <c r="H66" s="12">
        <v>1</v>
      </c>
      <c r="I66" s="12">
        <v>1</v>
      </c>
      <c r="J66" s="12">
        <v>5</v>
      </c>
      <c r="K66" s="12"/>
    </row>
    <row r="67" spans="1:12" x14ac:dyDescent="0.35">
      <c r="A67" s="2">
        <v>46089</v>
      </c>
      <c r="B67" s="3" t="str">
        <f t="shared" si="4"/>
        <v>Sun</v>
      </c>
      <c r="C67" s="3">
        <f t="shared" si="5"/>
        <v>11</v>
      </c>
      <c r="D67" s="3" t="str">
        <f t="shared" si="6"/>
        <v>March</v>
      </c>
      <c r="E67" s="3"/>
      <c r="F67" s="3" t="str">
        <f t="shared" si="7"/>
        <v xml:space="preserve"> </v>
      </c>
      <c r="G67" s="12" t="s">
        <v>158</v>
      </c>
      <c r="H67" s="12"/>
      <c r="I67" s="12"/>
      <c r="J67" s="12"/>
      <c r="K67" s="12"/>
    </row>
    <row r="68" spans="1:12" x14ac:dyDescent="0.35">
      <c r="A68" s="2">
        <v>46090</v>
      </c>
      <c r="B68" s="3" t="str">
        <f t="shared" si="4"/>
        <v>Mon</v>
      </c>
      <c r="C68" s="3">
        <f t="shared" si="5"/>
        <v>11</v>
      </c>
      <c r="D68" s="3" t="str">
        <f t="shared" si="6"/>
        <v>March</v>
      </c>
      <c r="E68" s="3" t="s">
        <v>5</v>
      </c>
      <c r="F68" s="3" t="str">
        <f t="shared" si="7"/>
        <v>Total hari kerja</v>
      </c>
      <c r="G68" s="12" t="s">
        <v>158</v>
      </c>
      <c r="H68" s="12">
        <v>3</v>
      </c>
      <c r="I68" s="12">
        <v>2</v>
      </c>
      <c r="J68" s="12">
        <v>3</v>
      </c>
      <c r="K68" s="12"/>
    </row>
    <row r="69" spans="1:12" x14ac:dyDescent="0.35">
      <c r="A69" s="2">
        <v>46091</v>
      </c>
      <c r="B69" s="3" t="str">
        <f t="shared" si="4"/>
        <v>Tue</v>
      </c>
      <c r="C69" s="3">
        <f t="shared" si="5"/>
        <v>11</v>
      </c>
      <c r="D69" s="3" t="str">
        <f t="shared" si="6"/>
        <v>March</v>
      </c>
      <c r="E69" s="3" t="s">
        <v>5</v>
      </c>
      <c r="F69" s="3" t="str">
        <f t="shared" si="7"/>
        <v>Total hari kerja</v>
      </c>
      <c r="G69" s="12" t="s">
        <v>158</v>
      </c>
      <c r="H69" s="12">
        <v>1</v>
      </c>
      <c r="I69" s="12">
        <v>4</v>
      </c>
      <c r="J69" s="12">
        <v>6</v>
      </c>
      <c r="K69" s="12"/>
    </row>
    <row r="70" spans="1:12" x14ac:dyDescent="0.35">
      <c r="A70" s="2">
        <v>46092</v>
      </c>
      <c r="B70" s="3" t="str">
        <f t="shared" si="4"/>
        <v>Wed</v>
      </c>
      <c r="C70" s="3">
        <f t="shared" si="5"/>
        <v>11</v>
      </c>
      <c r="D70" s="3" t="str">
        <f t="shared" si="6"/>
        <v>March</v>
      </c>
      <c r="E70" s="3" t="s">
        <v>5</v>
      </c>
      <c r="F70" s="3" t="str">
        <f t="shared" si="7"/>
        <v>Total hari kerja</v>
      </c>
      <c r="G70" s="12" t="s">
        <v>158</v>
      </c>
      <c r="H70" s="12">
        <v>7</v>
      </c>
      <c r="I70" s="12">
        <v>1</v>
      </c>
      <c r="J70" s="12">
        <v>8</v>
      </c>
      <c r="K70" s="12"/>
    </row>
    <row r="71" spans="1:12" x14ac:dyDescent="0.35">
      <c r="A71" s="2">
        <v>46093</v>
      </c>
      <c r="B71" s="3" t="str">
        <f t="shared" si="4"/>
        <v>Thu</v>
      </c>
      <c r="C71" s="3">
        <f t="shared" si="5"/>
        <v>11</v>
      </c>
      <c r="D71" s="3" t="str">
        <f t="shared" si="6"/>
        <v>March</v>
      </c>
      <c r="E71" s="3" t="s">
        <v>5</v>
      </c>
      <c r="F71" s="3" t="str">
        <f t="shared" si="7"/>
        <v>Total hari kerja</v>
      </c>
      <c r="G71" s="12" t="s">
        <v>158</v>
      </c>
      <c r="H71" s="12">
        <v>2</v>
      </c>
      <c r="I71" s="12">
        <v>1</v>
      </c>
      <c r="J71" s="12">
        <v>7</v>
      </c>
      <c r="K71" s="12"/>
    </row>
    <row r="72" spans="1:12" x14ac:dyDescent="0.35">
      <c r="A72" s="2">
        <v>46094</v>
      </c>
      <c r="B72" s="3" t="str">
        <f t="shared" si="4"/>
        <v>Fri</v>
      </c>
      <c r="C72" s="3">
        <f t="shared" si="5"/>
        <v>11</v>
      </c>
      <c r="D72" s="3" t="str">
        <f t="shared" si="6"/>
        <v>March</v>
      </c>
      <c r="E72" s="3" t="s">
        <v>5</v>
      </c>
      <c r="F72" s="3" t="str">
        <f t="shared" si="7"/>
        <v>Total hari kerja</v>
      </c>
      <c r="G72" s="12" t="s">
        <v>158</v>
      </c>
      <c r="H72" s="12">
        <v>6</v>
      </c>
      <c r="I72" s="12">
        <v>2</v>
      </c>
      <c r="J72" s="12">
        <v>2</v>
      </c>
      <c r="K72" s="12"/>
    </row>
    <row r="73" spans="1:12" x14ac:dyDescent="0.35">
      <c r="A73" s="2">
        <v>46095</v>
      </c>
      <c r="B73" s="3" t="str">
        <f t="shared" si="4"/>
        <v>Sat</v>
      </c>
      <c r="C73" s="3">
        <f t="shared" si="5"/>
        <v>11</v>
      </c>
      <c r="D73" s="3" t="str">
        <f t="shared" si="6"/>
        <v>March</v>
      </c>
      <c r="E73" s="3" t="s">
        <v>5</v>
      </c>
      <c r="F73" s="3" t="str">
        <f t="shared" si="7"/>
        <v>Total hari kerja</v>
      </c>
      <c r="G73" s="12" t="s">
        <v>158</v>
      </c>
      <c r="H73" s="12">
        <v>1</v>
      </c>
      <c r="I73" s="12">
        <v>3</v>
      </c>
      <c r="J73" s="12">
        <v>3</v>
      </c>
      <c r="K73" s="12"/>
    </row>
    <row r="74" spans="1:12" x14ac:dyDescent="0.35">
      <c r="A74" s="2">
        <v>46096</v>
      </c>
      <c r="B74" s="3" t="str">
        <f t="shared" si="4"/>
        <v>Sun</v>
      </c>
      <c r="C74" s="3">
        <f t="shared" si="5"/>
        <v>12</v>
      </c>
      <c r="D74" s="3" t="str">
        <f t="shared" si="6"/>
        <v>March</v>
      </c>
      <c r="E74" s="3"/>
      <c r="F74" s="3" t="str">
        <f t="shared" si="7"/>
        <v xml:space="preserve"> </v>
      </c>
      <c r="G74" s="12" t="s">
        <v>158</v>
      </c>
      <c r="H74" s="12"/>
      <c r="I74" s="12"/>
      <c r="J74" s="12"/>
      <c r="K74" s="12"/>
    </row>
    <row r="75" spans="1:12" x14ac:dyDescent="0.35">
      <c r="A75" s="2">
        <v>46097</v>
      </c>
      <c r="B75" s="3" t="str">
        <f t="shared" si="4"/>
        <v>Mon</v>
      </c>
      <c r="C75" s="3">
        <f t="shared" si="5"/>
        <v>12</v>
      </c>
      <c r="D75" s="3" t="str">
        <f t="shared" si="6"/>
        <v>March</v>
      </c>
      <c r="E75" s="3" t="s">
        <v>5</v>
      </c>
      <c r="F75" s="3" t="str">
        <f t="shared" si="7"/>
        <v>Total hari kerja</v>
      </c>
      <c r="G75" s="12" t="s">
        <v>158</v>
      </c>
      <c r="H75" s="12">
        <v>8</v>
      </c>
      <c r="I75" s="12">
        <v>1</v>
      </c>
      <c r="J75" s="12">
        <v>6</v>
      </c>
      <c r="K75" s="12"/>
    </row>
    <row r="76" spans="1:12" x14ac:dyDescent="0.35">
      <c r="A76" s="2">
        <v>46098</v>
      </c>
      <c r="B76" s="3" t="str">
        <f t="shared" si="4"/>
        <v>Tue</v>
      </c>
      <c r="C76" s="3">
        <f t="shared" si="5"/>
        <v>12</v>
      </c>
      <c r="D76" s="3" t="str">
        <f t="shared" si="6"/>
        <v>March</v>
      </c>
      <c r="E76" s="3" t="s">
        <v>5</v>
      </c>
      <c r="F76" s="3" t="str">
        <f t="shared" si="7"/>
        <v>Total hari kerja</v>
      </c>
      <c r="G76" s="12" t="s">
        <v>158</v>
      </c>
      <c r="H76" s="12">
        <v>4</v>
      </c>
      <c r="I76" s="12">
        <v>1</v>
      </c>
      <c r="J76" s="12">
        <v>3</v>
      </c>
      <c r="K76" s="12"/>
    </row>
    <row r="77" spans="1:12" x14ac:dyDescent="0.35">
      <c r="A77" s="2">
        <v>46099</v>
      </c>
      <c r="B77" s="3" t="str">
        <f t="shared" si="4"/>
        <v>Wed</v>
      </c>
      <c r="C77" s="3">
        <f t="shared" si="5"/>
        <v>12</v>
      </c>
      <c r="D77" s="3" t="str">
        <f t="shared" si="6"/>
        <v>March</v>
      </c>
      <c r="E77" s="3" t="s">
        <v>5</v>
      </c>
      <c r="F77" s="3" t="str">
        <f t="shared" si="7"/>
        <v>Total hari kerja</v>
      </c>
      <c r="G77" s="12" t="s">
        <v>158</v>
      </c>
      <c r="H77" s="12"/>
      <c r="I77" s="12"/>
      <c r="J77" s="12"/>
      <c r="K77" s="12"/>
    </row>
    <row r="78" spans="1:12" x14ac:dyDescent="0.35">
      <c r="A78" s="2">
        <v>46100</v>
      </c>
      <c r="B78" s="3" t="str">
        <f t="shared" si="4"/>
        <v>Thu</v>
      </c>
      <c r="C78" s="3">
        <f t="shared" si="5"/>
        <v>12</v>
      </c>
      <c r="D78" s="3" t="str">
        <f t="shared" si="6"/>
        <v>March</v>
      </c>
      <c r="E78" s="3"/>
      <c r="F78" s="3" t="str">
        <f t="shared" si="7"/>
        <v xml:space="preserve"> </v>
      </c>
      <c r="G78" s="12" t="s">
        <v>158</v>
      </c>
      <c r="H78" s="12"/>
      <c r="I78" s="12"/>
      <c r="J78" s="12"/>
      <c r="K78" s="12"/>
      <c r="L78" t="s">
        <v>32</v>
      </c>
    </row>
    <row r="79" spans="1:12" x14ac:dyDescent="0.35">
      <c r="A79" s="2">
        <v>46101</v>
      </c>
      <c r="B79" s="3" t="str">
        <f t="shared" si="4"/>
        <v>Fri</v>
      </c>
      <c r="C79" s="3">
        <f t="shared" si="5"/>
        <v>12</v>
      </c>
      <c r="D79" s="3" t="str">
        <f t="shared" si="6"/>
        <v>March</v>
      </c>
      <c r="E79" s="3"/>
      <c r="F79" s="3" t="str">
        <f t="shared" si="7"/>
        <v xml:space="preserve"> </v>
      </c>
      <c r="G79" s="12" t="s">
        <v>158</v>
      </c>
      <c r="H79" s="12"/>
      <c r="I79" s="12"/>
      <c r="J79" s="12"/>
      <c r="K79" s="12"/>
    </row>
    <row r="80" spans="1:12" x14ac:dyDescent="0.35">
      <c r="A80" s="2">
        <v>46102</v>
      </c>
      <c r="B80" s="3" t="str">
        <f t="shared" si="4"/>
        <v>Sat</v>
      </c>
      <c r="C80" s="3">
        <f t="shared" si="5"/>
        <v>12</v>
      </c>
      <c r="D80" s="3" t="str">
        <f t="shared" si="6"/>
        <v>March</v>
      </c>
      <c r="E80" s="3"/>
      <c r="F80" s="3" t="str">
        <f t="shared" si="7"/>
        <v xml:space="preserve"> </v>
      </c>
      <c r="G80" s="12" t="s">
        <v>158</v>
      </c>
      <c r="H80" s="12"/>
      <c r="I80" s="12"/>
      <c r="J80" s="12"/>
      <c r="K80" s="12"/>
    </row>
    <row r="81" spans="1:12" x14ac:dyDescent="0.35">
      <c r="A81" s="2">
        <v>46103</v>
      </c>
      <c r="B81" s="3" t="str">
        <f t="shared" si="4"/>
        <v>Sun</v>
      </c>
      <c r="C81" s="3">
        <f t="shared" si="5"/>
        <v>13</v>
      </c>
      <c r="D81" s="3" t="str">
        <f t="shared" si="6"/>
        <v>March</v>
      </c>
      <c r="E81" s="3"/>
      <c r="F81" s="3" t="str">
        <f t="shared" si="7"/>
        <v xml:space="preserve"> </v>
      </c>
      <c r="G81" s="12" t="s">
        <v>158</v>
      </c>
      <c r="H81" s="12"/>
      <c r="I81" s="12"/>
      <c r="J81" s="12"/>
      <c r="K81" s="12"/>
    </row>
    <row r="82" spans="1:12" x14ac:dyDescent="0.35">
      <c r="A82" s="2">
        <v>46104</v>
      </c>
      <c r="B82" s="3" t="str">
        <f t="shared" ref="B82:B145" si="8">TEXT(A82,"DDD")</f>
        <v>Mon</v>
      </c>
      <c r="C82" s="3">
        <f t="shared" ref="C82:C145" si="9">WEEKNUM(A82)</f>
        <v>13</v>
      </c>
      <c r="D82" s="3" t="str">
        <f t="shared" ref="D82:D145" si="10">TEXT(A82,"mmmm")</f>
        <v>March</v>
      </c>
      <c r="E82" s="3"/>
      <c r="F82" s="3" t="str">
        <f t="shared" si="7"/>
        <v xml:space="preserve"> </v>
      </c>
      <c r="G82" s="12" t="s">
        <v>158</v>
      </c>
      <c r="H82" s="12"/>
      <c r="I82" s="12"/>
      <c r="J82" s="12"/>
      <c r="K82" s="12"/>
    </row>
    <row r="83" spans="1:12" x14ac:dyDescent="0.35">
      <c r="A83" s="2">
        <v>46105</v>
      </c>
      <c r="B83" s="3" t="str">
        <f t="shared" si="8"/>
        <v>Tue</v>
      </c>
      <c r="C83" s="3">
        <f t="shared" si="9"/>
        <v>13</v>
      </c>
      <c r="D83" s="3" t="str">
        <f t="shared" si="10"/>
        <v>March</v>
      </c>
      <c r="E83" s="3"/>
      <c r="F83" s="3" t="str">
        <f t="shared" ref="F83:F146" si="11">IF(E83="J1",$O$3,IF(E83="J2",$O$4,IF(E83="J3",$O$5,IF(E83="J4",$O$6,IF(E83="J5",$O$7," ")))))</f>
        <v xml:space="preserve"> </v>
      </c>
      <c r="G83" s="12" t="s">
        <v>158</v>
      </c>
      <c r="H83" s="12"/>
      <c r="I83" s="12"/>
      <c r="J83" s="12"/>
      <c r="K83" s="12"/>
    </row>
    <row r="84" spans="1:12" x14ac:dyDescent="0.35">
      <c r="A84" s="2">
        <v>46106</v>
      </c>
      <c r="B84" s="3" t="str">
        <f t="shared" si="8"/>
        <v>Wed</v>
      </c>
      <c r="C84" s="3">
        <f t="shared" si="9"/>
        <v>13</v>
      </c>
      <c r="D84" s="3" t="str">
        <f t="shared" si="10"/>
        <v>March</v>
      </c>
      <c r="E84" s="3"/>
      <c r="F84" s="3" t="str">
        <f t="shared" si="11"/>
        <v xml:space="preserve"> </v>
      </c>
      <c r="G84" s="12" t="s">
        <v>158</v>
      </c>
      <c r="H84" s="12"/>
      <c r="I84" s="12"/>
      <c r="J84" s="12"/>
      <c r="K84" s="12"/>
    </row>
    <row r="85" spans="1:12" x14ac:dyDescent="0.35">
      <c r="A85" s="2">
        <v>46107</v>
      </c>
      <c r="B85" s="3" t="str">
        <f t="shared" si="8"/>
        <v>Thu</v>
      </c>
      <c r="C85" s="3">
        <f t="shared" si="9"/>
        <v>13</v>
      </c>
      <c r="D85" s="3" t="str">
        <f t="shared" si="10"/>
        <v>March</v>
      </c>
      <c r="E85" s="3"/>
      <c r="F85" s="3" t="str">
        <f t="shared" si="11"/>
        <v xml:space="preserve"> </v>
      </c>
      <c r="G85" s="12" t="s">
        <v>158</v>
      </c>
      <c r="H85" s="12"/>
      <c r="I85" s="12"/>
      <c r="J85" s="12"/>
      <c r="K85" s="12"/>
    </row>
    <row r="86" spans="1:12" x14ac:dyDescent="0.35">
      <c r="A86" s="2">
        <v>46108</v>
      </c>
      <c r="B86" s="3" t="str">
        <f t="shared" si="8"/>
        <v>Fri</v>
      </c>
      <c r="C86" s="3">
        <f t="shared" si="9"/>
        <v>13</v>
      </c>
      <c r="D86" s="3" t="str">
        <f t="shared" si="10"/>
        <v>March</v>
      </c>
      <c r="E86" s="3"/>
      <c r="F86" s="3" t="str">
        <f t="shared" si="11"/>
        <v xml:space="preserve"> </v>
      </c>
      <c r="G86" s="12" t="s">
        <v>158</v>
      </c>
      <c r="H86" s="12"/>
      <c r="I86" s="12"/>
      <c r="J86" s="12"/>
      <c r="K86" s="12"/>
    </row>
    <row r="87" spans="1:12" x14ac:dyDescent="0.35">
      <c r="A87" s="2">
        <v>46109</v>
      </c>
      <c r="B87" s="3" t="str">
        <f t="shared" si="8"/>
        <v>Sat</v>
      </c>
      <c r="C87" s="3">
        <f t="shared" si="9"/>
        <v>13</v>
      </c>
      <c r="D87" s="3" t="str">
        <f t="shared" si="10"/>
        <v>March</v>
      </c>
      <c r="E87" s="3"/>
      <c r="F87" s="3" t="str">
        <f t="shared" si="11"/>
        <v xml:space="preserve"> </v>
      </c>
      <c r="G87" s="12" t="s">
        <v>158</v>
      </c>
      <c r="H87" s="12"/>
      <c r="I87" s="12"/>
      <c r="J87" s="12"/>
      <c r="K87" s="12"/>
    </row>
    <row r="88" spans="1:12" x14ac:dyDescent="0.35">
      <c r="A88" s="2">
        <v>46110</v>
      </c>
      <c r="B88" s="3" t="str">
        <f t="shared" si="8"/>
        <v>Sun</v>
      </c>
      <c r="C88" s="3">
        <f t="shared" si="9"/>
        <v>14</v>
      </c>
      <c r="D88" s="3" t="str">
        <f t="shared" si="10"/>
        <v>March</v>
      </c>
      <c r="E88" s="3"/>
      <c r="F88" s="3" t="str">
        <f t="shared" si="11"/>
        <v xml:space="preserve"> </v>
      </c>
      <c r="G88" s="12" t="s">
        <v>158</v>
      </c>
      <c r="H88" s="12"/>
      <c r="I88" s="12"/>
      <c r="J88" s="12"/>
      <c r="K88" s="12"/>
    </row>
    <row r="89" spans="1:12" x14ac:dyDescent="0.35">
      <c r="A89" s="2">
        <v>46111</v>
      </c>
      <c r="B89" s="3" t="str">
        <f t="shared" si="8"/>
        <v>Mon</v>
      </c>
      <c r="C89" s="3">
        <f t="shared" si="9"/>
        <v>14</v>
      </c>
      <c r="D89" s="3" t="str">
        <f t="shared" si="10"/>
        <v>March</v>
      </c>
      <c r="E89" s="3" t="s">
        <v>135</v>
      </c>
      <c r="F89" s="3" t="str">
        <f t="shared" si="11"/>
        <v>Total hari kerja</v>
      </c>
      <c r="G89" s="12" t="s">
        <v>158</v>
      </c>
      <c r="H89" s="12">
        <v>21</v>
      </c>
      <c r="I89" s="12">
        <v>7</v>
      </c>
      <c r="J89" s="12">
        <v>14</v>
      </c>
      <c r="K89" s="12"/>
    </row>
    <row r="90" spans="1:12" x14ac:dyDescent="0.35">
      <c r="A90" s="2">
        <v>46112</v>
      </c>
      <c r="B90" s="3" t="str">
        <f t="shared" si="8"/>
        <v>Tue</v>
      </c>
      <c r="C90" s="3">
        <f t="shared" si="9"/>
        <v>14</v>
      </c>
      <c r="D90" s="3" t="str">
        <f t="shared" si="10"/>
        <v>March</v>
      </c>
      <c r="E90" s="3" t="s">
        <v>135</v>
      </c>
      <c r="F90" s="3" t="str">
        <f t="shared" si="11"/>
        <v>Total hari kerja</v>
      </c>
      <c r="G90" s="12" t="s">
        <v>158</v>
      </c>
      <c r="H90" s="12">
        <v>7</v>
      </c>
      <c r="I90" s="12">
        <v>7</v>
      </c>
      <c r="J90" s="12">
        <v>22</v>
      </c>
      <c r="K90" s="12"/>
    </row>
    <row r="91" spans="1:12" x14ac:dyDescent="0.35">
      <c r="A91" s="2">
        <v>46113</v>
      </c>
      <c r="B91" s="3" t="str">
        <f t="shared" si="8"/>
        <v>Wed</v>
      </c>
      <c r="C91" s="3">
        <f t="shared" si="9"/>
        <v>14</v>
      </c>
      <c r="D91" s="3" t="str">
        <f t="shared" si="10"/>
        <v>April</v>
      </c>
      <c r="E91" s="3" t="s">
        <v>135</v>
      </c>
      <c r="F91" s="3" t="str">
        <f t="shared" si="11"/>
        <v>Total hari kerja</v>
      </c>
      <c r="G91" s="12" t="s">
        <v>158</v>
      </c>
      <c r="H91" s="12">
        <v>16</v>
      </c>
      <c r="I91" s="12">
        <v>3</v>
      </c>
      <c r="J91" s="12">
        <v>16</v>
      </c>
      <c r="K91" s="12"/>
    </row>
    <row r="92" spans="1:12" x14ac:dyDescent="0.35">
      <c r="A92" s="2">
        <v>46114</v>
      </c>
      <c r="B92" s="3" t="str">
        <f t="shared" si="8"/>
        <v>Thu</v>
      </c>
      <c r="C92" s="3">
        <f t="shared" si="9"/>
        <v>14</v>
      </c>
      <c r="D92" s="3" t="str">
        <f t="shared" si="10"/>
        <v>April</v>
      </c>
      <c r="E92" s="3" t="s">
        <v>135</v>
      </c>
      <c r="F92" s="3" t="str">
        <f t="shared" si="11"/>
        <v>Total hari kerja</v>
      </c>
      <c r="G92" s="12" t="s">
        <v>158</v>
      </c>
      <c r="H92" s="12">
        <v>11</v>
      </c>
      <c r="I92" s="12">
        <v>6</v>
      </c>
      <c r="J92" s="12">
        <v>28</v>
      </c>
      <c r="K92" s="12"/>
      <c r="L92" t="s">
        <v>32</v>
      </c>
    </row>
    <row r="93" spans="1:12" x14ac:dyDescent="0.35">
      <c r="A93" s="2">
        <v>46115</v>
      </c>
      <c r="B93" s="3" t="str">
        <f t="shared" si="8"/>
        <v>Fri</v>
      </c>
      <c r="C93" s="3">
        <f t="shared" si="9"/>
        <v>14</v>
      </c>
      <c r="D93" s="3" t="str">
        <f t="shared" si="10"/>
        <v>April</v>
      </c>
      <c r="E93" s="3" t="s">
        <v>135</v>
      </c>
      <c r="F93" s="3" t="str">
        <f t="shared" si="11"/>
        <v>Total hari kerja</v>
      </c>
      <c r="G93" s="12" t="s">
        <v>158</v>
      </c>
      <c r="H93" s="12">
        <v>4</v>
      </c>
      <c r="I93" s="12">
        <v>12</v>
      </c>
      <c r="J93" s="12">
        <v>13</v>
      </c>
      <c r="K93" s="12"/>
    </row>
    <row r="94" spans="1:12" x14ac:dyDescent="0.35">
      <c r="A94" s="2">
        <v>46116</v>
      </c>
      <c r="B94" s="3" t="str">
        <f t="shared" si="8"/>
        <v>Sat</v>
      </c>
      <c r="C94" s="3">
        <f t="shared" si="9"/>
        <v>14</v>
      </c>
      <c r="D94" s="3" t="str">
        <f t="shared" si="10"/>
        <v>April</v>
      </c>
      <c r="E94" s="3" t="s">
        <v>135</v>
      </c>
      <c r="F94" s="3" t="str">
        <f t="shared" si="11"/>
        <v>Total hari kerja</v>
      </c>
      <c r="G94" s="12" t="s">
        <v>158</v>
      </c>
      <c r="H94" s="12">
        <v>14</v>
      </c>
      <c r="I94" s="12">
        <v>11</v>
      </c>
      <c r="J94" s="12">
        <v>8</v>
      </c>
      <c r="K94" s="12"/>
    </row>
    <row r="95" spans="1:12" x14ac:dyDescent="0.35">
      <c r="A95" s="2">
        <v>46117</v>
      </c>
      <c r="B95" s="3" t="str">
        <f t="shared" si="8"/>
        <v>Sun</v>
      </c>
      <c r="C95" s="3">
        <f t="shared" si="9"/>
        <v>15</v>
      </c>
      <c r="D95" s="3" t="str">
        <f t="shared" si="10"/>
        <v>April</v>
      </c>
      <c r="E95" s="3"/>
      <c r="F95" s="3" t="str">
        <f t="shared" si="11"/>
        <v xml:space="preserve"> </v>
      </c>
      <c r="G95" s="12" t="s">
        <v>158</v>
      </c>
      <c r="H95" s="12"/>
      <c r="I95" s="12"/>
      <c r="J95" s="12"/>
      <c r="K95" s="12"/>
    </row>
    <row r="96" spans="1:12" x14ac:dyDescent="0.35">
      <c r="A96" s="2">
        <v>46118</v>
      </c>
      <c r="B96" s="3" t="str">
        <f t="shared" si="8"/>
        <v>Mon</v>
      </c>
      <c r="C96" s="3">
        <f t="shared" si="9"/>
        <v>15</v>
      </c>
      <c r="D96" s="3" t="str">
        <f t="shared" si="10"/>
        <v>April</v>
      </c>
      <c r="E96" s="3" t="s">
        <v>135</v>
      </c>
      <c r="F96" s="3" t="str">
        <f t="shared" si="11"/>
        <v>Total hari kerja</v>
      </c>
      <c r="G96" s="12" t="s">
        <v>158</v>
      </c>
      <c r="H96" s="12">
        <v>12</v>
      </c>
      <c r="I96" s="12">
        <v>2</v>
      </c>
      <c r="J96" s="12">
        <v>6</v>
      </c>
      <c r="K96" s="12"/>
    </row>
    <row r="97" spans="1:11" x14ac:dyDescent="0.35">
      <c r="A97" s="2">
        <v>46119</v>
      </c>
      <c r="B97" s="3" t="str">
        <f t="shared" si="8"/>
        <v>Tue</v>
      </c>
      <c r="C97" s="3">
        <f t="shared" si="9"/>
        <v>15</v>
      </c>
      <c r="D97" s="3" t="str">
        <f t="shared" si="10"/>
        <v>April</v>
      </c>
      <c r="E97" s="3" t="s">
        <v>135</v>
      </c>
      <c r="F97" s="3" t="str">
        <f t="shared" si="11"/>
        <v>Total hari kerja</v>
      </c>
      <c r="G97" s="12" t="s">
        <v>158</v>
      </c>
      <c r="H97" s="12">
        <v>19</v>
      </c>
      <c r="I97" s="12">
        <v>10</v>
      </c>
      <c r="J97" s="12">
        <v>8</v>
      </c>
      <c r="K97" s="12"/>
    </row>
    <row r="98" spans="1:11" x14ac:dyDescent="0.35">
      <c r="A98" s="2">
        <v>46120</v>
      </c>
      <c r="B98" s="3" t="str">
        <f t="shared" si="8"/>
        <v>Wed</v>
      </c>
      <c r="C98" s="3">
        <f t="shared" si="9"/>
        <v>15</v>
      </c>
      <c r="D98" s="3" t="str">
        <f t="shared" si="10"/>
        <v>April</v>
      </c>
      <c r="E98" s="3" t="s">
        <v>135</v>
      </c>
      <c r="F98" s="3" t="str">
        <f t="shared" si="11"/>
        <v>Total hari kerja</v>
      </c>
      <c r="G98" s="12" t="s">
        <v>158</v>
      </c>
      <c r="H98" s="12">
        <v>11</v>
      </c>
      <c r="I98" s="12">
        <v>11</v>
      </c>
      <c r="J98" s="12">
        <v>12</v>
      </c>
      <c r="K98" s="12"/>
    </row>
    <row r="99" spans="1:11" x14ac:dyDescent="0.35">
      <c r="A99" s="2">
        <v>46121</v>
      </c>
      <c r="B99" s="3" t="str">
        <f t="shared" si="8"/>
        <v>Thu</v>
      </c>
      <c r="C99" s="3">
        <f t="shared" si="9"/>
        <v>15</v>
      </c>
      <c r="D99" s="3" t="str">
        <f t="shared" si="10"/>
        <v>April</v>
      </c>
      <c r="E99" s="3" t="s">
        <v>135</v>
      </c>
      <c r="F99" s="3" t="str">
        <f t="shared" si="11"/>
        <v>Total hari kerja</v>
      </c>
      <c r="G99" s="12" t="s">
        <v>158</v>
      </c>
      <c r="H99" s="12">
        <v>30</v>
      </c>
      <c r="I99" s="12">
        <v>10</v>
      </c>
      <c r="J99" s="12"/>
      <c r="K99" s="12"/>
    </row>
    <row r="100" spans="1:11" x14ac:dyDescent="0.35">
      <c r="A100" s="2">
        <v>46122</v>
      </c>
      <c r="B100" s="3" t="str">
        <f t="shared" si="8"/>
        <v>Fri</v>
      </c>
      <c r="C100" s="3">
        <f t="shared" si="9"/>
        <v>15</v>
      </c>
      <c r="D100" s="3" t="str">
        <f t="shared" si="10"/>
        <v>April</v>
      </c>
      <c r="E100" s="3" t="s">
        <v>135</v>
      </c>
      <c r="F100" s="3" t="str">
        <f t="shared" si="11"/>
        <v>Total hari kerja</v>
      </c>
      <c r="G100" s="12" t="s">
        <v>158</v>
      </c>
      <c r="H100" s="12">
        <v>36</v>
      </c>
      <c r="I100" s="12">
        <v>4</v>
      </c>
      <c r="J100" s="12"/>
      <c r="K100" s="12"/>
    </row>
    <row r="101" spans="1:11" x14ac:dyDescent="0.35">
      <c r="A101" s="2">
        <v>46123</v>
      </c>
      <c r="B101" s="3" t="str">
        <f t="shared" si="8"/>
        <v>Sat</v>
      </c>
      <c r="C101" s="3">
        <f t="shared" si="9"/>
        <v>15</v>
      </c>
      <c r="D101" s="3" t="str">
        <f t="shared" si="10"/>
        <v>April</v>
      </c>
      <c r="E101" s="3" t="s">
        <v>157</v>
      </c>
      <c r="F101" s="3" t="str">
        <f t="shared" si="11"/>
        <v>1/2 HARI</v>
      </c>
      <c r="G101" s="12" t="s">
        <v>158</v>
      </c>
      <c r="H101" s="12">
        <v>35</v>
      </c>
      <c r="I101" s="12"/>
      <c r="J101" s="12"/>
      <c r="K101" s="12"/>
    </row>
    <row r="102" spans="1:11" x14ac:dyDescent="0.35">
      <c r="A102" s="2">
        <v>46124</v>
      </c>
      <c r="B102" s="3" t="str">
        <f t="shared" si="8"/>
        <v>Sun</v>
      </c>
      <c r="C102" s="3">
        <f t="shared" si="9"/>
        <v>16</v>
      </c>
      <c r="D102" s="3" t="str">
        <f t="shared" si="10"/>
        <v>April</v>
      </c>
      <c r="E102" s="3"/>
      <c r="F102" s="3" t="str">
        <f t="shared" si="11"/>
        <v xml:space="preserve"> </v>
      </c>
      <c r="G102" s="12" t="s">
        <v>158</v>
      </c>
      <c r="H102" s="12"/>
      <c r="I102" s="12"/>
      <c r="J102" s="12"/>
      <c r="K102" s="12"/>
    </row>
    <row r="103" spans="1:11" x14ac:dyDescent="0.35">
      <c r="A103" s="2">
        <v>46125</v>
      </c>
      <c r="B103" s="3" t="str">
        <f t="shared" si="8"/>
        <v>Mon</v>
      </c>
      <c r="C103" s="3">
        <f t="shared" si="9"/>
        <v>16</v>
      </c>
      <c r="D103" s="3" t="str">
        <f t="shared" si="10"/>
        <v>April</v>
      </c>
      <c r="E103" s="3" t="s">
        <v>135</v>
      </c>
      <c r="F103" s="3" t="str">
        <f t="shared" si="11"/>
        <v>Total hari kerja</v>
      </c>
      <c r="G103" s="12" t="s">
        <v>158</v>
      </c>
      <c r="H103" s="12">
        <v>27</v>
      </c>
      <c r="I103" s="12">
        <v>16</v>
      </c>
      <c r="J103" s="12"/>
      <c r="K103" s="12"/>
    </row>
    <row r="104" spans="1:11" x14ac:dyDescent="0.35">
      <c r="A104" s="2">
        <v>46126</v>
      </c>
      <c r="B104" s="3" t="str">
        <f t="shared" si="8"/>
        <v>Tue</v>
      </c>
      <c r="C104" s="3">
        <f t="shared" si="9"/>
        <v>16</v>
      </c>
      <c r="D104" s="3" t="str">
        <f t="shared" si="10"/>
        <v>April</v>
      </c>
      <c r="E104" s="3" t="s">
        <v>135</v>
      </c>
      <c r="F104" s="3" t="str">
        <f t="shared" si="11"/>
        <v>Total hari kerja</v>
      </c>
      <c r="G104" s="12" t="s">
        <v>158</v>
      </c>
      <c r="H104" s="12">
        <v>55</v>
      </c>
      <c r="I104" s="12">
        <v>33</v>
      </c>
      <c r="J104" s="12"/>
      <c r="K104" s="12"/>
    </row>
    <row r="105" spans="1:11" x14ac:dyDescent="0.35">
      <c r="A105" s="2">
        <v>46127</v>
      </c>
      <c r="B105" s="3" t="str">
        <f t="shared" si="8"/>
        <v>Wed</v>
      </c>
      <c r="C105" s="3">
        <f t="shared" si="9"/>
        <v>16</v>
      </c>
      <c r="D105" s="3" t="str">
        <f t="shared" si="10"/>
        <v>April</v>
      </c>
      <c r="E105" s="3" t="s">
        <v>135</v>
      </c>
      <c r="F105" s="3" t="str">
        <f t="shared" si="11"/>
        <v>Total hari kerja</v>
      </c>
      <c r="G105" s="12" t="s">
        <v>158</v>
      </c>
      <c r="H105" s="12">
        <v>20</v>
      </c>
      <c r="I105" s="12">
        <v>10</v>
      </c>
      <c r="J105" s="12">
        <v>10</v>
      </c>
      <c r="K105" s="12"/>
    </row>
    <row r="106" spans="1:11" x14ac:dyDescent="0.35">
      <c r="A106" s="2">
        <v>46128</v>
      </c>
      <c r="B106" s="3" t="str">
        <f t="shared" si="8"/>
        <v>Thu</v>
      </c>
      <c r="C106" s="3">
        <f t="shared" si="9"/>
        <v>16</v>
      </c>
      <c r="D106" s="3" t="str">
        <f t="shared" si="10"/>
        <v>April</v>
      </c>
      <c r="E106" s="3" t="s">
        <v>135</v>
      </c>
      <c r="F106" s="3" t="str">
        <f t="shared" si="11"/>
        <v>Total hari kerja</v>
      </c>
      <c r="G106" s="12" t="s">
        <v>158</v>
      </c>
      <c r="H106" s="12">
        <v>11</v>
      </c>
      <c r="I106" s="12">
        <v>10</v>
      </c>
      <c r="J106" s="12">
        <v>17</v>
      </c>
      <c r="K106" s="12"/>
    </row>
    <row r="107" spans="1:11" x14ac:dyDescent="0.35">
      <c r="A107" s="2">
        <v>46129</v>
      </c>
      <c r="B107" s="3" t="str">
        <f t="shared" si="8"/>
        <v>Fri</v>
      </c>
      <c r="C107" s="3">
        <f t="shared" si="9"/>
        <v>16</v>
      </c>
      <c r="D107" s="3" t="str">
        <f t="shared" si="10"/>
        <v>April</v>
      </c>
      <c r="E107" s="3" t="s">
        <v>135</v>
      </c>
      <c r="F107" s="3" t="str">
        <f t="shared" si="11"/>
        <v>Total hari kerja</v>
      </c>
      <c r="G107" s="12" t="s">
        <v>158</v>
      </c>
      <c r="H107" s="12">
        <v>16</v>
      </c>
      <c r="I107" s="12">
        <v>5</v>
      </c>
      <c r="J107" s="12">
        <v>8</v>
      </c>
      <c r="K107" s="12"/>
    </row>
    <row r="108" spans="1:11" x14ac:dyDescent="0.35">
      <c r="A108" s="2">
        <v>46130</v>
      </c>
      <c r="B108" s="3" t="str">
        <f t="shared" si="8"/>
        <v>Sat</v>
      </c>
      <c r="C108" s="3">
        <f t="shared" si="9"/>
        <v>16</v>
      </c>
      <c r="D108" s="3" t="str">
        <f t="shared" si="10"/>
        <v>April</v>
      </c>
      <c r="E108" s="3" t="s">
        <v>135</v>
      </c>
      <c r="F108" s="3" t="str">
        <f t="shared" si="11"/>
        <v>Total hari kerja</v>
      </c>
      <c r="G108" s="12" t="s">
        <v>158</v>
      </c>
      <c r="H108" s="12">
        <v>9</v>
      </c>
      <c r="I108" s="12">
        <v>3</v>
      </c>
      <c r="J108" s="12"/>
      <c r="K108" s="12"/>
    </row>
    <row r="109" spans="1:11" x14ac:dyDescent="0.35">
      <c r="A109" s="2">
        <v>46131</v>
      </c>
      <c r="B109" s="3" t="str">
        <f t="shared" si="8"/>
        <v>Sun</v>
      </c>
      <c r="C109" s="3">
        <f t="shared" si="9"/>
        <v>17</v>
      </c>
      <c r="D109" s="3" t="str">
        <f t="shared" si="10"/>
        <v>April</v>
      </c>
      <c r="E109" s="3"/>
      <c r="F109" s="7" t="str">
        <f t="shared" si="11"/>
        <v xml:space="preserve"> </v>
      </c>
      <c r="G109" s="12" t="s">
        <v>158</v>
      </c>
      <c r="H109" s="12"/>
      <c r="I109" s="12"/>
      <c r="J109" s="12"/>
      <c r="K109" s="12"/>
    </row>
    <row r="110" spans="1:11" x14ac:dyDescent="0.35">
      <c r="A110" s="2">
        <v>46132</v>
      </c>
      <c r="B110" s="3" t="str">
        <f t="shared" si="8"/>
        <v>Mon</v>
      </c>
      <c r="C110" s="3">
        <f t="shared" si="9"/>
        <v>17</v>
      </c>
      <c r="D110" s="3" t="str">
        <f t="shared" si="10"/>
        <v>April</v>
      </c>
      <c r="E110" s="3" t="s">
        <v>135</v>
      </c>
      <c r="F110" s="3" t="str">
        <f t="shared" si="11"/>
        <v>Total hari kerja</v>
      </c>
      <c r="G110" s="12" t="s">
        <v>158</v>
      </c>
      <c r="H110" s="12">
        <v>37</v>
      </c>
      <c r="I110" s="12"/>
      <c r="J110" s="12"/>
      <c r="K110" s="12"/>
    </row>
    <row r="111" spans="1:11" x14ac:dyDescent="0.35">
      <c r="A111" s="2">
        <v>46133</v>
      </c>
      <c r="B111" s="3" t="str">
        <f t="shared" si="8"/>
        <v>Tue</v>
      </c>
      <c r="C111" s="3">
        <f t="shared" si="9"/>
        <v>17</v>
      </c>
      <c r="D111" s="3" t="str">
        <f t="shared" si="10"/>
        <v>April</v>
      </c>
      <c r="E111" s="3" t="s">
        <v>135</v>
      </c>
      <c r="F111" s="7" t="str">
        <f t="shared" si="11"/>
        <v>Total hari kerja</v>
      </c>
      <c r="G111" s="12" t="s">
        <v>158</v>
      </c>
      <c r="H111" s="12">
        <v>20</v>
      </c>
      <c r="I111" s="12">
        <v>10</v>
      </c>
      <c r="J111" s="12"/>
      <c r="K111" s="12"/>
    </row>
    <row r="112" spans="1:11" x14ac:dyDescent="0.35">
      <c r="A112" s="2">
        <v>46134</v>
      </c>
      <c r="B112" s="3" t="str">
        <f t="shared" si="8"/>
        <v>Wed</v>
      </c>
      <c r="C112" s="3">
        <f t="shared" si="9"/>
        <v>17</v>
      </c>
      <c r="D112" s="3" t="str">
        <f t="shared" si="10"/>
        <v>April</v>
      </c>
      <c r="E112" s="3" t="s">
        <v>135</v>
      </c>
      <c r="F112" s="3" t="str">
        <f t="shared" si="11"/>
        <v>Total hari kerja</v>
      </c>
      <c r="G112" s="12" t="s">
        <v>158</v>
      </c>
      <c r="H112" s="12">
        <v>20</v>
      </c>
      <c r="I112" s="12">
        <v>19</v>
      </c>
      <c r="J112" s="12"/>
      <c r="K112" s="12"/>
    </row>
    <row r="113" spans="1:11" x14ac:dyDescent="0.35">
      <c r="A113" s="2">
        <v>46135</v>
      </c>
      <c r="B113" s="3" t="str">
        <f t="shared" si="8"/>
        <v>Thu</v>
      </c>
      <c r="C113" s="3">
        <f t="shared" si="9"/>
        <v>17</v>
      </c>
      <c r="D113" s="3" t="str">
        <f t="shared" si="10"/>
        <v>April</v>
      </c>
      <c r="E113" s="3" t="s">
        <v>135</v>
      </c>
      <c r="F113" s="3" t="str">
        <f t="shared" si="11"/>
        <v>Total hari kerja</v>
      </c>
      <c r="G113" s="12" t="s">
        <v>158</v>
      </c>
      <c r="H113" s="12">
        <v>28</v>
      </c>
      <c r="I113" s="12">
        <v>2</v>
      </c>
      <c r="J113" s="12"/>
      <c r="K113" s="12"/>
    </row>
    <row r="114" spans="1:11" x14ac:dyDescent="0.35">
      <c r="A114" s="2">
        <v>46136</v>
      </c>
      <c r="B114" s="3" t="str">
        <f t="shared" si="8"/>
        <v>Fri</v>
      </c>
      <c r="C114" s="3">
        <f t="shared" si="9"/>
        <v>17</v>
      </c>
      <c r="D114" s="3" t="str">
        <f t="shared" si="10"/>
        <v>April</v>
      </c>
      <c r="E114" s="3" t="s">
        <v>135</v>
      </c>
      <c r="F114" s="3" t="str">
        <f t="shared" si="11"/>
        <v>Total hari kerja</v>
      </c>
      <c r="G114" s="12" t="s">
        <v>158</v>
      </c>
      <c r="H114" s="12">
        <v>6</v>
      </c>
      <c r="I114" s="12"/>
      <c r="J114" s="12"/>
      <c r="K114" s="12"/>
    </row>
    <row r="115" spans="1:11" x14ac:dyDescent="0.35">
      <c r="A115" s="2">
        <v>46137</v>
      </c>
      <c r="B115" s="3" t="str">
        <f t="shared" si="8"/>
        <v>Sat</v>
      </c>
      <c r="C115" s="3">
        <f t="shared" si="9"/>
        <v>17</v>
      </c>
      <c r="D115" s="3" t="str">
        <f t="shared" si="10"/>
        <v>April</v>
      </c>
      <c r="E115" s="3" t="s">
        <v>135</v>
      </c>
      <c r="F115" s="3" t="str">
        <f t="shared" si="11"/>
        <v>Total hari kerja</v>
      </c>
      <c r="G115" s="12" t="s">
        <v>158</v>
      </c>
      <c r="H115" s="12">
        <v>12</v>
      </c>
      <c r="I115" s="12">
        <v>4</v>
      </c>
      <c r="J115" s="12"/>
      <c r="K115" s="12"/>
    </row>
    <row r="116" spans="1:11" x14ac:dyDescent="0.35">
      <c r="A116" s="2">
        <v>46138</v>
      </c>
      <c r="B116" s="3" t="str">
        <f t="shared" si="8"/>
        <v>Sun</v>
      </c>
      <c r="C116" s="3">
        <f t="shared" si="9"/>
        <v>18</v>
      </c>
      <c r="D116" s="3" t="str">
        <f t="shared" si="10"/>
        <v>April</v>
      </c>
      <c r="E116" s="3"/>
      <c r="F116" s="3" t="str">
        <f t="shared" si="11"/>
        <v xml:space="preserve"> </v>
      </c>
      <c r="G116" s="12" t="s">
        <v>158</v>
      </c>
      <c r="H116" s="12"/>
      <c r="I116" s="12"/>
      <c r="J116" s="12"/>
      <c r="K116" s="12"/>
    </row>
    <row r="117" spans="1:11" x14ac:dyDescent="0.35">
      <c r="A117" s="2">
        <v>46139</v>
      </c>
      <c r="B117" s="3" t="str">
        <f t="shared" si="8"/>
        <v>Mon</v>
      </c>
      <c r="C117" s="3">
        <f t="shared" si="9"/>
        <v>18</v>
      </c>
      <c r="D117" s="3" t="str">
        <f t="shared" si="10"/>
        <v>April</v>
      </c>
      <c r="E117" s="3" t="s">
        <v>102</v>
      </c>
      <c r="F117" s="3" t="str">
        <f t="shared" si="11"/>
        <v>Ijin/Sakit/Alfa</v>
      </c>
      <c r="G117" s="12" t="s">
        <v>158</v>
      </c>
      <c r="H117" s="12"/>
      <c r="I117" s="12"/>
      <c r="J117" s="12"/>
      <c r="K117" s="12"/>
    </row>
    <row r="118" spans="1:11" x14ac:dyDescent="0.35">
      <c r="A118" s="2">
        <v>46140</v>
      </c>
      <c r="B118" s="3" t="str">
        <f t="shared" si="8"/>
        <v>Tue</v>
      </c>
      <c r="C118" s="3">
        <f t="shared" si="9"/>
        <v>18</v>
      </c>
      <c r="D118" s="3" t="str">
        <f t="shared" si="10"/>
        <v>April</v>
      </c>
      <c r="E118" s="3" t="s">
        <v>135</v>
      </c>
      <c r="F118" s="3" t="str">
        <f t="shared" si="11"/>
        <v>Total hari kerja</v>
      </c>
      <c r="G118" s="12" t="s">
        <v>158</v>
      </c>
      <c r="H118" s="12">
        <v>6</v>
      </c>
      <c r="I118" s="12">
        <v>4</v>
      </c>
      <c r="J118" s="12"/>
      <c r="K118" s="12"/>
    </row>
    <row r="119" spans="1:11" x14ac:dyDescent="0.35">
      <c r="A119" s="2">
        <v>46141</v>
      </c>
      <c r="B119" s="3" t="str">
        <f t="shared" si="8"/>
        <v>Wed</v>
      </c>
      <c r="C119" s="3">
        <f t="shared" si="9"/>
        <v>18</v>
      </c>
      <c r="D119" s="3" t="str">
        <f t="shared" si="10"/>
        <v>April</v>
      </c>
      <c r="E119" s="3"/>
      <c r="F119" s="3" t="str">
        <f t="shared" si="11"/>
        <v xml:space="preserve"> </v>
      </c>
      <c r="G119" s="12" t="s">
        <v>158</v>
      </c>
      <c r="H119" s="12"/>
      <c r="I119" s="12"/>
      <c r="J119" s="12"/>
      <c r="K119" s="12"/>
    </row>
    <row r="120" spans="1:11" x14ac:dyDescent="0.35">
      <c r="A120" s="2">
        <v>46142</v>
      </c>
      <c r="B120" s="3" t="str">
        <f t="shared" si="8"/>
        <v>Thu</v>
      </c>
      <c r="C120" s="3">
        <f t="shared" si="9"/>
        <v>18</v>
      </c>
      <c r="D120" s="3" t="str">
        <f t="shared" si="10"/>
        <v>April</v>
      </c>
      <c r="E120" s="3" t="s">
        <v>135</v>
      </c>
      <c r="F120" s="3" t="str">
        <f t="shared" si="11"/>
        <v>Total hari kerja</v>
      </c>
      <c r="G120" s="12" t="s">
        <v>158</v>
      </c>
      <c r="H120" s="12">
        <v>28</v>
      </c>
      <c r="I120" s="12"/>
      <c r="J120" s="12"/>
      <c r="K120" s="12"/>
    </row>
    <row r="121" spans="1:11" x14ac:dyDescent="0.35">
      <c r="A121" s="2">
        <v>46143</v>
      </c>
      <c r="B121" s="3" t="str">
        <f t="shared" si="8"/>
        <v>Fri</v>
      </c>
      <c r="C121" s="3">
        <f t="shared" si="9"/>
        <v>18</v>
      </c>
      <c r="D121" s="3" t="str">
        <f t="shared" si="10"/>
        <v>May</v>
      </c>
      <c r="E121" s="3" t="s">
        <v>135</v>
      </c>
      <c r="F121" s="3" t="str">
        <f t="shared" si="11"/>
        <v>Total hari kerja</v>
      </c>
      <c r="G121" s="12" t="s">
        <v>158</v>
      </c>
      <c r="H121" s="12">
        <v>27</v>
      </c>
      <c r="I121" s="12">
        <v>9</v>
      </c>
      <c r="J121" s="12"/>
      <c r="K121" s="12"/>
    </row>
    <row r="122" spans="1:11" x14ac:dyDescent="0.35">
      <c r="A122" s="2">
        <v>46144</v>
      </c>
      <c r="B122" s="3" t="str">
        <f t="shared" si="8"/>
        <v>Sat</v>
      </c>
      <c r="C122" s="3">
        <f t="shared" si="9"/>
        <v>18</v>
      </c>
      <c r="D122" s="3" t="str">
        <f t="shared" si="10"/>
        <v>May</v>
      </c>
      <c r="E122" s="3" t="s">
        <v>135</v>
      </c>
      <c r="F122" s="3" t="str">
        <f t="shared" si="11"/>
        <v>Total hari kerja</v>
      </c>
      <c r="G122" s="12" t="s">
        <v>158</v>
      </c>
      <c r="H122" s="12">
        <v>11</v>
      </c>
      <c r="I122" s="12">
        <v>4</v>
      </c>
      <c r="J122" s="12"/>
      <c r="K122" s="12"/>
    </row>
    <row r="123" spans="1:11" x14ac:dyDescent="0.35">
      <c r="A123" s="2">
        <v>46145</v>
      </c>
      <c r="B123" s="3" t="str">
        <f t="shared" si="8"/>
        <v>Sun</v>
      </c>
      <c r="C123" s="3">
        <f t="shared" si="9"/>
        <v>19</v>
      </c>
      <c r="D123" s="3" t="str">
        <f t="shared" si="10"/>
        <v>May</v>
      </c>
      <c r="E123" s="3"/>
      <c r="F123" s="3" t="str">
        <f t="shared" si="11"/>
        <v xml:space="preserve"> </v>
      </c>
      <c r="G123" s="12" t="s">
        <v>158</v>
      </c>
      <c r="H123" s="12"/>
      <c r="I123" s="12"/>
      <c r="J123" s="12"/>
      <c r="K123" s="12"/>
    </row>
    <row r="124" spans="1:11" x14ac:dyDescent="0.35">
      <c r="A124" s="2">
        <v>46146</v>
      </c>
      <c r="B124" s="3" t="str">
        <f t="shared" si="8"/>
        <v>Mon</v>
      </c>
      <c r="C124" s="3">
        <f t="shared" si="9"/>
        <v>19</v>
      </c>
      <c r="D124" s="3" t="str">
        <f t="shared" si="10"/>
        <v>May</v>
      </c>
      <c r="E124" s="3" t="s">
        <v>135</v>
      </c>
      <c r="F124" s="3" t="str">
        <f t="shared" si="11"/>
        <v>Total hari kerja</v>
      </c>
      <c r="G124" s="12" t="s">
        <v>158</v>
      </c>
      <c r="H124" s="12">
        <v>15</v>
      </c>
      <c r="I124" s="12">
        <v>7</v>
      </c>
      <c r="J124" s="12"/>
      <c r="K124" s="12"/>
    </row>
    <row r="125" spans="1:11" x14ac:dyDescent="0.35">
      <c r="A125" s="2">
        <v>46147</v>
      </c>
      <c r="B125" s="3" t="str">
        <f t="shared" si="8"/>
        <v>Tue</v>
      </c>
      <c r="C125" s="3">
        <f t="shared" si="9"/>
        <v>19</v>
      </c>
      <c r="D125" s="3" t="str">
        <f t="shared" si="10"/>
        <v>May</v>
      </c>
      <c r="E125" s="3" t="s">
        <v>135</v>
      </c>
      <c r="F125" s="3" t="str">
        <f t="shared" si="11"/>
        <v>Total hari kerja</v>
      </c>
      <c r="G125" s="12" t="s">
        <v>158</v>
      </c>
      <c r="H125" s="12">
        <v>29</v>
      </c>
      <c r="I125" s="12">
        <v>5</v>
      </c>
      <c r="J125" s="12"/>
      <c r="K125" s="12"/>
    </row>
    <row r="126" spans="1:11" x14ac:dyDescent="0.35">
      <c r="A126" s="2">
        <v>46148</v>
      </c>
      <c r="B126" s="3" t="str">
        <f t="shared" si="8"/>
        <v>Wed</v>
      </c>
      <c r="C126" s="3">
        <f t="shared" si="9"/>
        <v>19</v>
      </c>
      <c r="D126" s="3" t="str">
        <f t="shared" si="10"/>
        <v>May</v>
      </c>
      <c r="E126" s="3" t="s">
        <v>135</v>
      </c>
      <c r="F126" s="3" t="str">
        <f t="shared" si="11"/>
        <v>Total hari kerja</v>
      </c>
      <c r="G126" s="12" t="s">
        <v>158</v>
      </c>
      <c r="H126" s="12">
        <v>28</v>
      </c>
      <c r="I126" s="12">
        <v>5</v>
      </c>
      <c r="J126" s="12"/>
      <c r="K126" s="12"/>
    </row>
    <row r="127" spans="1:11" x14ac:dyDescent="0.35">
      <c r="A127" s="2">
        <v>46149</v>
      </c>
      <c r="B127" s="3" t="str">
        <f t="shared" si="8"/>
        <v>Thu</v>
      </c>
      <c r="C127" s="3">
        <f t="shared" si="9"/>
        <v>19</v>
      </c>
      <c r="D127" s="3" t="str">
        <f t="shared" si="10"/>
        <v>May</v>
      </c>
      <c r="E127" s="3" t="s">
        <v>135</v>
      </c>
      <c r="F127" s="3" t="str">
        <f t="shared" si="11"/>
        <v>Total hari kerja</v>
      </c>
      <c r="G127" s="12" t="s">
        <v>158</v>
      </c>
      <c r="H127" s="12">
        <v>11</v>
      </c>
      <c r="I127" s="12"/>
      <c r="J127" s="12"/>
      <c r="K127" s="12"/>
    </row>
    <row r="128" spans="1:11" x14ac:dyDescent="0.35">
      <c r="A128" s="2">
        <v>46150</v>
      </c>
      <c r="B128" s="3" t="str">
        <f t="shared" si="8"/>
        <v>Fri</v>
      </c>
      <c r="C128" s="3">
        <f t="shared" si="9"/>
        <v>19</v>
      </c>
      <c r="D128" s="3" t="str">
        <f t="shared" si="10"/>
        <v>May</v>
      </c>
      <c r="E128" s="3" t="s">
        <v>135</v>
      </c>
      <c r="F128" s="3" t="str">
        <f t="shared" si="11"/>
        <v>Total hari kerja</v>
      </c>
      <c r="G128" s="12" t="s">
        <v>158</v>
      </c>
      <c r="H128" s="12">
        <v>10</v>
      </c>
      <c r="I128" s="12">
        <v>4</v>
      </c>
      <c r="J128" s="12"/>
      <c r="K128" s="12"/>
    </row>
    <row r="129" spans="1:11" x14ac:dyDescent="0.35">
      <c r="A129" s="2">
        <v>46151</v>
      </c>
      <c r="B129" s="3" t="str">
        <f t="shared" si="8"/>
        <v>Sat</v>
      </c>
      <c r="C129" s="3">
        <f t="shared" si="9"/>
        <v>19</v>
      </c>
      <c r="D129" s="3" t="str">
        <f t="shared" si="10"/>
        <v>May</v>
      </c>
      <c r="E129" s="3" t="s">
        <v>135</v>
      </c>
      <c r="F129" s="3" t="str">
        <f t="shared" si="11"/>
        <v>Total hari kerja</v>
      </c>
      <c r="G129" s="12" t="s">
        <v>158</v>
      </c>
      <c r="H129" s="12">
        <v>7</v>
      </c>
      <c r="I129" s="12">
        <v>7</v>
      </c>
      <c r="J129" s="12"/>
      <c r="K129" s="12"/>
    </row>
    <row r="130" spans="1:11" x14ac:dyDescent="0.35">
      <c r="A130" s="2">
        <v>46152</v>
      </c>
      <c r="B130" s="3" t="str">
        <f t="shared" si="8"/>
        <v>Sun</v>
      </c>
      <c r="C130" s="3">
        <f t="shared" si="9"/>
        <v>20</v>
      </c>
      <c r="D130" s="3" t="str">
        <f t="shared" si="10"/>
        <v>May</v>
      </c>
      <c r="E130" s="3"/>
      <c r="F130" s="3" t="str">
        <f t="shared" si="11"/>
        <v xml:space="preserve"> </v>
      </c>
      <c r="G130" s="12" t="s">
        <v>158</v>
      </c>
      <c r="H130" s="12"/>
      <c r="I130" s="12"/>
      <c r="J130" s="12"/>
      <c r="K130" s="12"/>
    </row>
    <row r="131" spans="1:11" x14ac:dyDescent="0.35">
      <c r="A131" s="2">
        <v>46153</v>
      </c>
      <c r="B131" s="3" t="str">
        <f t="shared" si="8"/>
        <v>Mon</v>
      </c>
      <c r="C131" s="3">
        <f t="shared" si="9"/>
        <v>20</v>
      </c>
      <c r="D131" s="3" t="str">
        <f t="shared" si="10"/>
        <v>May</v>
      </c>
      <c r="E131" s="3" t="s">
        <v>135</v>
      </c>
      <c r="F131" s="3" t="str">
        <f t="shared" si="11"/>
        <v>Total hari kerja</v>
      </c>
      <c r="G131" s="12" t="s">
        <v>158</v>
      </c>
      <c r="H131" s="12">
        <v>23</v>
      </c>
      <c r="I131" s="12">
        <v>10</v>
      </c>
      <c r="J131" s="12"/>
      <c r="K131" s="12"/>
    </row>
    <row r="132" spans="1:11" x14ac:dyDescent="0.35">
      <c r="A132" s="2">
        <v>46154</v>
      </c>
      <c r="B132" s="3" t="str">
        <f t="shared" si="8"/>
        <v>Tue</v>
      </c>
      <c r="C132" s="3">
        <f t="shared" si="9"/>
        <v>20</v>
      </c>
      <c r="D132" s="3" t="str">
        <f t="shared" si="10"/>
        <v>May</v>
      </c>
      <c r="E132" s="3" t="s">
        <v>135</v>
      </c>
      <c r="F132" s="3" t="str">
        <f t="shared" si="11"/>
        <v>Total hari kerja</v>
      </c>
      <c r="G132" s="12" t="s">
        <v>158</v>
      </c>
      <c r="H132" s="12">
        <v>19</v>
      </c>
      <c r="I132" s="12"/>
      <c r="J132" s="12"/>
      <c r="K132" s="12"/>
    </row>
    <row r="133" spans="1:11" x14ac:dyDescent="0.35">
      <c r="A133" s="2">
        <v>46155</v>
      </c>
      <c r="B133" s="3" t="str">
        <f t="shared" si="8"/>
        <v>Wed</v>
      </c>
      <c r="C133" s="3">
        <f t="shared" si="9"/>
        <v>20</v>
      </c>
      <c r="D133" s="3" t="str">
        <f t="shared" si="10"/>
        <v>May</v>
      </c>
      <c r="E133" s="3" t="s">
        <v>135</v>
      </c>
      <c r="F133" s="3" t="str">
        <f t="shared" si="11"/>
        <v>Total hari kerja</v>
      </c>
      <c r="G133" s="12" t="s">
        <v>158</v>
      </c>
      <c r="H133" s="12">
        <v>14</v>
      </c>
      <c r="I133" s="12">
        <v>5</v>
      </c>
      <c r="J133" s="12"/>
      <c r="K133" s="12"/>
    </row>
    <row r="134" spans="1:11" x14ac:dyDescent="0.35">
      <c r="A134" s="2">
        <v>46156</v>
      </c>
      <c r="B134" s="3" t="str">
        <f t="shared" si="8"/>
        <v>Thu</v>
      </c>
      <c r="C134" s="3">
        <f t="shared" si="9"/>
        <v>20</v>
      </c>
      <c r="D134" s="3" t="str">
        <f t="shared" si="10"/>
        <v>May</v>
      </c>
      <c r="E134" s="3" t="s">
        <v>135</v>
      </c>
      <c r="F134" s="3" t="str">
        <f t="shared" si="11"/>
        <v>Total hari kerja</v>
      </c>
      <c r="G134" s="12" t="s">
        <v>158</v>
      </c>
      <c r="H134" s="12">
        <v>26</v>
      </c>
      <c r="I134" s="12">
        <v>10</v>
      </c>
      <c r="J134" s="12"/>
      <c r="K134" s="12"/>
    </row>
    <row r="135" spans="1:11" x14ac:dyDescent="0.35">
      <c r="A135" s="2">
        <v>46157</v>
      </c>
      <c r="B135" s="3" t="str">
        <f t="shared" si="8"/>
        <v>Fri</v>
      </c>
      <c r="C135" s="3">
        <f t="shared" si="9"/>
        <v>20</v>
      </c>
      <c r="D135" s="3" t="str">
        <f t="shared" si="10"/>
        <v>May</v>
      </c>
      <c r="E135" s="3" t="s">
        <v>135</v>
      </c>
      <c r="F135" s="3" t="str">
        <f t="shared" si="11"/>
        <v>Total hari kerja</v>
      </c>
      <c r="G135" s="12" t="s">
        <v>158</v>
      </c>
      <c r="H135" s="12">
        <v>10</v>
      </c>
      <c r="I135" s="12">
        <v>7</v>
      </c>
      <c r="J135" s="12"/>
      <c r="K135" s="12"/>
    </row>
    <row r="136" spans="1:11" x14ac:dyDescent="0.35">
      <c r="A136" s="2">
        <v>46158</v>
      </c>
      <c r="B136" s="3" t="str">
        <f t="shared" si="8"/>
        <v>Sat</v>
      </c>
      <c r="C136" s="3">
        <f t="shared" si="9"/>
        <v>20</v>
      </c>
      <c r="D136" s="3" t="str">
        <f t="shared" si="10"/>
        <v>May</v>
      </c>
      <c r="E136" s="3" t="s">
        <v>140</v>
      </c>
      <c r="F136" s="3" t="str">
        <f t="shared" si="11"/>
        <v>MERAH</v>
      </c>
      <c r="G136" s="12" t="s">
        <v>158</v>
      </c>
      <c r="H136" s="12"/>
      <c r="I136" s="12"/>
      <c r="J136" s="12"/>
      <c r="K136" s="12"/>
    </row>
    <row r="137" spans="1:11" x14ac:dyDescent="0.35">
      <c r="A137" s="2">
        <v>46159</v>
      </c>
      <c r="B137" s="3" t="str">
        <f t="shared" si="8"/>
        <v>Sun</v>
      </c>
      <c r="C137" s="3">
        <f t="shared" si="9"/>
        <v>21</v>
      </c>
      <c r="D137" s="3" t="str">
        <f t="shared" si="10"/>
        <v>May</v>
      </c>
      <c r="E137" s="3"/>
      <c r="F137" s="3" t="str">
        <f t="shared" si="11"/>
        <v xml:space="preserve"> </v>
      </c>
      <c r="G137" s="12" t="s">
        <v>158</v>
      </c>
      <c r="H137" s="12"/>
      <c r="I137" s="12"/>
      <c r="J137" s="12"/>
      <c r="K137" s="12"/>
    </row>
    <row r="138" spans="1:11" x14ac:dyDescent="0.35">
      <c r="A138" s="2">
        <v>46160</v>
      </c>
      <c r="B138" s="3" t="str">
        <f t="shared" si="8"/>
        <v>Mon</v>
      </c>
      <c r="C138" s="3">
        <f t="shared" si="9"/>
        <v>21</v>
      </c>
      <c r="D138" s="3" t="str">
        <f t="shared" si="10"/>
        <v>May</v>
      </c>
      <c r="E138" s="3" t="s">
        <v>135</v>
      </c>
      <c r="F138" s="3" t="str">
        <f t="shared" si="11"/>
        <v>Total hari kerja</v>
      </c>
      <c r="G138" s="12" t="s">
        <v>158</v>
      </c>
      <c r="H138" s="12">
        <v>10</v>
      </c>
      <c r="I138" s="12">
        <v>11</v>
      </c>
      <c r="J138" s="12"/>
      <c r="K138" s="12"/>
    </row>
    <row r="139" spans="1:11" x14ac:dyDescent="0.35">
      <c r="A139" s="2">
        <v>46161</v>
      </c>
      <c r="B139" s="3" t="str">
        <f t="shared" si="8"/>
        <v>Tue</v>
      </c>
      <c r="C139" s="3">
        <f t="shared" si="9"/>
        <v>21</v>
      </c>
      <c r="D139" s="3" t="str">
        <f t="shared" si="10"/>
        <v>May</v>
      </c>
      <c r="E139" s="3" t="s">
        <v>135</v>
      </c>
      <c r="F139" s="3" t="str">
        <f t="shared" si="11"/>
        <v>Total hari kerja</v>
      </c>
      <c r="G139" s="12" t="s">
        <v>158</v>
      </c>
      <c r="H139" s="12">
        <v>8</v>
      </c>
      <c r="I139" s="12">
        <v>4</v>
      </c>
      <c r="J139" s="12">
        <v>4</v>
      </c>
      <c r="K139" s="12"/>
    </row>
    <row r="140" spans="1:11" x14ac:dyDescent="0.35">
      <c r="A140" s="2">
        <v>46162</v>
      </c>
      <c r="B140" s="3" t="str">
        <f t="shared" si="8"/>
        <v>Wed</v>
      </c>
      <c r="C140" s="3">
        <f t="shared" si="9"/>
        <v>21</v>
      </c>
      <c r="D140" s="3" t="str">
        <f t="shared" si="10"/>
        <v>May</v>
      </c>
      <c r="E140" s="3" t="s">
        <v>135</v>
      </c>
      <c r="F140" s="3" t="str">
        <f t="shared" si="11"/>
        <v>Total hari kerja</v>
      </c>
      <c r="G140" s="12" t="s">
        <v>158</v>
      </c>
      <c r="H140" s="12">
        <v>12</v>
      </c>
      <c r="I140" s="12">
        <v>6</v>
      </c>
      <c r="J140" s="12"/>
      <c r="K140" s="12"/>
    </row>
    <row r="141" spans="1:11" x14ac:dyDescent="0.35">
      <c r="A141" s="2">
        <v>46163</v>
      </c>
      <c r="B141" s="3" t="str">
        <f t="shared" si="8"/>
        <v>Thu</v>
      </c>
      <c r="C141" s="3">
        <f t="shared" si="9"/>
        <v>21</v>
      </c>
      <c r="D141" s="3" t="str">
        <f t="shared" si="10"/>
        <v>May</v>
      </c>
      <c r="E141" s="3" t="s">
        <v>135</v>
      </c>
      <c r="F141" s="3" t="str">
        <f t="shared" si="11"/>
        <v>Total hari kerja</v>
      </c>
      <c r="G141" s="12" t="s">
        <v>158</v>
      </c>
      <c r="H141" s="12">
        <v>10</v>
      </c>
      <c r="I141" s="12"/>
      <c r="J141" s="12"/>
      <c r="K141" s="12"/>
    </row>
    <row r="142" spans="1:11" x14ac:dyDescent="0.35">
      <c r="A142" s="2">
        <v>46164</v>
      </c>
      <c r="B142" s="3" t="str">
        <f t="shared" si="8"/>
        <v>Fri</v>
      </c>
      <c r="C142" s="3">
        <f t="shared" si="9"/>
        <v>21</v>
      </c>
      <c r="D142" s="3" t="str">
        <f t="shared" si="10"/>
        <v>May</v>
      </c>
      <c r="E142" s="3" t="s">
        <v>135</v>
      </c>
      <c r="F142" s="3" t="str">
        <f t="shared" si="11"/>
        <v>Total hari kerja</v>
      </c>
      <c r="G142" s="12" t="s">
        <v>158</v>
      </c>
      <c r="H142" s="12">
        <v>6</v>
      </c>
      <c r="I142" s="12">
        <v>8</v>
      </c>
      <c r="J142" s="12"/>
      <c r="K142" s="12"/>
    </row>
    <row r="143" spans="1:11" x14ac:dyDescent="0.35">
      <c r="A143" s="2">
        <v>46165</v>
      </c>
      <c r="B143" s="3" t="str">
        <f t="shared" si="8"/>
        <v>Sat</v>
      </c>
      <c r="C143" s="3">
        <f t="shared" si="9"/>
        <v>21</v>
      </c>
      <c r="D143" s="3" t="str">
        <f t="shared" si="10"/>
        <v>May</v>
      </c>
      <c r="E143" s="3" t="s">
        <v>135</v>
      </c>
      <c r="F143" s="3" t="str">
        <f t="shared" si="11"/>
        <v>Total hari kerja</v>
      </c>
      <c r="G143" s="12" t="s">
        <v>158</v>
      </c>
      <c r="H143" s="12">
        <v>6</v>
      </c>
      <c r="I143" s="12">
        <v>2</v>
      </c>
      <c r="J143" s="12"/>
      <c r="K143" s="12"/>
    </row>
    <row r="144" spans="1:11" x14ac:dyDescent="0.35">
      <c r="A144" s="2">
        <v>46166</v>
      </c>
      <c r="B144" s="3" t="str">
        <f t="shared" si="8"/>
        <v>Sun</v>
      </c>
      <c r="C144" s="3">
        <f t="shared" si="9"/>
        <v>22</v>
      </c>
      <c r="D144" s="3" t="str">
        <f t="shared" si="10"/>
        <v>May</v>
      </c>
      <c r="E144" s="3"/>
      <c r="F144" s="3" t="str">
        <f t="shared" si="11"/>
        <v xml:space="preserve"> </v>
      </c>
      <c r="G144" s="12" t="s">
        <v>158</v>
      </c>
      <c r="H144" s="12"/>
      <c r="I144" s="12"/>
      <c r="J144" s="12"/>
      <c r="K144" s="12"/>
    </row>
    <row r="145" spans="1:11" x14ac:dyDescent="0.35">
      <c r="A145" s="2">
        <v>46167</v>
      </c>
      <c r="B145" s="3" t="str">
        <f t="shared" si="8"/>
        <v>Mon</v>
      </c>
      <c r="C145" s="3">
        <f t="shared" si="9"/>
        <v>22</v>
      </c>
      <c r="D145" s="3" t="str">
        <f t="shared" si="10"/>
        <v>May</v>
      </c>
      <c r="E145" s="3" t="s">
        <v>135</v>
      </c>
      <c r="F145" s="3" t="str">
        <f t="shared" si="11"/>
        <v>Total hari kerja</v>
      </c>
      <c r="G145" s="12" t="s">
        <v>158</v>
      </c>
      <c r="H145" s="12">
        <v>8</v>
      </c>
      <c r="I145" s="12">
        <v>4</v>
      </c>
      <c r="J145" s="12"/>
      <c r="K145" s="12"/>
    </row>
    <row r="146" spans="1:11" x14ac:dyDescent="0.35">
      <c r="A146" s="2">
        <v>46168</v>
      </c>
      <c r="B146" s="3" t="str">
        <f t="shared" ref="B146:B209" si="12">TEXT(A146,"DDD")</f>
        <v>Tue</v>
      </c>
      <c r="C146" s="3">
        <f t="shared" ref="C146:C209" si="13">WEEKNUM(A146)</f>
        <v>22</v>
      </c>
      <c r="D146" s="3" t="str">
        <f t="shared" ref="D146:D209" si="14">TEXT(A146,"mmmm")</f>
        <v>May</v>
      </c>
      <c r="E146" s="3" t="s">
        <v>135</v>
      </c>
      <c r="F146" s="3" t="str">
        <f t="shared" si="11"/>
        <v>Total hari kerja</v>
      </c>
      <c r="G146" s="12" t="s">
        <v>158</v>
      </c>
      <c r="H146" s="12">
        <v>5</v>
      </c>
      <c r="I146" s="12">
        <v>12</v>
      </c>
      <c r="J146" s="12"/>
      <c r="K146" s="12"/>
    </row>
    <row r="147" spans="1:11" x14ac:dyDescent="0.35">
      <c r="A147" s="2">
        <v>46169</v>
      </c>
      <c r="B147" s="3" t="str">
        <f t="shared" si="12"/>
        <v>Wed</v>
      </c>
      <c r="C147" s="3">
        <f t="shared" si="13"/>
        <v>22</v>
      </c>
      <c r="D147" s="3" t="str">
        <f t="shared" si="14"/>
        <v>May</v>
      </c>
      <c r="E147" s="3" t="s">
        <v>140</v>
      </c>
      <c r="F147" s="3" t="str">
        <f t="shared" ref="F147:F210" si="15">IF(E147="J1",$O$3,IF(E147="J2",$O$4,IF(E147="J3",$O$5,IF(E147="J4",$O$6,IF(E147="J5",$O$7," ")))))</f>
        <v>MERAH</v>
      </c>
      <c r="G147" s="12" t="s">
        <v>158</v>
      </c>
      <c r="H147" s="12"/>
      <c r="I147" s="12"/>
      <c r="J147" s="12"/>
      <c r="K147" s="12"/>
    </row>
    <row r="148" spans="1:11" x14ac:dyDescent="0.35">
      <c r="A148" s="2">
        <v>46170</v>
      </c>
      <c r="B148" s="3" t="str">
        <f t="shared" si="12"/>
        <v>Thu</v>
      </c>
      <c r="C148" s="3">
        <f t="shared" si="13"/>
        <v>22</v>
      </c>
      <c r="D148" s="3" t="str">
        <f t="shared" si="14"/>
        <v>May</v>
      </c>
      <c r="E148" s="3" t="s">
        <v>135</v>
      </c>
      <c r="F148" s="3" t="str">
        <f t="shared" si="15"/>
        <v>Total hari kerja</v>
      </c>
      <c r="G148" s="12" t="s">
        <v>158</v>
      </c>
      <c r="H148" s="12">
        <v>3</v>
      </c>
      <c r="I148" s="12">
        <v>8</v>
      </c>
      <c r="J148" s="12"/>
      <c r="K148" s="12"/>
    </row>
    <row r="149" spans="1:11" x14ac:dyDescent="0.35">
      <c r="A149" s="2">
        <v>46171</v>
      </c>
      <c r="B149" s="3" t="str">
        <f t="shared" si="12"/>
        <v>Fri</v>
      </c>
      <c r="C149" s="3">
        <f t="shared" si="13"/>
        <v>22</v>
      </c>
      <c r="D149" s="3" t="str">
        <f t="shared" si="14"/>
        <v>May</v>
      </c>
      <c r="E149" s="3" t="s">
        <v>135</v>
      </c>
      <c r="F149" s="3" t="str">
        <f t="shared" si="15"/>
        <v>Total hari kerja</v>
      </c>
      <c r="G149" s="12" t="s">
        <v>158</v>
      </c>
      <c r="H149" s="12">
        <v>6</v>
      </c>
      <c r="I149" s="12">
        <v>5</v>
      </c>
      <c r="J149" s="12"/>
      <c r="K149" s="12"/>
    </row>
    <row r="150" spans="1:11" x14ac:dyDescent="0.35">
      <c r="A150" s="2">
        <v>46172</v>
      </c>
      <c r="B150" s="3" t="str">
        <f t="shared" si="12"/>
        <v>Sat</v>
      </c>
      <c r="C150" s="3">
        <f t="shared" si="13"/>
        <v>22</v>
      </c>
      <c r="D150" s="3" t="str">
        <f t="shared" si="14"/>
        <v>May</v>
      </c>
      <c r="E150" s="3" t="s">
        <v>135</v>
      </c>
      <c r="F150" s="3" t="str">
        <f t="shared" si="15"/>
        <v>Total hari kerja</v>
      </c>
      <c r="G150" s="12" t="s">
        <v>158</v>
      </c>
      <c r="H150" s="12">
        <v>8</v>
      </c>
      <c r="I150" s="12"/>
      <c r="J150" s="12"/>
      <c r="K150" s="12"/>
    </row>
    <row r="151" spans="1:11" x14ac:dyDescent="0.35">
      <c r="A151" s="2">
        <v>46173</v>
      </c>
      <c r="B151" s="3" t="str">
        <f t="shared" si="12"/>
        <v>Sun</v>
      </c>
      <c r="C151" s="3">
        <f t="shared" si="13"/>
        <v>23</v>
      </c>
      <c r="D151" s="3" t="str">
        <f t="shared" si="14"/>
        <v>May</v>
      </c>
      <c r="E151" s="3"/>
      <c r="F151" s="3" t="str">
        <f t="shared" si="15"/>
        <v xml:space="preserve"> </v>
      </c>
      <c r="G151" s="12" t="s">
        <v>158</v>
      </c>
      <c r="H151" s="12"/>
      <c r="I151" s="12"/>
      <c r="J151" s="12"/>
      <c r="K151" s="12"/>
    </row>
    <row r="152" spans="1:11" x14ac:dyDescent="0.35">
      <c r="A152" s="2">
        <v>46174</v>
      </c>
      <c r="B152" s="3" t="str">
        <f t="shared" si="12"/>
        <v>Mon</v>
      </c>
      <c r="C152" s="3">
        <f t="shared" si="13"/>
        <v>23</v>
      </c>
      <c r="D152" s="3" t="str">
        <f t="shared" si="14"/>
        <v>June</v>
      </c>
      <c r="E152" s="3" t="s">
        <v>135</v>
      </c>
      <c r="F152" s="3" t="str">
        <f t="shared" si="15"/>
        <v>Total hari kerja</v>
      </c>
      <c r="G152" s="12" t="s">
        <v>158</v>
      </c>
      <c r="H152" s="12">
        <v>17</v>
      </c>
      <c r="I152" s="12">
        <v>4</v>
      </c>
      <c r="J152" s="12"/>
      <c r="K152" s="12"/>
    </row>
    <row r="153" spans="1:11" x14ac:dyDescent="0.35">
      <c r="A153" s="2">
        <v>46175</v>
      </c>
      <c r="B153" s="3" t="str">
        <f t="shared" si="12"/>
        <v>Tue</v>
      </c>
      <c r="C153" s="3">
        <f t="shared" si="13"/>
        <v>23</v>
      </c>
      <c r="D153" s="3" t="str">
        <f t="shared" si="14"/>
        <v>June</v>
      </c>
      <c r="E153" s="3" t="s">
        <v>135</v>
      </c>
      <c r="F153" s="3" t="str">
        <f t="shared" si="15"/>
        <v>Total hari kerja</v>
      </c>
      <c r="G153" s="12" t="s">
        <v>158</v>
      </c>
      <c r="H153" s="12">
        <v>8</v>
      </c>
      <c r="I153" s="12">
        <v>16</v>
      </c>
      <c r="J153" s="12"/>
      <c r="K153" s="12"/>
    </row>
    <row r="154" spans="1:11" x14ac:dyDescent="0.35">
      <c r="A154" s="2">
        <v>46176</v>
      </c>
      <c r="B154" s="3" t="str">
        <f t="shared" si="12"/>
        <v>Wed</v>
      </c>
      <c r="C154" s="3">
        <f t="shared" si="13"/>
        <v>23</v>
      </c>
      <c r="D154" s="3" t="str">
        <f t="shared" si="14"/>
        <v>June</v>
      </c>
      <c r="E154" s="3" t="s">
        <v>135</v>
      </c>
      <c r="F154" s="3" t="str">
        <f t="shared" si="15"/>
        <v>Total hari kerja</v>
      </c>
      <c r="G154" s="12" t="s">
        <v>158</v>
      </c>
      <c r="H154" s="12">
        <v>3</v>
      </c>
      <c r="I154" s="12">
        <v>9</v>
      </c>
      <c r="J154" s="12"/>
      <c r="K154" s="12"/>
    </row>
    <row r="155" spans="1:11" x14ac:dyDescent="0.35">
      <c r="A155" s="2">
        <v>46177</v>
      </c>
      <c r="B155" s="3" t="str">
        <f t="shared" si="12"/>
        <v>Thu</v>
      </c>
      <c r="C155" s="3">
        <f t="shared" si="13"/>
        <v>23</v>
      </c>
      <c r="D155" s="3" t="str">
        <f t="shared" si="14"/>
        <v>June</v>
      </c>
      <c r="E155" s="3" t="s">
        <v>102</v>
      </c>
      <c r="F155" s="3" t="str">
        <f t="shared" si="15"/>
        <v>Ijin/Sakit/Alfa</v>
      </c>
      <c r="G155" s="12" t="s">
        <v>158</v>
      </c>
      <c r="H155" s="12"/>
      <c r="I155" s="12"/>
      <c r="J155" s="12"/>
      <c r="K155" s="12"/>
    </row>
    <row r="156" spans="1:11" x14ac:dyDescent="0.35">
      <c r="A156" s="2">
        <v>46178</v>
      </c>
      <c r="B156" s="3" t="str">
        <f t="shared" si="12"/>
        <v>Fri</v>
      </c>
      <c r="C156" s="3">
        <f t="shared" si="13"/>
        <v>23</v>
      </c>
      <c r="D156" s="3" t="str">
        <f t="shared" si="14"/>
        <v>June</v>
      </c>
      <c r="E156" s="3" t="s">
        <v>135</v>
      </c>
      <c r="F156" s="3" t="str">
        <f t="shared" si="15"/>
        <v>Total hari kerja</v>
      </c>
      <c r="G156" s="12" t="s">
        <v>158</v>
      </c>
      <c r="H156" s="12">
        <v>7</v>
      </c>
      <c r="I156" s="12">
        <v>3</v>
      </c>
      <c r="J156" s="12"/>
      <c r="K156" s="12"/>
    </row>
    <row r="157" spans="1:11" x14ac:dyDescent="0.35">
      <c r="A157" s="2">
        <v>46179</v>
      </c>
      <c r="B157" s="3" t="str">
        <f t="shared" si="12"/>
        <v>Sat</v>
      </c>
      <c r="C157" s="3">
        <f t="shared" si="13"/>
        <v>23</v>
      </c>
      <c r="D157" s="3" t="str">
        <f t="shared" si="14"/>
        <v>June</v>
      </c>
      <c r="E157" s="3" t="s">
        <v>135</v>
      </c>
      <c r="F157" s="3" t="str">
        <f t="shared" si="15"/>
        <v>Total hari kerja</v>
      </c>
      <c r="G157" s="12" t="s">
        <v>158</v>
      </c>
      <c r="H157" s="12">
        <v>12</v>
      </c>
      <c r="I157" s="12">
        <v>8</v>
      </c>
      <c r="J157" s="12"/>
      <c r="K157" s="12"/>
    </row>
    <row r="158" spans="1:11" x14ac:dyDescent="0.35">
      <c r="A158" s="2">
        <v>46180</v>
      </c>
      <c r="B158" s="3" t="str">
        <f t="shared" si="12"/>
        <v>Sun</v>
      </c>
      <c r="C158" s="3">
        <f t="shared" si="13"/>
        <v>24</v>
      </c>
      <c r="D158" s="3" t="str">
        <f t="shared" si="14"/>
        <v>June</v>
      </c>
      <c r="E158" s="3"/>
      <c r="F158" s="3" t="str">
        <f t="shared" si="15"/>
        <v xml:space="preserve"> </v>
      </c>
      <c r="G158" s="12" t="s">
        <v>158</v>
      </c>
      <c r="H158" s="12"/>
      <c r="I158" s="12"/>
      <c r="J158" s="12"/>
      <c r="K158" s="12"/>
    </row>
    <row r="159" spans="1:11" x14ac:dyDescent="0.35">
      <c r="A159" s="2">
        <v>46181</v>
      </c>
      <c r="B159" s="3" t="str">
        <f t="shared" si="12"/>
        <v>Mon</v>
      </c>
      <c r="C159" s="3">
        <f t="shared" si="13"/>
        <v>24</v>
      </c>
      <c r="D159" s="3" t="str">
        <f t="shared" si="14"/>
        <v>June</v>
      </c>
      <c r="E159" s="3" t="s">
        <v>135</v>
      </c>
      <c r="F159" s="3" t="str">
        <f t="shared" si="15"/>
        <v>Total hari kerja</v>
      </c>
      <c r="G159" s="12" t="s">
        <v>158</v>
      </c>
      <c r="H159" s="12">
        <v>14</v>
      </c>
      <c r="I159" s="12">
        <v>10</v>
      </c>
      <c r="J159" s="12"/>
      <c r="K159" s="12"/>
    </row>
    <row r="160" spans="1:11" x14ac:dyDescent="0.35">
      <c r="A160" s="2">
        <v>46182</v>
      </c>
      <c r="B160" s="3" t="str">
        <f t="shared" si="12"/>
        <v>Tue</v>
      </c>
      <c r="C160" s="3">
        <f t="shared" si="13"/>
        <v>24</v>
      </c>
      <c r="D160" s="3" t="str">
        <f t="shared" si="14"/>
        <v>June</v>
      </c>
      <c r="E160" s="3" t="s">
        <v>135</v>
      </c>
      <c r="F160" s="3" t="str">
        <f t="shared" si="15"/>
        <v>Total hari kerja</v>
      </c>
      <c r="G160" s="12" t="s">
        <v>158</v>
      </c>
      <c r="H160" s="12">
        <v>6</v>
      </c>
      <c r="I160" s="12"/>
      <c r="J160" s="12"/>
      <c r="K160" s="12"/>
    </row>
    <row r="161" spans="1:11" x14ac:dyDescent="0.35">
      <c r="A161" s="2">
        <v>46183</v>
      </c>
      <c r="B161" s="3" t="str">
        <f t="shared" si="12"/>
        <v>Wed</v>
      </c>
      <c r="C161" s="3">
        <f t="shared" si="13"/>
        <v>24</v>
      </c>
      <c r="D161" s="3" t="str">
        <f t="shared" si="14"/>
        <v>June</v>
      </c>
      <c r="E161" s="3" t="s">
        <v>135</v>
      </c>
      <c r="F161" s="3" t="str">
        <f t="shared" si="15"/>
        <v>Total hari kerja</v>
      </c>
      <c r="G161" s="12" t="s">
        <v>158</v>
      </c>
      <c r="H161" s="12">
        <v>8</v>
      </c>
      <c r="I161" s="12">
        <v>9</v>
      </c>
      <c r="J161" s="12"/>
      <c r="K161" s="12"/>
    </row>
    <row r="162" spans="1:11" x14ac:dyDescent="0.35">
      <c r="A162" s="2">
        <v>46184</v>
      </c>
      <c r="B162" s="3" t="str">
        <f t="shared" si="12"/>
        <v>Thu</v>
      </c>
      <c r="C162" s="3">
        <f t="shared" si="13"/>
        <v>24</v>
      </c>
      <c r="D162" s="3" t="str">
        <f t="shared" si="14"/>
        <v>June</v>
      </c>
      <c r="E162" s="3" t="s">
        <v>135</v>
      </c>
      <c r="F162" s="3" t="str">
        <f t="shared" si="15"/>
        <v>Total hari kerja</v>
      </c>
      <c r="G162" s="12" t="s">
        <v>158</v>
      </c>
      <c r="H162" s="12">
        <v>15</v>
      </c>
      <c r="I162" s="12">
        <v>9</v>
      </c>
      <c r="J162" s="12"/>
      <c r="K162" s="12"/>
    </row>
    <row r="163" spans="1:11" x14ac:dyDescent="0.35">
      <c r="A163" s="2">
        <v>46185</v>
      </c>
      <c r="B163" s="3" t="str">
        <f t="shared" si="12"/>
        <v>Fri</v>
      </c>
      <c r="C163" s="3">
        <f t="shared" si="13"/>
        <v>24</v>
      </c>
      <c r="D163" s="3" t="str">
        <f t="shared" si="14"/>
        <v>June</v>
      </c>
      <c r="E163" s="3" t="s">
        <v>135</v>
      </c>
      <c r="F163" s="3" t="str">
        <f t="shared" si="15"/>
        <v>Total hari kerja</v>
      </c>
      <c r="G163" s="12" t="s">
        <v>158</v>
      </c>
      <c r="H163" s="12">
        <v>4</v>
      </c>
      <c r="I163" s="12">
        <v>6</v>
      </c>
      <c r="J163" s="12"/>
      <c r="K163" s="12"/>
    </row>
    <row r="164" spans="1:11" x14ac:dyDescent="0.35">
      <c r="A164" s="2">
        <v>46186</v>
      </c>
      <c r="B164" s="3" t="str">
        <f t="shared" si="12"/>
        <v>Sat</v>
      </c>
      <c r="C164" s="3">
        <f t="shared" si="13"/>
        <v>24</v>
      </c>
      <c r="D164" s="3" t="str">
        <f t="shared" si="14"/>
        <v>June</v>
      </c>
      <c r="E164" s="3" t="s">
        <v>135</v>
      </c>
      <c r="F164" s="3" t="str">
        <f t="shared" si="15"/>
        <v>Total hari kerja</v>
      </c>
      <c r="G164" s="12" t="s">
        <v>158</v>
      </c>
      <c r="H164" s="12">
        <v>1</v>
      </c>
      <c r="I164" s="12">
        <v>4</v>
      </c>
      <c r="J164" s="12"/>
      <c r="K164" s="12"/>
    </row>
    <row r="165" spans="1:11" x14ac:dyDescent="0.35">
      <c r="A165" s="2">
        <v>46187</v>
      </c>
      <c r="B165" s="3" t="str">
        <f t="shared" si="12"/>
        <v>Sun</v>
      </c>
      <c r="C165" s="3">
        <f t="shared" si="13"/>
        <v>25</v>
      </c>
      <c r="D165" s="3" t="str">
        <f t="shared" si="14"/>
        <v>June</v>
      </c>
      <c r="E165" s="3"/>
      <c r="F165" s="3" t="str">
        <f t="shared" si="15"/>
        <v xml:space="preserve"> </v>
      </c>
      <c r="G165" s="12" t="s">
        <v>158</v>
      </c>
      <c r="H165" s="12"/>
      <c r="I165" s="12"/>
      <c r="J165" s="12"/>
      <c r="K165" s="12"/>
    </row>
    <row r="166" spans="1:11" x14ac:dyDescent="0.35">
      <c r="A166" s="2">
        <v>46188</v>
      </c>
      <c r="B166" s="3" t="str">
        <f t="shared" si="12"/>
        <v>Mon</v>
      </c>
      <c r="C166" s="3">
        <f t="shared" si="13"/>
        <v>25</v>
      </c>
      <c r="D166" s="3" t="str">
        <f t="shared" si="14"/>
        <v>June</v>
      </c>
      <c r="E166" s="3" t="s">
        <v>135</v>
      </c>
      <c r="F166" s="3" t="str">
        <f t="shared" si="15"/>
        <v>Total hari kerja</v>
      </c>
      <c r="G166" s="12" t="s">
        <v>158</v>
      </c>
      <c r="H166" s="12">
        <v>4</v>
      </c>
      <c r="I166" s="12">
        <v>1</v>
      </c>
      <c r="J166" s="12"/>
      <c r="K166" s="12"/>
    </row>
    <row r="167" spans="1:11" x14ac:dyDescent="0.35">
      <c r="A167" s="2">
        <v>46189</v>
      </c>
      <c r="B167" s="3" t="str">
        <f t="shared" si="12"/>
        <v>Tue</v>
      </c>
      <c r="C167" s="3">
        <f t="shared" si="13"/>
        <v>25</v>
      </c>
      <c r="D167" s="3" t="str">
        <f t="shared" si="14"/>
        <v>June</v>
      </c>
      <c r="E167" s="3" t="s">
        <v>135</v>
      </c>
      <c r="F167" s="3" t="str">
        <f t="shared" si="15"/>
        <v>Total hari kerja</v>
      </c>
      <c r="G167" s="12" t="s">
        <v>158</v>
      </c>
      <c r="H167" s="12">
        <v>6</v>
      </c>
      <c r="I167" s="12">
        <v>4</v>
      </c>
      <c r="J167" s="12"/>
      <c r="K167" s="12"/>
    </row>
    <row r="168" spans="1:11" x14ac:dyDescent="0.35">
      <c r="A168" s="2">
        <v>46190</v>
      </c>
      <c r="B168" s="3" t="str">
        <f t="shared" si="12"/>
        <v>Wed</v>
      </c>
      <c r="C168" s="3">
        <f t="shared" si="13"/>
        <v>25</v>
      </c>
      <c r="D168" s="3" t="str">
        <f t="shared" si="14"/>
        <v>June</v>
      </c>
      <c r="E168" s="3" t="s">
        <v>157</v>
      </c>
      <c r="F168" s="3" t="str">
        <f t="shared" si="15"/>
        <v>1/2 HARI</v>
      </c>
      <c r="G168" s="12" t="s">
        <v>158</v>
      </c>
      <c r="H168" s="12"/>
      <c r="I168" s="12"/>
      <c r="J168" s="12"/>
      <c r="K168" s="12"/>
    </row>
    <row r="169" spans="1:11" x14ac:dyDescent="0.35">
      <c r="A169" s="2">
        <v>46191</v>
      </c>
      <c r="B169" s="3" t="str">
        <f t="shared" si="12"/>
        <v>Thu</v>
      </c>
      <c r="C169" s="3">
        <f t="shared" si="13"/>
        <v>25</v>
      </c>
      <c r="D169" s="3" t="str">
        <f t="shared" si="14"/>
        <v>June</v>
      </c>
      <c r="E169" s="3" t="s">
        <v>102</v>
      </c>
      <c r="F169" s="3" t="str">
        <f t="shared" si="15"/>
        <v>Ijin/Sakit/Alfa</v>
      </c>
      <c r="G169" s="12" t="s">
        <v>158</v>
      </c>
      <c r="H169" s="12"/>
      <c r="I169" s="12"/>
      <c r="J169" s="12"/>
      <c r="K169" s="12"/>
    </row>
    <row r="170" spans="1:11" x14ac:dyDescent="0.35">
      <c r="A170" s="2">
        <v>46192</v>
      </c>
      <c r="B170" s="3" t="str">
        <f t="shared" si="12"/>
        <v>Fri</v>
      </c>
      <c r="C170" s="3">
        <f t="shared" si="13"/>
        <v>25</v>
      </c>
      <c r="D170" s="3" t="str">
        <f t="shared" si="14"/>
        <v>June</v>
      </c>
      <c r="E170" s="3" t="s">
        <v>135</v>
      </c>
      <c r="F170" s="3" t="str">
        <f t="shared" si="15"/>
        <v>Total hari kerja</v>
      </c>
      <c r="G170" s="12" t="s">
        <v>158</v>
      </c>
      <c r="H170" s="12">
        <v>3</v>
      </c>
      <c r="I170" s="12">
        <v>7</v>
      </c>
      <c r="J170" s="12"/>
      <c r="K170" s="12"/>
    </row>
    <row r="171" spans="1:11" x14ac:dyDescent="0.35">
      <c r="A171" s="2">
        <v>46193</v>
      </c>
      <c r="B171" s="3" t="str">
        <f t="shared" si="12"/>
        <v>Sat</v>
      </c>
      <c r="C171" s="3">
        <f t="shared" si="13"/>
        <v>25</v>
      </c>
      <c r="D171" s="3" t="str">
        <f t="shared" si="14"/>
        <v>June</v>
      </c>
      <c r="E171" s="3" t="s">
        <v>135</v>
      </c>
      <c r="F171" s="3" t="str">
        <f t="shared" si="15"/>
        <v>Total hari kerja</v>
      </c>
      <c r="G171" s="12" t="s">
        <v>158</v>
      </c>
      <c r="H171" s="12">
        <v>4</v>
      </c>
      <c r="I171" s="12">
        <v>8</v>
      </c>
      <c r="J171" s="12"/>
      <c r="K171" s="12"/>
    </row>
    <row r="172" spans="1:11" x14ac:dyDescent="0.35">
      <c r="A172" s="2">
        <v>46194</v>
      </c>
      <c r="B172" s="3" t="str">
        <f t="shared" si="12"/>
        <v>Sun</v>
      </c>
      <c r="C172" s="3">
        <f t="shared" si="13"/>
        <v>26</v>
      </c>
      <c r="D172" s="3" t="str">
        <f t="shared" si="14"/>
        <v>June</v>
      </c>
      <c r="E172" s="3"/>
      <c r="F172" s="3" t="str">
        <f t="shared" si="15"/>
        <v xml:space="preserve"> </v>
      </c>
      <c r="G172" s="12" t="s">
        <v>158</v>
      </c>
      <c r="H172" s="12"/>
      <c r="I172" s="12"/>
      <c r="J172" s="12"/>
      <c r="K172" s="12"/>
    </row>
    <row r="173" spans="1:11" x14ac:dyDescent="0.35">
      <c r="A173" s="2">
        <v>46195</v>
      </c>
      <c r="B173" s="3" t="str">
        <f t="shared" si="12"/>
        <v>Mon</v>
      </c>
      <c r="C173" s="3">
        <f t="shared" si="13"/>
        <v>26</v>
      </c>
      <c r="D173" s="3" t="str">
        <f t="shared" si="14"/>
        <v>June</v>
      </c>
      <c r="E173" s="3" t="s">
        <v>135</v>
      </c>
      <c r="F173" s="3" t="str">
        <f t="shared" si="15"/>
        <v>Total hari kerja</v>
      </c>
      <c r="G173" s="12" t="s">
        <v>158</v>
      </c>
      <c r="H173" s="12">
        <v>0</v>
      </c>
      <c r="I173" s="12">
        <v>5</v>
      </c>
      <c r="J173" s="12"/>
      <c r="K173" s="12"/>
    </row>
    <row r="174" spans="1:11" x14ac:dyDescent="0.35">
      <c r="A174" s="2">
        <v>46196</v>
      </c>
      <c r="B174" s="3" t="str">
        <f t="shared" si="12"/>
        <v>Tue</v>
      </c>
      <c r="C174" s="3">
        <f t="shared" si="13"/>
        <v>26</v>
      </c>
      <c r="D174" s="3" t="str">
        <f t="shared" si="14"/>
        <v>June</v>
      </c>
      <c r="E174" s="3" t="s">
        <v>135</v>
      </c>
      <c r="F174" s="3" t="str">
        <f t="shared" si="15"/>
        <v>Total hari kerja</v>
      </c>
      <c r="G174" s="12" t="s">
        <v>158</v>
      </c>
      <c r="H174" s="12">
        <v>4</v>
      </c>
      <c r="I174" s="12">
        <v>2</v>
      </c>
      <c r="J174" s="12"/>
      <c r="K174" s="12"/>
    </row>
    <row r="175" spans="1:11" x14ac:dyDescent="0.35">
      <c r="A175" s="2">
        <v>46197</v>
      </c>
      <c r="B175" s="3" t="str">
        <f t="shared" si="12"/>
        <v>Wed</v>
      </c>
      <c r="C175" s="3">
        <f t="shared" si="13"/>
        <v>26</v>
      </c>
      <c r="D175" s="3" t="str">
        <f t="shared" si="14"/>
        <v>June</v>
      </c>
      <c r="E175" s="3" t="s">
        <v>135</v>
      </c>
      <c r="F175" s="3" t="str">
        <f t="shared" si="15"/>
        <v>Total hari kerja</v>
      </c>
      <c r="G175" s="12" t="s">
        <v>158</v>
      </c>
      <c r="H175" s="12">
        <v>1</v>
      </c>
      <c r="I175" s="12"/>
      <c r="J175" s="12"/>
      <c r="K175" s="12"/>
    </row>
    <row r="176" spans="1:11" x14ac:dyDescent="0.35">
      <c r="A176" s="2">
        <v>46198</v>
      </c>
      <c r="B176" s="3" t="str">
        <f t="shared" si="12"/>
        <v>Thu</v>
      </c>
      <c r="C176" s="3">
        <f t="shared" si="13"/>
        <v>26</v>
      </c>
      <c r="D176" s="3" t="str">
        <f t="shared" si="14"/>
        <v>June</v>
      </c>
      <c r="E176" s="3" t="s">
        <v>135</v>
      </c>
      <c r="F176" s="3" t="str">
        <f t="shared" si="15"/>
        <v>Total hari kerja</v>
      </c>
      <c r="G176" s="12" t="s">
        <v>158</v>
      </c>
      <c r="H176" s="12">
        <v>0</v>
      </c>
      <c r="I176" s="12">
        <v>3</v>
      </c>
      <c r="J176" s="12"/>
      <c r="K176" s="12"/>
    </row>
    <row r="177" spans="1:11" x14ac:dyDescent="0.35">
      <c r="A177" s="2">
        <v>46199</v>
      </c>
      <c r="B177" s="3" t="str">
        <f t="shared" si="12"/>
        <v>Fri</v>
      </c>
      <c r="C177" s="3">
        <f t="shared" si="13"/>
        <v>26</v>
      </c>
      <c r="D177" s="3" t="str">
        <f t="shared" si="14"/>
        <v>June</v>
      </c>
      <c r="E177" s="3" t="s">
        <v>135</v>
      </c>
      <c r="F177" s="3" t="str">
        <f t="shared" si="15"/>
        <v>Total hari kerja</v>
      </c>
      <c r="G177" s="12" t="s">
        <v>158</v>
      </c>
      <c r="H177" s="12">
        <v>3</v>
      </c>
      <c r="I177" s="12">
        <v>3</v>
      </c>
      <c r="J177" s="12"/>
      <c r="K177" s="12"/>
    </row>
    <row r="178" spans="1:11" x14ac:dyDescent="0.35">
      <c r="A178" s="2">
        <v>46200</v>
      </c>
      <c r="B178" s="3" t="str">
        <f t="shared" si="12"/>
        <v>Sat</v>
      </c>
      <c r="C178" s="3">
        <f t="shared" si="13"/>
        <v>26</v>
      </c>
      <c r="D178" s="3" t="str">
        <f t="shared" si="14"/>
        <v>June</v>
      </c>
      <c r="E178" s="3" t="s">
        <v>135</v>
      </c>
      <c r="F178" s="3" t="str">
        <f t="shared" si="15"/>
        <v>Total hari kerja</v>
      </c>
      <c r="G178" s="12" t="s">
        <v>158</v>
      </c>
      <c r="H178" s="12">
        <v>2</v>
      </c>
      <c r="I178" s="12">
        <v>7</v>
      </c>
      <c r="J178" s="12"/>
      <c r="K178" s="12"/>
    </row>
    <row r="179" spans="1:11" x14ac:dyDescent="0.35">
      <c r="A179" s="2">
        <v>46201</v>
      </c>
      <c r="B179" s="3" t="str">
        <f t="shared" si="12"/>
        <v>Sun</v>
      </c>
      <c r="C179" s="3">
        <f t="shared" si="13"/>
        <v>27</v>
      </c>
      <c r="D179" s="3" t="str">
        <f t="shared" si="14"/>
        <v>June</v>
      </c>
      <c r="E179" s="3"/>
      <c r="F179" s="3" t="str">
        <f t="shared" si="15"/>
        <v xml:space="preserve"> </v>
      </c>
      <c r="G179" s="12" t="s">
        <v>158</v>
      </c>
      <c r="H179" s="12"/>
      <c r="I179" s="12"/>
      <c r="J179" s="12"/>
      <c r="K179" s="12"/>
    </row>
    <row r="180" spans="1:11" x14ac:dyDescent="0.35">
      <c r="A180" s="2">
        <v>46202</v>
      </c>
      <c r="B180" s="3" t="str">
        <f t="shared" si="12"/>
        <v>Mon</v>
      </c>
      <c r="C180" s="3">
        <f t="shared" si="13"/>
        <v>27</v>
      </c>
      <c r="D180" s="3" t="str">
        <f t="shared" si="14"/>
        <v>June</v>
      </c>
      <c r="E180" s="3" t="s">
        <v>135</v>
      </c>
      <c r="F180" s="3" t="str">
        <f t="shared" si="15"/>
        <v>Total hari kerja</v>
      </c>
      <c r="G180" s="12" t="s">
        <v>158</v>
      </c>
      <c r="H180" s="12">
        <v>4</v>
      </c>
      <c r="I180" s="12">
        <v>7</v>
      </c>
      <c r="J180" s="12"/>
      <c r="K180" s="12"/>
    </row>
    <row r="181" spans="1:11" x14ac:dyDescent="0.35">
      <c r="A181" s="2">
        <v>46203</v>
      </c>
      <c r="B181" s="3" t="str">
        <f t="shared" si="12"/>
        <v>Tue</v>
      </c>
      <c r="C181" s="3">
        <f t="shared" si="13"/>
        <v>27</v>
      </c>
      <c r="D181" s="3" t="str">
        <f t="shared" si="14"/>
        <v>June</v>
      </c>
      <c r="E181" s="3" t="s">
        <v>135</v>
      </c>
      <c r="F181" s="3" t="str">
        <f t="shared" si="15"/>
        <v>Total hari kerja</v>
      </c>
      <c r="G181" s="12" t="s">
        <v>158</v>
      </c>
      <c r="H181" s="12">
        <v>2</v>
      </c>
      <c r="I181" s="12">
        <v>5</v>
      </c>
      <c r="J181" s="12"/>
      <c r="K181" s="12"/>
    </row>
    <row r="182" spans="1:11" x14ac:dyDescent="0.35">
      <c r="A182" s="2">
        <v>46204</v>
      </c>
      <c r="B182" s="3" t="str">
        <f t="shared" si="12"/>
        <v>Wed</v>
      </c>
      <c r="C182" s="3">
        <f t="shared" si="13"/>
        <v>27</v>
      </c>
      <c r="D182" s="3" t="str">
        <f t="shared" si="14"/>
        <v>July</v>
      </c>
      <c r="E182" s="3" t="s">
        <v>135</v>
      </c>
      <c r="F182" s="3" t="str">
        <f t="shared" si="15"/>
        <v>Total hari kerja</v>
      </c>
      <c r="G182" s="12" t="s">
        <v>158</v>
      </c>
      <c r="H182" s="12">
        <v>2</v>
      </c>
      <c r="I182" s="12">
        <v>6</v>
      </c>
      <c r="J182" s="12"/>
      <c r="K182" s="12"/>
    </row>
    <row r="183" spans="1:11" x14ac:dyDescent="0.35">
      <c r="A183" s="2">
        <v>46205</v>
      </c>
      <c r="B183" s="3" t="str">
        <f t="shared" si="12"/>
        <v>Thu</v>
      </c>
      <c r="C183" s="3">
        <f t="shared" si="13"/>
        <v>27</v>
      </c>
      <c r="D183" s="3" t="str">
        <f t="shared" si="14"/>
        <v>July</v>
      </c>
      <c r="E183" s="3" t="s">
        <v>135</v>
      </c>
      <c r="F183" s="3" t="str">
        <f t="shared" si="15"/>
        <v>Total hari kerja</v>
      </c>
      <c r="G183" s="12" t="s">
        <v>158</v>
      </c>
      <c r="H183" s="12">
        <v>4</v>
      </c>
      <c r="I183" s="12">
        <v>4</v>
      </c>
      <c r="J183" s="12"/>
      <c r="K183" s="12"/>
    </row>
    <row r="184" spans="1:11" x14ac:dyDescent="0.35">
      <c r="A184" s="2">
        <v>46206</v>
      </c>
      <c r="B184" s="3" t="str">
        <f t="shared" si="12"/>
        <v>Fri</v>
      </c>
      <c r="C184" s="3">
        <f t="shared" si="13"/>
        <v>27</v>
      </c>
      <c r="D184" s="3" t="str">
        <f t="shared" si="14"/>
        <v>July</v>
      </c>
      <c r="E184" s="3" t="s">
        <v>135</v>
      </c>
      <c r="F184" s="3" t="str">
        <f t="shared" si="15"/>
        <v>Total hari kerja</v>
      </c>
      <c r="G184" s="12" t="s">
        <v>158</v>
      </c>
      <c r="H184" s="12">
        <v>7</v>
      </c>
      <c r="I184" s="12">
        <v>5</v>
      </c>
      <c r="J184" s="12"/>
      <c r="K184" s="12"/>
    </row>
    <row r="185" spans="1:11" x14ac:dyDescent="0.35">
      <c r="A185" s="2">
        <v>46207</v>
      </c>
      <c r="B185" s="3" t="str">
        <f t="shared" si="12"/>
        <v>Sat</v>
      </c>
      <c r="C185" s="3">
        <f t="shared" si="13"/>
        <v>27</v>
      </c>
      <c r="D185" s="3" t="str">
        <f t="shared" si="14"/>
        <v>July</v>
      </c>
      <c r="E185" s="3" t="s">
        <v>135</v>
      </c>
      <c r="F185" s="3" t="str">
        <f t="shared" si="15"/>
        <v>Total hari kerja</v>
      </c>
      <c r="G185" s="12" t="s">
        <v>158</v>
      </c>
      <c r="H185" s="12">
        <v>4</v>
      </c>
      <c r="I185" s="12">
        <v>6</v>
      </c>
      <c r="J185" s="12"/>
      <c r="K185" s="12"/>
    </row>
    <row r="186" spans="1:11" x14ac:dyDescent="0.35">
      <c r="A186" s="2">
        <v>46208</v>
      </c>
      <c r="B186" s="3" t="str">
        <f t="shared" si="12"/>
        <v>Sun</v>
      </c>
      <c r="C186" s="3">
        <f t="shared" si="13"/>
        <v>28</v>
      </c>
      <c r="D186" s="3" t="str">
        <f t="shared" si="14"/>
        <v>July</v>
      </c>
      <c r="E186" s="3"/>
      <c r="F186" s="3" t="str">
        <f t="shared" si="15"/>
        <v xml:space="preserve"> </v>
      </c>
      <c r="G186" s="12" t="s">
        <v>158</v>
      </c>
      <c r="H186" s="12"/>
      <c r="I186" s="12"/>
      <c r="J186" s="12"/>
      <c r="K186" s="12"/>
    </row>
    <row r="187" spans="1:11" x14ac:dyDescent="0.35">
      <c r="A187" s="2">
        <v>46209</v>
      </c>
      <c r="B187" s="3" t="str">
        <f t="shared" si="12"/>
        <v>Mon</v>
      </c>
      <c r="C187" s="3">
        <f t="shared" si="13"/>
        <v>28</v>
      </c>
      <c r="D187" s="3" t="str">
        <f t="shared" si="14"/>
        <v>July</v>
      </c>
      <c r="E187" s="3" t="s">
        <v>102</v>
      </c>
      <c r="F187" s="3" t="str">
        <f t="shared" si="15"/>
        <v>Ijin/Sakit/Alfa</v>
      </c>
      <c r="G187" s="12" t="s">
        <v>158</v>
      </c>
      <c r="H187" s="12"/>
      <c r="I187" s="12"/>
      <c r="J187" s="12"/>
      <c r="K187" s="12"/>
    </row>
    <row r="188" spans="1:11" x14ac:dyDescent="0.35">
      <c r="A188" s="2">
        <v>46210</v>
      </c>
      <c r="B188" s="3" t="str">
        <f t="shared" si="12"/>
        <v>Tue</v>
      </c>
      <c r="C188" s="3">
        <f t="shared" si="13"/>
        <v>28</v>
      </c>
      <c r="D188" s="3" t="str">
        <f t="shared" si="14"/>
        <v>July</v>
      </c>
      <c r="E188" s="3" t="s">
        <v>135</v>
      </c>
      <c r="F188" s="3" t="str">
        <f t="shared" si="15"/>
        <v>Total hari kerja</v>
      </c>
      <c r="G188" s="12" t="s">
        <v>158</v>
      </c>
      <c r="H188" s="12">
        <v>3</v>
      </c>
      <c r="I188" s="12">
        <v>4</v>
      </c>
      <c r="J188" s="12"/>
      <c r="K188" s="12"/>
    </row>
    <row r="189" spans="1:11" x14ac:dyDescent="0.35">
      <c r="A189" s="2">
        <v>46211</v>
      </c>
      <c r="B189" s="3" t="str">
        <f t="shared" si="12"/>
        <v>Wed</v>
      </c>
      <c r="C189" s="3">
        <f t="shared" si="13"/>
        <v>28</v>
      </c>
      <c r="D189" s="3" t="str">
        <f t="shared" si="14"/>
        <v>July</v>
      </c>
      <c r="E189" s="3" t="s">
        <v>135</v>
      </c>
      <c r="F189" s="3" t="str">
        <f t="shared" si="15"/>
        <v>Total hari kerja</v>
      </c>
      <c r="G189" s="12" t="s">
        <v>158</v>
      </c>
      <c r="H189" s="12">
        <v>2</v>
      </c>
      <c r="I189" s="12">
        <v>4</v>
      </c>
      <c r="J189" s="12">
        <v>2</v>
      </c>
      <c r="K189" s="12"/>
    </row>
    <row r="190" spans="1:11" x14ac:dyDescent="0.35">
      <c r="A190" s="2">
        <v>46212</v>
      </c>
      <c r="B190" s="3" t="str">
        <f t="shared" si="12"/>
        <v>Thu</v>
      </c>
      <c r="C190" s="3">
        <f t="shared" si="13"/>
        <v>28</v>
      </c>
      <c r="D190" s="3" t="str">
        <f t="shared" si="14"/>
        <v>July</v>
      </c>
      <c r="E190" s="3" t="s">
        <v>135</v>
      </c>
      <c r="F190" s="3" t="str">
        <f t="shared" si="15"/>
        <v>Total hari kerja</v>
      </c>
      <c r="G190" s="12" t="s">
        <v>158</v>
      </c>
      <c r="H190" s="12">
        <v>3</v>
      </c>
      <c r="I190" s="12">
        <v>3</v>
      </c>
      <c r="J190" s="12"/>
      <c r="K190" s="12"/>
    </row>
    <row r="191" spans="1:11" x14ac:dyDescent="0.35">
      <c r="A191" s="2">
        <v>46213</v>
      </c>
      <c r="B191" s="3" t="str">
        <f t="shared" si="12"/>
        <v>Fri</v>
      </c>
      <c r="C191" s="3">
        <f t="shared" si="13"/>
        <v>28</v>
      </c>
      <c r="D191" s="3" t="str">
        <f t="shared" si="14"/>
        <v>July</v>
      </c>
      <c r="E191" s="3" t="s">
        <v>135</v>
      </c>
      <c r="F191" s="3" t="str">
        <f t="shared" si="15"/>
        <v>Total hari kerja</v>
      </c>
      <c r="G191" s="12" t="s">
        <v>158</v>
      </c>
      <c r="H191" s="12"/>
      <c r="I191" s="12"/>
      <c r="J191" s="12"/>
      <c r="K191" s="12"/>
    </row>
    <row r="192" spans="1:11" x14ac:dyDescent="0.35">
      <c r="A192" s="2">
        <v>46214</v>
      </c>
      <c r="B192" s="3" t="str">
        <f t="shared" si="12"/>
        <v>Sat</v>
      </c>
      <c r="C192" s="3">
        <f t="shared" si="13"/>
        <v>28</v>
      </c>
      <c r="D192" s="3" t="str">
        <f t="shared" si="14"/>
        <v>July</v>
      </c>
      <c r="E192" s="3" t="s">
        <v>135</v>
      </c>
      <c r="F192" s="3" t="str">
        <f t="shared" si="15"/>
        <v>Total hari kerja</v>
      </c>
      <c r="G192" s="12" t="s">
        <v>158</v>
      </c>
      <c r="H192" s="12">
        <v>8</v>
      </c>
      <c r="I192" s="12">
        <v>2</v>
      </c>
      <c r="J192" s="12"/>
      <c r="K192" s="12"/>
    </row>
    <row r="193" spans="1:11" x14ac:dyDescent="0.35">
      <c r="A193" s="2">
        <v>46215</v>
      </c>
      <c r="B193" s="3" t="str">
        <f t="shared" si="12"/>
        <v>Sun</v>
      </c>
      <c r="C193" s="3">
        <f t="shared" si="13"/>
        <v>29</v>
      </c>
      <c r="D193" s="3" t="str">
        <f t="shared" si="14"/>
        <v>July</v>
      </c>
      <c r="E193" s="3"/>
      <c r="F193" s="3" t="str">
        <f t="shared" si="15"/>
        <v xml:space="preserve"> </v>
      </c>
      <c r="G193" s="12" t="s">
        <v>158</v>
      </c>
      <c r="H193" s="12"/>
      <c r="I193" s="12"/>
      <c r="J193" s="12"/>
      <c r="K193" s="12"/>
    </row>
    <row r="194" spans="1:11" x14ac:dyDescent="0.35">
      <c r="A194" s="2">
        <v>46216</v>
      </c>
      <c r="B194" s="3" t="str">
        <f t="shared" si="12"/>
        <v>Mon</v>
      </c>
      <c r="C194" s="3">
        <f t="shared" si="13"/>
        <v>29</v>
      </c>
      <c r="D194" s="3" t="str">
        <f t="shared" si="14"/>
        <v>July</v>
      </c>
      <c r="E194" s="3" t="s">
        <v>135</v>
      </c>
      <c r="F194" s="3" t="str">
        <f t="shared" si="15"/>
        <v>Total hari kerja</v>
      </c>
      <c r="G194" s="12" t="s">
        <v>158</v>
      </c>
      <c r="H194" s="12">
        <v>9</v>
      </c>
      <c r="I194" s="12">
        <v>14</v>
      </c>
      <c r="J194" s="12"/>
      <c r="K194" s="12"/>
    </row>
    <row r="195" spans="1:11" x14ac:dyDescent="0.35">
      <c r="A195" s="2">
        <v>46217</v>
      </c>
      <c r="B195" s="3" t="str">
        <f t="shared" si="12"/>
        <v>Tue</v>
      </c>
      <c r="C195" s="3">
        <f t="shared" si="13"/>
        <v>29</v>
      </c>
      <c r="D195" s="3" t="str">
        <f t="shared" si="14"/>
        <v>July</v>
      </c>
      <c r="E195" s="3" t="s">
        <v>135</v>
      </c>
      <c r="F195" s="3" t="str">
        <f t="shared" si="15"/>
        <v>Total hari kerja</v>
      </c>
      <c r="G195" s="12" t="s">
        <v>158</v>
      </c>
      <c r="H195" s="12">
        <v>18</v>
      </c>
      <c r="I195" s="12">
        <v>6</v>
      </c>
      <c r="J195" s="12"/>
      <c r="K195" s="12"/>
    </row>
    <row r="196" spans="1:11" x14ac:dyDescent="0.35">
      <c r="A196" s="2">
        <v>46218</v>
      </c>
      <c r="B196" s="3" t="str">
        <f t="shared" si="12"/>
        <v>Wed</v>
      </c>
      <c r="C196" s="3">
        <f t="shared" si="13"/>
        <v>29</v>
      </c>
      <c r="D196" s="3" t="str">
        <f t="shared" si="14"/>
        <v>July</v>
      </c>
      <c r="E196" s="3" t="s">
        <v>135</v>
      </c>
      <c r="F196" s="3" t="str">
        <f t="shared" si="15"/>
        <v>Total hari kerja</v>
      </c>
      <c r="G196" s="12" t="s">
        <v>158</v>
      </c>
      <c r="H196" s="12">
        <v>10</v>
      </c>
      <c r="I196" s="12">
        <v>7</v>
      </c>
      <c r="J196" s="12"/>
      <c r="K196" s="12"/>
    </row>
    <row r="197" spans="1:11" x14ac:dyDescent="0.35">
      <c r="A197" s="2">
        <v>46219</v>
      </c>
      <c r="B197" s="3" t="str">
        <f t="shared" si="12"/>
        <v>Thu</v>
      </c>
      <c r="C197" s="3">
        <f t="shared" si="13"/>
        <v>29</v>
      </c>
      <c r="D197" s="3" t="str">
        <f t="shared" si="14"/>
        <v>July</v>
      </c>
      <c r="E197" s="3" t="s">
        <v>135</v>
      </c>
      <c r="F197" s="3" t="str">
        <f t="shared" si="15"/>
        <v>Total hari kerja</v>
      </c>
      <c r="G197" s="12" t="s">
        <v>158</v>
      </c>
      <c r="H197" s="12">
        <v>6</v>
      </c>
      <c r="I197" s="12">
        <v>14</v>
      </c>
      <c r="J197" s="12"/>
      <c r="K197" s="12"/>
    </row>
    <row r="198" spans="1:11" x14ac:dyDescent="0.35">
      <c r="A198" s="2">
        <v>46220</v>
      </c>
      <c r="B198" s="3" t="str">
        <f t="shared" si="12"/>
        <v>Fri</v>
      </c>
      <c r="C198" s="3">
        <f t="shared" si="13"/>
        <v>29</v>
      </c>
      <c r="D198" s="3" t="str">
        <f t="shared" si="14"/>
        <v>July</v>
      </c>
      <c r="E198" s="3" t="s">
        <v>135</v>
      </c>
      <c r="F198" s="3" t="str">
        <f t="shared" si="15"/>
        <v>Total hari kerja</v>
      </c>
      <c r="G198" s="12" t="s">
        <v>158</v>
      </c>
      <c r="H198" s="12">
        <v>9</v>
      </c>
      <c r="I198" s="12">
        <v>5</v>
      </c>
      <c r="J198" s="12"/>
      <c r="K198" s="12"/>
    </row>
    <row r="199" spans="1:11" x14ac:dyDescent="0.35">
      <c r="A199" s="2">
        <v>46221</v>
      </c>
      <c r="B199" s="3" t="str">
        <f t="shared" si="12"/>
        <v>Sat</v>
      </c>
      <c r="C199" s="3">
        <f t="shared" si="13"/>
        <v>29</v>
      </c>
      <c r="D199" s="3" t="str">
        <f t="shared" si="14"/>
        <v>July</v>
      </c>
      <c r="E199" s="3" t="s">
        <v>135</v>
      </c>
      <c r="F199" s="3" t="str">
        <f t="shared" si="15"/>
        <v>Total hari kerja</v>
      </c>
      <c r="G199" s="12" t="s">
        <v>158</v>
      </c>
      <c r="H199" s="12">
        <v>7</v>
      </c>
      <c r="I199" s="12">
        <v>10</v>
      </c>
      <c r="J199" s="12"/>
      <c r="K199" s="12"/>
    </row>
    <row r="200" spans="1:11" x14ac:dyDescent="0.35">
      <c r="A200" s="2">
        <v>46222</v>
      </c>
      <c r="B200" s="3" t="str">
        <f t="shared" si="12"/>
        <v>Sun</v>
      </c>
      <c r="C200" s="3">
        <f t="shared" si="13"/>
        <v>30</v>
      </c>
      <c r="D200" s="3" t="str">
        <f t="shared" si="14"/>
        <v>July</v>
      </c>
      <c r="E200" s="3"/>
      <c r="F200" s="3" t="str">
        <f t="shared" si="15"/>
        <v xml:space="preserve"> </v>
      </c>
      <c r="G200" s="12" t="s">
        <v>158</v>
      </c>
      <c r="H200" s="12"/>
      <c r="I200" s="12"/>
      <c r="J200" s="12"/>
      <c r="K200" s="12"/>
    </row>
    <row r="201" spans="1:11" x14ac:dyDescent="0.35">
      <c r="A201" s="2">
        <v>46223</v>
      </c>
      <c r="B201" s="3" t="str">
        <f t="shared" si="12"/>
        <v>Mon</v>
      </c>
      <c r="C201" s="3">
        <f t="shared" si="13"/>
        <v>30</v>
      </c>
      <c r="D201" s="3" t="str">
        <f t="shared" si="14"/>
        <v>July</v>
      </c>
      <c r="E201" s="3" t="s">
        <v>135</v>
      </c>
      <c r="F201" s="3" t="str">
        <f t="shared" si="15"/>
        <v>Total hari kerja</v>
      </c>
      <c r="G201" s="12" t="s">
        <v>158</v>
      </c>
      <c r="H201" s="12">
        <v>9</v>
      </c>
      <c r="I201" s="12">
        <v>5</v>
      </c>
      <c r="J201" s="12"/>
      <c r="K201" s="12"/>
    </row>
    <row r="202" spans="1:11" x14ac:dyDescent="0.35">
      <c r="A202" s="2">
        <v>46224</v>
      </c>
      <c r="B202" s="3" t="str">
        <f t="shared" si="12"/>
        <v>Tue</v>
      </c>
      <c r="C202" s="3">
        <f t="shared" si="13"/>
        <v>30</v>
      </c>
      <c r="D202" s="3" t="str">
        <f t="shared" si="14"/>
        <v>July</v>
      </c>
      <c r="E202" s="3" t="s">
        <v>135</v>
      </c>
      <c r="F202" s="3" t="str">
        <f t="shared" si="15"/>
        <v>Total hari kerja</v>
      </c>
      <c r="G202" s="12" t="s">
        <v>158</v>
      </c>
      <c r="H202" s="12">
        <v>13</v>
      </c>
      <c r="I202" s="12">
        <v>8</v>
      </c>
      <c r="J202" s="12"/>
      <c r="K202" s="12"/>
    </row>
    <row r="203" spans="1:11" x14ac:dyDescent="0.35">
      <c r="A203" s="2">
        <v>46225</v>
      </c>
      <c r="B203" s="3" t="str">
        <f t="shared" si="12"/>
        <v>Wed</v>
      </c>
      <c r="C203" s="3">
        <f t="shared" si="13"/>
        <v>30</v>
      </c>
      <c r="D203" s="3" t="str">
        <f t="shared" si="14"/>
        <v>July</v>
      </c>
      <c r="E203" s="3" t="s">
        <v>135</v>
      </c>
      <c r="F203" s="3" t="str">
        <f t="shared" si="15"/>
        <v>Total hari kerja</v>
      </c>
      <c r="G203" s="12" t="s">
        <v>158</v>
      </c>
      <c r="H203" s="12">
        <v>4</v>
      </c>
      <c r="I203" s="12">
        <v>1</v>
      </c>
      <c r="J203" s="12">
        <v>13</v>
      </c>
      <c r="K203" s="12"/>
    </row>
    <row r="204" spans="1:11" x14ac:dyDescent="0.35">
      <c r="A204" s="2">
        <v>46226</v>
      </c>
      <c r="B204" s="3" t="str">
        <f t="shared" si="12"/>
        <v>Thu</v>
      </c>
      <c r="C204" s="3">
        <f t="shared" si="13"/>
        <v>30</v>
      </c>
      <c r="D204" s="3" t="str">
        <f t="shared" si="14"/>
        <v>July</v>
      </c>
      <c r="E204" s="3" t="s">
        <v>135</v>
      </c>
      <c r="F204" s="3" t="str">
        <f t="shared" si="15"/>
        <v>Total hari kerja</v>
      </c>
      <c r="G204" s="12" t="s">
        <v>158</v>
      </c>
      <c r="H204" s="12">
        <v>11</v>
      </c>
      <c r="I204" s="12">
        <v>18</v>
      </c>
      <c r="J204" s="12"/>
      <c r="K204" s="12"/>
    </row>
    <row r="205" spans="1:11" x14ac:dyDescent="0.35">
      <c r="A205" s="2">
        <v>46227</v>
      </c>
      <c r="B205" s="3" t="str">
        <f t="shared" si="12"/>
        <v>Fri</v>
      </c>
      <c r="C205" s="3">
        <f t="shared" si="13"/>
        <v>30</v>
      </c>
      <c r="D205" s="3" t="str">
        <f t="shared" si="14"/>
        <v>July</v>
      </c>
      <c r="E205" s="3" t="s">
        <v>135</v>
      </c>
      <c r="F205" s="3" t="str">
        <f t="shared" si="15"/>
        <v>Total hari kerja</v>
      </c>
      <c r="G205" s="12" t="s">
        <v>158</v>
      </c>
      <c r="H205" s="12">
        <v>12</v>
      </c>
      <c r="I205" s="12">
        <v>5</v>
      </c>
      <c r="J205" s="12"/>
      <c r="K205" s="12"/>
    </row>
    <row r="206" spans="1:11" x14ac:dyDescent="0.35">
      <c r="A206" s="2">
        <v>46228</v>
      </c>
      <c r="B206" s="3" t="str">
        <f t="shared" si="12"/>
        <v>Sat</v>
      </c>
      <c r="C206" s="3">
        <f t="shared" si="13"/>
        <v>30</v>
      </c>
      <c r="D206" s="3" t="str">
        <f t="shared" si="14"/>
        <v>July</v>
      </c>
      <c r="E206" s="3" t="s">
        <v>135</v>
      </c>
      <c r="F206" s="3" t="str">
        <f t="shared" si="15"/>
        <v>Total hari kerja</v>
      </c>
      <c r="G206" s="12" t="s">
        <v>158</v>
      </c>
      <c r="H206" s="12">
        <v>1</v>
      </c>
      <c r="I206" s="12">
        <v>6</v>
      </c>
      <c r="J206" s="12"/>
      <c r="K206" s="12"/>
    </row>
    <row r="207" spans="1:11" x14ac:dyDescent="0.35">
      <c r="A207" s="2">
        <v>46229</v>
      </c>
      <c r="B207" s="3" t="str">
        <f t="shared" si="12"/>
        <v>Sun</v>
      </c>
      <c r="C207" s="3">
        <f t="shared" si="13"/>
        <v>31</v>
      </c>
      <c r="D207" s="3" t="str">
        <f t="shared" si="14"/>
        <v>July</v>
      </c>
      <c r="E207" s="3"/>
      <c r="F207" s="3" t="str">
        <f t="shared" si="15"/>
        <v xml:space="preserve"> </v>
      </c>
      <c r="G207" s="12" t="s">
        <v>158</v>
      </c>
      <c r="H207" s="12"/>
      <c r="I207" s="12"/>
      <c r="J207" s="12"/>
      <c r="K207" s="12"/>
    </row>
    <row r="208" spans="1:11" x14ac:dyDescent="0.35">
      <c r="A208" s="2">
        <v>46230</v>
      </c>
      <c r="B208" s="3" t="str">
        <f t="shared" si="12"/>
        <v>Mon</v>
      </c>
      <c r="C208" s="3">
        <f t="shared" si="13"/>
        <v>31</v>
      </c>
      <c r="D208" s="3" t="str">
        <f t="shared" si="14"/>
        <v>July</v>
      </c>
      <c r="E208" s="3" t="s">
        <v>135</v>
      </c>
      <c r="F208" s="3" t="str">
        <f t="shared" si="15"/>
        <v>Total hari kerja</v>
      </c>
      <c r="G208" s="12" t="s">
        <v>158</v>
      </c>
      <c r="H208" s="12">
        <v>2</v>
      </c>
      <c r="I208" s="12">
        <v>8</v>
      </c>
      <c r="J208" s="12"/>
      <c r="K208" s="12"/>
    </row>
    <row r="209" spans="1:11" x14ac:dyDescent="0.35">
      <c r="A209" s="2">
        <v>46231</v>
      </c>
      <c r="B209" s="3" t="str">
        <f t="shared" si="12"/>
        <v>Tue</v>
      </c>
      <c r="C209" s="3">
        <f t="shared" si="13"/>
        <v>31</v>
      </c>
      <c r="D209" s="3" t="str">
        <f t="shared" si="14"/>
        <v>July</v>
      </c>
      <c r="E209" s="3" t="s">
        <v>135</v>
      </c>
      <c r="F209" s="3" t="str">
        <f t="shared" si="15"/>
        <v>Total hari kerja</v>
      </c>
      <c r="G209" s="12" t="s">
        <v>158</v>
      </c>
      <c r="H209" s="12">
        <v>6</v>
      </c>
      <c r="I209" s="12">
        <v>8</v>
      </c>
      <c r="J209" s="12"/>
      <c r="K209" s="12"/>
    </row>
    <row r="210" spans="1:11" x14ac:dyDescent="0.35">
      <c r="A210" s="2">
        <v>46232</v>
      </c>
      <c r="B210" s="3" t="str">
        <f t="shared" ref="B210:B273" si="16">TEXT(A210,"DDD")</f>
        <v>Wed</v>
      </c>
      <c r="C210" s="3">
        <f t="shared" ref="C210:C273" si="17">WEEKNUM(A210)</f>
        <v>31</v>
      </c>
      <c r="D210" s="3" t="str">
        <f t="shared" ref="D210:D273" si="18">TEXT(A210,"mmmm")</f>
        <v>July</v>
      </c>
      <c r="E210" s="3" t="s">
        <v>135</v>
      </c>
      <c r="F210" s="3" t="str">
        <f t="shared" si="15"/>
        <v>Total hari kerja</v>
      </c>
      <c r="G210" s="12" t="s">
        <v>158</v>
      </c>
      <c r="H210" s="12">
        <v>3</v>
      </c>
      <c r="I210" s="12">
        <v>11</v>
      </c>
      <c r="J210" s="12"/>
      <c r="K210" s="12"/>
    </row>
    <row r="211" spans="1:11" x14ac:dyDescent="0.35">
      <c r="A211" s="2">
        <v>46233</v>
      </c>
      <c r="B211" s="3" t="str">
        <f t="shared" si="16"/>
        <v>Thu</v>
      </c>
      <c r="C211" s="3">
        <f t="shared" si="17"/>
        <v>31</v>
      </c>
      <c r="D211" s="3" t="str">
        <f t="shared" si="18"/>
        <v>July</v>
      </c>
      <c r="E211" s="3" t="s">
        <v>135</v>
      </c>
      <c r="F211" s="3" t="str">
        <f t="shared" ref="F211:F274" si="19">IF(E211="J1",$O$3,IF(E211="J2",$O$4,IF(E211="J3",$O$5,IF(E211="J4",$O$6,IF(E211="J5",$O$7," ")))))</f>
        <v>Total hari kerja</v>
      </c>
      <c r="G211" s="12" t="s">
        <v>158</v>
      </c>
      <c r="H211" s="12">
        <v>7</v>
      </c>
      <c r="I211" s="12">
        <v>5</v>
      </c>
      <c r="J211" s="12"/>
      <c r="K211" s="12"/>
    </row>
    <row r="212" spans="1:11" x14ac:dyDescent="0.35">
      <c r="A212" s="2">
        <v>46234</v>
      </c>
      <c r="B212" s="3" t="str">
        <f t="shared" si="16"/>
        <v>Fri</v>
      </c>
      <c r="C212" s="3">
        <f t="shared" si="17"/>
        <v>31</v>
      </c>
      <c r="D212" s="3" t="str">
        <f t="shared" si="18"/>
        <v>July</v>
      </c>
      <c r="E212" s="3" t="s">
        <v>135</v>
      </c>
      <c r="F212" s="3" t="str">
        <f t="shared" si="19"/>
        <v>Total hari kerja</v>
      </c>
      <c r="G212" s="12" t="s">
        <v>158</v>
      </c>
      <c r="H212" s="12">
        <v>5</v>
      </c>
      <c r="I212" s="12">
        <v>4</v>
      </c>
      <c r="J212" s="12"/>
      <c r="K212" s="12"/>
    </row>
    <row r="213" spans="1:11" x14ac:dyDescent="0.35">
      <c r="A213" s="2">
        <v>46235</v>
      </c>
      <c r="B213" s="3" t="str">
        <f t="shared" si="16"/>
        <v>Sat</v>
      </c>
      <c r="C213" s="3">
        <f t="shared" si="17"/>
        <v>31</v>
      </c>
      <c r="D213" s="3" t="str">
        <f t="shared" si="18"/>
        <v>August</v>
      </c>
      <c r="E213" s="3" t="s">
        <v>135</v>
      </c>
      <c r="F213" s="3" t="str">
        <f t="shared" si="19"/>
        <v>Total hari kerja</v>
      </c>
      <c r="G213" s="12" t="s">
        <v>158</v>
      </c>
      <c r="H213" s="12">
        <v>2</v>
      </c>
      <c r="I213" s="12">
        <v>5</v>
      </c>
      <c r="J213" s="12"/>
      <c r="K213" s="12"/>
    </row>
    <row r="214" spans="1:11" x14ac:dyDescent="0.35">
      <c r="A214" s="2">
        <v>46236</v>
      </c>
      <c r="B214" s="3" t="str">
        <f t="shared" si="16"/>
        <v>Sun</v>
      </c>
      <c r="C214" s="3">
        <f t="shared" si="17"/>
        <v>32</v>
      </c>
      <c r="D214" s="3" t="str">
        <f t="shared" si="18"/>
        <v>August</v>
      </c>
      <c r="E214" s="3"/>
      <c r="F214" s="3" t="str">
        <f t="shared" si="19"/>
        <v xml:space="preserve"> </v>
      </c>
      <c r="G214" s="12" t="s">
        <v>158</v>
      </c>
      <c r="H214" s="12"/>
      <c r="I214" s="12"/>
      <c r="J214" s="12"/>
      <c r="K214" s="12"/>
    </row>
    <row r="215" spans="1:11" x14ac:dyDescent="0.35">
      <c r="A215" s="2">
        <v>46237</v>
      </c>
      <c r="B215" s="3" t="str">
        <f t="shared" si="16"/>
        <v>Mon</v>
      </c>
      <c r="C215" s="3">
        <f t="shared" si="17"/>
        <v>32</v>
      </c>
      <c r="D215" s="3" t="str">
        <f t="shared" si="18"/>
        <v>August</v>
      </c>
      <c r="E215" s="3" t="s">
        <v>135</v>
      </c>
      <c r="F215" s="3" t="str">
        <f t="shared" si="19"/>
        <v>Total hari kerja</v>
      </c>
      <c r="G215" s="12" t="s">
        <v>158</v>
      </c>
      <c r="H215" s="12">
        <v>6</v>
      </c>
      <c r="I215" s="12"/>
      <c r="J215" s="12"/>
      <c r="K215" s="12"/>
    </row>
    <row r="216" spans="1:11" x14ac:dyDescent="0.35">
      <c r="A216" s="2">
        <v>46238</v>
      </c>
      <c r="B216" s="3" t="str">
        <f t="shared" si="16"/>
        <v>Tue</v>
      </c>
      <c r="C216" s="3">
        <f t="shared" si="17"/>
        <v>32</v>
      </c>
      <c r="D216" s="3" t="str">
        <f t="shared" si="18"/>
        <v>August</v>
      </c>
      <c r="E216" s="3" t="s">
        <v>135</v>
      </c>
      <c r="F216" s="3" t="str">
        <f t="shared" si="19"/>
        <v>Total hari kerja</v>
      </c>
      <c r="G216" s="12" t="s">
        <v>158</v>
      </c>
      <c r="H216" s="12">
        <v>1</v>
      </c>
      <c r="I216" s="12">
        <v>6</v>
      </c>
      <c r="J216" s="12">
        <v>2</v>
      </c>
      <c r="K216" s="12"/>
    </row>
    <row r="217" spans="1:11" x14ac:dyDescent="0.35">
      <c r="A217" s="2">
        <v>46239</v>
      </c>
      <c r="B217" s="3" t="str">
        <f t="shared" si="16"/>
        <v>Wed</v>
      </c>
      <c r="C217" s="3">
        <f t="shared" si="17"/>
        <v>32</v>
      </c>
      <c r="D217" s="3" t="str">
        <f t="shared" si="18"/>
        <v>August</v>
      </c>
      <c r="E217" s="3" t="s">
        <v>102</v>
      </c>
      <c r="F217" s="3" t="str">
        <f t="shared" si="19"/>
        <v>Ijin/Sakit/Alfa</v>
      </c>
      <c r="G217" s="12" t="s">
        <v>158</v>
      </c>
      <c r="H217" s="12"/>
      <c r="I217" s="12"/>
      <c r="J217" s="12"/>
      <c r="K217" s="12"/>
    </row>
    <row r="218" spans="1:11" x14ac:dyDescent="0.35">
      <c r="A218" s="2">
        <v>46240</v>
      </c>
      <c r="B218" s="3" t="str">
        <f t="shared" si="16"/>
        <v>Thu</v>
      </c>
      <c r="C218" s="3">
        <f t="shared" si="17"/>
        <v>32</v>
      </c>
      <c r="D218" s="3" t="str">
        <f t="shared" si="18"/>
        <v>August</v>
      </c>
      <c r="E218" s="3" t="s">
        <v>135</v>
      </c>
      <c r="F218" s="3" t="str">
        <f t="shared" si="19"/>
        <v>Total hari kerja</v>
      </c>
      <c r="G218" s="12" t="s">
        <v>158</v>
      </c>
      <c r="H218" s="12">
        <v>6</v>
      </c>
      <c r="I218" s="12">
        <v>8</v>
      </c>
      <c r="J218" s="12"/>
      <c r="K218" s="12"/>
    </row>
    <row r="219" spans="1:11" x14ac:dyDescent="0.35">
      <c r="A219" s="2">
        <v>46241</v>
      </c>
      <c r="B219" s="3" t="str">
        <f t="shared" si="16"/>
        <v>Fri</v>
      </c>
      <c r="C219" s="3">
        <f t="shared" si="17"/>
        <v>32</v>
      </c>
      <c r="D219" s="3" t="str">
        <f t="shared" si="18"/>
        <v>August</v>
      </c>
      <c r="E219" s="3" t="s">
        <v>135</v>
      </c>
      <c r="F219" s="3" t="str">
        <f t="shared" si="19"/>
        <v>Total hari kerja</v>
      </c>
      <c r="G219" s="12" t="s">
        <v>158</v>
      </c>
      <c r="H219" s="12">
        <v>6</v>
      </c>
      <c r="I219" s="12">
        <v>5</v>
      </c>
      <c r="J219" s="12"/>
      <c r="K219" s="12"/>
    </row>
    <row r="220" spans="1:11" x14ac:dyDescent="0.35">
      <c r="A220" s="2">
        <v>46242</v>
      </c>
      <c r="B220" s="3" t="str">
        <f t="shared" si="16"/>
        <v>Sat</v>
      </c>
      <c r="C220" s="3">
        <f t="shared" si="17"/>
        <v>32</v>
      </c>
      <c r="D220" s="3" t="str">
        <f t="shared" si="18"/>
        <v>August</v>
      </c>
      <c r="E220" s="3" t="s">
        <v>135</v>
      </c>
      <c r="F220" s="3" t="str">
        <f t="shared" si="19"/>
        <v>Total hari kerja</v>
      </c>
      <c r="G220" s="12" t="s">
        <v>158</v>
      </c>
      <c r="H220" s="12">
        <v>2</v>
      </c>
      <c r="I220" s="12">
        <v>6</v>
      </c>
      <c r="J220" s="12"/>
      <c r="K220" s="12"/>
    </row>
    <row r="221" spans="1:11" x14ac:dyDescent="0.35">
      <c r="A221" s="2">
        <v>46243</v>
      </c>
      <c r="B221" s="3" t="str">
        <f t="shared" si="16"/>
        <v>Sun</v>
      </c>
      <c r="C221" s="3">
        <f t="shared" si="17"/>
        <v>33</v>
      </c>
      <c r="D221" s="3" t="str">
        <f t="shared" si="18"/>
        <v>August</v>
      </c>
      <c r="E221" s="3"/>
      <c r="F221" s="3" t="str">
        <f t="shared" si="19"/>
        <v xml:space="preserve"> </v>
      </c>
      <c r="G221" s="12" t="s">
        <v>158</v>
      </c>
      <c r="H221" s="12"/>
      <c r="I221" s="12"/>
      <c r="J221" s="12"/>
      <c r="K221" s="12"/>
    </row>
    <row r="222" spans="1:11" x14ac:dyDescent="0.35">
      <c r="A222" s="2">
        <v>46244</v>
      </c>
      <c r="B222" s="3" t="str">
        <f t="shared" si="16"/>
        <v>Mon</v>
      </c>
      <c r="C222" s="3">
        <f t="shared" si="17"/>
        <v>33</v>
      </c>
      <c r="D222" s="3" t="str">
        <f t="shared" si="18"/>
        <v>August</v>
      </c>
      <c r="E222" s="3" t="s">
        <v>135</v>
      </c>
      <c r="F222" s="3" t="str">
        <f t="shared" si="19"/>
        <v>Total hari kerja</v>
      </c>
      <c r="G222" s="12" t="s">
        <v>158</v>
      </c>
      <c r="H222" s="12">
        <v>2</v>
      </c>
      <c r="I222" s="12">
        <v>9</v>
      </c>
      <c r="J222" s="12">
        <v>2</v>
      </c>
      <c r="K222" s="12"/>
    </row>
    <row r="223" spans="1:11" x14ac:dyDescent="0.35">
      <c r="A223" s="2">
        <v>46245</v>
      </c>
      <c r="B223" s="3" t="str">
        <f t="shared" si="16"/>
        <v>Tue</v>
      </c>
      <c r="C223" s="3">
        <f t="shared" si="17"/>
        <v>33</v>
      </c>
      <c r="D223" s="3" t="str">
        <f t="shared" si="18"/>
        <v>August</v>
      </c>
      <c r="E223" s="3" t="s">
        <v>135</v>
      </c>
      <c r="F223" s="3" t="str">
        <f t="shared" si="19"/>
        <v>Total hari kerja</v>
      </c>
      <c r="G223" s="12" t="s">
        <v>158</v>
      </c>
      <c r="H223" s="12">
        <v>2</v>
      </c>
      <c r="I223" s="12">
        <v>13</v>
      </c>
      <c r="J223" s="12"/>
      <c r="K223" s="12"/>
    </row>
    <row r="224" spans="1:11" x14ac:dyDescent="0.35">
      <c r="A224" s="2">
        <v>46246</v>
      </c>
      <c r="B224" s="3" t="str">
        <f t="shared" si="16"/>
        <v>Wed</v>
      </c>
      <c r="C224" s="3">
        <f t="shared" si="17"/>
        <v>33</v>
      </c>
      <c r="D224" s="3" t="str">
        <f t="shared" si="18"/>
        <v>August</v>
      </c>
      <c r="E224" s="3" t="s">
        <v>135</v>
      </c>
      <c r="F224" s="3" t="str">
        <f t="shared" si="19"/>
        <v>Total hari kerja</v>
      </c>
      <c r="G224" s="12" t="s">
        <v>158</v>
      </c>
      <c r="H224" s="12">
        <v>1</v>
      </c>
      <c r="I224" s="12">
        <v>11</v>
      </c>
      <c r="J224" s="12"/>
      <c r="K224" s="12"/>
    </row>
    <row r="225" spans="1:12" x14ac:dyDescent="0.35">
      <c r="A225" s="2">
        <v>46247</v>
      </c>
      <c r="B225" s="3" t="str">
        <f t="shared" si="16"/>
        <v>Thu</v>
      </c>
      <c r="C225" s="3">
        <f t="shared" si="17"/>
        <v>33</v>
      </c>
      <c r="D225" s="3" t="str">
        <f t="shared" si="18"/>
        <v>August</v>
      </c>
      <c r="E225" s="3" t="s">
        <v>135</v>
      </c>
      <c r="F225" s="3" t="str">
        <f t="shared" si="19"/>
        <v>Total hari kerja</v>
      </c>
      <c r="G225" s="12" t="s">
        <v>158</v>
      </c>
      <c r="H225" s="12">
        <v>3</v>
      </c>
      <c r="I225" s="12">
        <v>8</v>
      </c>
      <c r="J225" s="12"/>
      <c r="K225" s="12"/>
    </row>
    <row r="226" spans="1:12" x14ac:dyDescent="0.35">
      <c r="A226" s="2">
        <v>46248</v>
      </c>
      <c r="B226" s="3" t="str">
        <f t="shared" si="16"/>
        <v>Fri</v>
      </c>
      <c r="C226" s="3">
        <f t="shared" si="17"/>
        <v>33</v>
      </c>
      <c r="D226" s="3" t="str">
        <f t="shared" si="18"/>
        <v>August</v>
      </c>
      <c r="E226" s="3" t="s">
        <v>135</v>
      </c>
      <c r="F226" s="3" t="str">
        <f t="shared" si="19"/>
        <v>Total hari kerja</v>
      </c>
      <c r="G226" s="12" t="s">
        <v>158</v>
      </c>
      <c r="H226" s="12">
        <v>6</v>
      </c>
      <c r="I226" s="12">
        <v>5</v>
      </c>
      <c r="J226" s="12"/>
      <c r="K226" s="12"/>
    </row>
    <row r="227" spans="1:12" x14ac:dyDescent="0.35">
      <c r="A227" s="2">
        <v>46249</v>
      </c>
      <c r="B227" s="3" t="str">
        <f t="shared" si="16"/>
        <v>Sat</v>
      </c>
      <c r="C227" s="3">
        <f t="shared" si="17"/>
        <v>33</v>
      </c>
      <c r="D227" s="3" t="str">
        <f t="shared" si="18"/>
        <v>August</v>
      </c>
      <c r="E227" s="3" t="s">
        <v>135</v>
      </c>
      <c r="F227" s="3" t="str">
        <f t="shared" si="19"/>
        <v>Total hari kerja</v>
      </c>
      <c r="G227" s="12" t="s">
        <v>158</v>
      </c>
      <c r="H227" s="12">
        <v>1</v>
      </c>
      <c r="I227" s="12">
        <v>8</v>
      </c>
      <c r="J227" s="12"/>
      <c r="K227" s="12"/>
    </row>
    <row r="228" spans="1:12" x14ac:dyDescent="0.35">
      <c r="A228" s="2">
        <v>46250</v>
      </c>
      <c r="B228" s="3" t="str">
        <f t="shared" si="16"/>
        <v>Sun</v>
      </c>
      <c r="C228" s="3">
        <f t="shared" si="17"/>
        <v>34</v>
      </c>
      <c r="D228" s="3" t="str">
        <f t="shared" si="18"/>
        <v>August</v>
      </c>
      <c r="E228" s="3"/>
      <c r="F228" s="3" t="str">
        <f t="shared" si="19"/>
        <v xml:space="preserve"> </v>
      </c>
      <c r="G228" s="12" t="s">
        <v>158</v>
      </c>
      <c r="H228" s="12"/>
      <c r="I228" s="12"/>
      <c r="J228" s="12"/>
      <c r="K228" s="12"/>
      <c r="L228" s="64" t="s">
        <v>145</v>
      </c>
    </row>
    <row r="229" spans="1:12" x14ac:dyDescent="0.35">
      <c r="A229" s="2">
        <v>46251</v>
      </c>
      <c r="B229" s="3" t="str">
        <f t="shared" si="16"/>
        <v>Mon</v>
      </c>
      <c r="C229" s="3">
        <f t="shared" si="17"/>
        <v>34</v>
      </c>
      <c r="D229" s="3" t="str">
        <f t="shared" si="18"/>
        <v>August</v>
      </c>
      <c r="E229" s="3" t="s">
        <v>140</v>
      </c>
      <c r="F229" s="3" t="str">
        <f t="shared" si="19"/>
        <v>MERAH</v>
      </c>
      <c r="G229" s="12" t="s">
        <v>158</v>
      </c>
      <c r="H229" s="12"/>
      <c r="I229" s="12"/>
      <c r="J229" s="12"/>
      <c r="K229" s="12"/>
    </row>
    <row r="230" spans="1:12" x14ac:dyDescent="0.35">
      <c r="A230" s="2">
        <v>46252</v>
      </c>
      <c r="B230" s="3" t="str">
        <f t="shared" si="16"/>
        <v>Tue</v>
      </c>
      <c r="C230" s="3">
        <f t="shared" si="17"/>
        <v>34</v>
      </c>
      <c r="D230" s="3" t="str">
        <f t="shared" si="18"/>
        <v>August</v>
      </c>
      <c r="E230" s="3" t="s">
        <v>135</v>
      </c>
      <c r="F230" s="3" t="str">
        <f t="shared" si="19"/>
        <v>Total hari kerja</v>
      </c>
      <c r="G230" s="12" t="s">
        <v>158</v>
      </c>
      <c r="H230" s="12">
        <v>7</v>
      </c>
      <c r="I230" s="12">
        <v>2</v>
      </c>
      <c r="J230" s="12"/>
      <c r="K230" s="12"/>
    </row>
    <row r="231" spans="1:12" x14ac:dyDescent="0.35">
      <c r="A231" s="2">
        <v>46253</v>
      </c>
      <c r="B231" s="3" t="str">
        <f t="shared" si="16"/>
        <v>Wed</v>
      </c>
      <c r="C231" s="3">
        <f t="shared" si="17"/>
        <v>34</v>
      </c>
      <c r="D231" s="3" t="str">
        <f t="shared" si="18"/>
        <v>August</v>
      </c>
      <c r="E231" s="3" t="s">
        <v>135</v>
      </c>
      <c r="F231" s="3" t="str">
        <f t="shared" si="19"/>
        <v>Total hari kerja</v>
      </c>
      <c r="G231" s="12" t="s">
        <v>158</v>
      </c>
      <c r="H231" s="12">
        <v>1</v>
      </c>
      <c r="I231" s="12">
        <v>1</v>
      </c>
      <c r="J231" s="12">
        <v>1</v>
      </c>
      <c r="K231" s="12"/>
    </row>
    <row r="232" spans="1:12" x14ac:dyDescent="0.35">
      <c r="A232" s="2">
        <v>46254</v>
      </c>
      <c r="B232" s="3" t="str">
        <f t="shared" si="16"/>
        <v>Thu</v>
      </c>
      <c r="C232" s="3">
        <f t="shared" si="17"/>
        <v>34</v>
      </c>
      <c r="D232" s="3" t="str">
        <f t="shared" si="18"/>
        <v>August</v>
      </c>
      <c r="E232" s="3" t="s">
        <v>135</v>
      </c>
      <c r="F232" s="3" t="str">
        <f t="shared" si="19"/>
        <v>Total hari kerja</v>
      </c>
      <c r="G232" s="12" t="s">
        <v>158</v>
      </c>
      <c r="H232" s="12">
        <v>1</v>
      </c>
      <c r="I232" s="12">
        <v>1</v>
      </c>
      <c r="J232" s="12"/>
      <c r="K232" s="12"/>
    </row>
    <row r="233" spans="1:12" x14ac:dyDescent="0.35">
      <c r="A233" s="2">
        <v>46255</v>
      </c>
      <c r="B233" s="3" t="str">
        <f t="shared" si="16"/>
        <v>Fri</v>
      </c>
      <c r="C233" s="3">
        <f t="shared" si="17"/>
        <v>34</v>
      </c>
      <c r="D233" s="3" t="str">
        <f t="shared" si="18"/>
        <v>August</v>
      </c>
      <c r="E233" s="3" t="s">
        <v>135</v>
      </c>
      <c r="F233" s="3" t="str">
        <f t="shared" si="19"/>
        <v>Total hari kerja</v>
      </c>
      <c r="G233" s="12" t="s">
        <v>158</v>
      </c>
      <c r="H233" s="12">
        <v>1</v>
      </c>
      <c r="I233" s="12">
        <v>1</v>
      </c>
      <c r="J233" s="12"/>
      <c r="K233" s="12"/>
    </row>
    <row r="234" spans="1:12" x14ac:dyDescent="0.35">
      <c r="A234" s="2">
        <v>46256</v>
      </c>
      <c r="B234" s="3" t="str">
        <f t="shared" si="16"/>
        <v>Sat</v>
      </c>
      <c r="C234" s="3">
        <f t="shared" si="17"/>
        <v>34</v>
      </c>
      <c r="D234" s="3" t="str">
        <f t="shared" si="18"/>
        <v>August</v>
      </c>
      <c r="E234" s="3" t="s">
        <v>135</v>
      </c>
      <c r="F234" s="3" t="str">
        <f t="shared" si="19"/>
        <v>Total hari kerja</v>
      </c>
      <c r="G234" s="12" t="s">
        <v>158</v>
      </c>
      <c r="H234" s="12">
        <v>7</v>
      </c>
      <c r="I234" s="12">
        <v>1</v>
      </c>
      <c r="J234" s="12">
        <v>4</v>
      </c>
      <c r="K234" s="12"/>
    </row>
    <row r="235" spans="1:12" x14ac:dyDescent="0.35">
      <c r="A235" s="2">
        <v>46257</v>
      </c>
      <c r="B235" s="3" t="str">
        <f t="shared" si="16"/>
        <v>Sun</v>
      </c>
      <c r="C235" s="3">
        <f t="shared" si="17"/>
        <v>35</v>
      </c>
      <c r="D235" s="3" t="str">
        <f t="shared" si="18"/>
        <v>August</v>
      </c>
      <c r="E235" s="3"/>
      <c r="F235" s="3" t="str">
        <f t="shared" si="19"/>
        <v xml:space="preserve"> </v>
      </c>
      <c r="G235" s="12" t="s">
        <v>158</v>
      </c>
      <c r="H235" s="12"/>
      <c r="I235" s="12"/>
      <c r="J235" s="12"/>
      <c r="K235" s="12"/>
    </row>
    <row r="236" spans="1:12" x14ac:dyDescent="0.35">
      <c r="A236" s="2">
        <v>46258</v>
      </c>
      <c r="B236" s="3" t="str">
        <f t="shared" si="16"/>
        <v>Mon</v>
      </c>
      <c r="C236" s="3">
        <f t="shared" si="17"/>
        <v>35</v>
      </c>
      <c r="D236" s="3" t="str">
        <f t="shared" si="18"/>
        <v>August</v>
      </c>
      <c r="E236" s="3" t="s">
        <v>135</v>
      </c>
      <c r="F236" s="3" t="str">
        <f t="shared" si="19"/>
        <v>Total hari kerja</v>
      </c>
      <c r="G236" s="12" t="s">
        <v>158</v>
      </c>
      <c r="H236" s="12">
        <v>3</v>
      </c>
      <c r="I236" s="12">
        <v>1</v>
      </c>
      <c r="J236" s="12"/>
      <c r="K236" s="12"/>
    </row>
    <row r="237" spans="1:12" x14ac:dyDescent="0.35">
      <c r="A237" s="2">
        <v>46259</v>
      </c>
      <c r="B237" s="3" t="str">
        <f t="shared" si="16"/>
        <v>Tue</v>
      </c>
      <c r="C237" s="3">
        <f t="shared" si="17"/>
        <v>35</v>
      </c>
      <c r="D237" s="3" t="str">
        <f t="shared" si="18"/>
        <v>August</v>
      </c>
      <c r="E237" s="3" t="s">
        <v>140</v>
      </c>
      <c r="F237" s="3" t="str">
        <f t="shared" si="19"/>
        <v>MERAH</v>
      </c>
      <c r="G237" s="12" t="s">
        <v>158</v>
      </c>
      <c r="H237" s="12"/>
      <c r="I237" s="12"/>
      <c r="J237" s="12"/>
      <c r="K237" s="12"/>
    </row>
    <row r="238" spans="1:12" x14ac:dyDescent="0.35">
      <c r="A238" s="2">
        <v>46260</v>
      </c>
      <c r="B238" s="3" t="str">
        <f t="shared" si="16"/>
        <v>Wed</v>
      </c>
      <c r="C238" s="3">
        <f t="shared" si="17"/>
        <v>35</v>
      </c>
      <c r="D238" s="3" t="str">
        <f t="shared" si="18"/>
        <v>August</v>
      </c>
      <c r="E238" s="3" t="s">
        <v>135</v>
      </c>
      <c r="F238" s="3" t="str">
        <f t="shared" si="19"/>
        <v>Total hari kerja</v>
      </c>
      <c r="G238" s="12" t="s">
        <v>158</v>
      </c>
      <c r="H238" s="12">
        <v>2</v>
      </c>
      <c r="I238" s="12"/>
      <c r="J238" s="12"/>
      <c r="K238" s="12"/>
    </row>
    <row r="239" spans="1:12" x14ac:dyDescent="0.35">
      <c r="A239" s="2">
        <v>46261</v>
      </c>
      <c r="B239" s="3" t="str">
        <f t="shared" si="16"/>
        <v>Thu</v>
      </c>
      <c r="C239" s="3">
        <f t="shared" si="17"/>
        <v>35</v>
      </c>
      <c r="D239" s="3" t="str">
        <f t="shared" si="18"/>
        <v>August</v>
      </c>
      <c r="E239" s="3" t="s">
        <v>135</v>
      </c>
      <c r="F239" s="3" t="str">
        <f t="shared" si="19"/>
        <v>Total hari kerja</v>
      </c>
      <c r="G239" s="12" t="s">
        <v>158</v>
      </c>
      <c r="H239" s="12">
        <v>13</v>
      </c>
      <c r="I239" s="12">
        <v>4</v>
      </c>
      <c r="J239" s="12"/>
      <c r="K239" s="12"/>
    </row>
    <row r="240" spans="1:12" x14ac:dyDescent="0.35">
      <c r="A240" s="2">
        <v>46262</v>
      </c>
      <c r="B240" s="3" t="str">
        <f t="shared" si="16"/>
        <v>Fri</v>
      </c>
      <c r="C240" s="3">
        <f t="shared" si="17"/>
        <v>35</v>
      </c>
      <c r="D240" s="3" t="str">
        <f t="shared" si="18"/>
        <v>August</v>
      </c>
      <c r="E240" s="3" t="s">
        <v>135</v>
      </c>
      <c r="F240" s="3" t="str">
        <f t="shared" si="19"/>
        <v>Total hari kerja</v>
      </c>
      <c r="G240" s="12" t="s">
        <v>158</v>
      </c>
      <c r="H240" s="12">
        <v>4</v>
      </c>
      <c r="I240" s="12">
        <v>7</v>
      </c>
      <c r="J240" s="12"/>
      <c r="K240" s="12"/>
    </row>
    <row r="241" spans="1:11" x14ac:dyDescent="0.35">
      <c r="A241" s="2">
        <v>46263</v>
      </c>
      <c r="B241" s="3" t="str">
        <f t="shared" si="16"/>
        <v>Sat</v>
      </c>
      <c r="C241" s="3">
        <f t="shared" si="17"/>
        <v>35</v>
      </c>
      <c r="D241" s="3" t="str">
        <f t="shared" si="18"/>
        <v>August</v>
      </c>
      <c r="E241" s="3" t="s">
        <v>135</v>
      </c>
      <c r="F241" s="3" t="str">
        <f t="shared" si="19"/>
        <v>Total hari kerja</v>
      </c>
      <c r="G241" s="12" t="s">
        <v>158</v>
      </c>
      <c r="H241" s="12">
        <v>1</v>
      </c>
      <c r="I241" s="12">
        <v>1</v>
      </c>
      <c r="J241" s="12"/>
      <c r="K241" s="12"/>
    </row>
    <row r="242" spans="1:11" x14ac:dyDescent="0.35">
      <c r="A242" s="2">
        <v>46264</v>
      </c>
      <c r="B242" s="3" t="str">
        <f t="shared" si="16"/>
        <v>Sun</v>
      </c>
      <c r="C242" s="3">
        <f t="shared" si="17"/>
        <v>36</v>
      </c>
      <c r="D242" s="3" t="str">
        <f t="shared" si="18"/>
        <v>August</v>
      </c>
      <c r="E242" s="3"/>
      <c r="F242" s="3" t="str">
        <f t="shared" si="19"/>
        <v xml:space="preserve"> </v>
      </c>
      <c r="G242" s="12" t="s">
        <v>158</v>
      </c>
      <c r="H242" s="12"/>
      <c r="I242" s="12"/>
      <c r="J242" s="12"/>
      <c r="K242" s="12"/>
    </row>
    <row r="243" spans="1:11" x14ac:dyDescent="0.35">
      <c r="A243" s="2">
        <v>46265</v>
      </c>
      <c r="B243" s="3" t="str">
        <f t="shared" si="16"/>
        <v>Mon</v>
      </c>
      <c r="C243" s="3">
        <f t="shared" si="17"/>
        <v>36</v>
      </c>
      <c r="D243" s="3" t="str">
        <f t="shared" si="18"/>
        <v>August</v>
      </c>
      <c r="E243" s="3" t="s">
        <v>135</v>
      </c>
      <c r="F243" s="3" t="str">
        <f t="shared" si="19"/>
        <v>Total hari kerja</v>
      </c>
      <c r="G243" s="12" t="s">
        <v>158</v>
      </c>
      <c r="H243" s="12">
        <v>4</v>
      </c>
      <c r="I243" s="12">
        <v>6</v>
      </c>
      <c r="J243" s="12"/>
      <c r="K243" s="12"/>
    </row>
    <row r="244" spans="1:11" x14ac:dyDescent="0.35">
      <c r="A244" s="2">
        <v>46266</v>
      </c>
      <c r="B244" s="3" t="str">
        <f t="shared" si="16"/>
        <v>Tue</v>
      </c>
      <c r="C244" s="3">
        <f t="shared" si="17"/>
        <v>36</v>
      </c>
      <c r="D244" s="3" t="str">
        <f t="shared" si="18"/>
        <v>September</v>
      </c>
      <c r="E244" s="3" t="s">
        <v>135</v>
      </c>
      <c r="F244" s="3" t="str">
        <f t="shared" si="19"/>
        <v>Total hari kerja</v>
      </c>
      <c r="G244" s="12" t="s">
        <v>158</v>
      </c>
      <c r="H244" s="12">
        <v>2</v>
      </c>
      <c r="I244" s="12">
        <v>1</v>
      </c>
      <c r="J244" s="12"/>
      <c r="K244" s="12"/>
    </row>
    <row r="245" spans="1:11" x14ac:dyDescent="0.35">
      <c r="A245" s="2">
        <v>46267</v>
      </c>
      <c r="B245" s="3" t="str">
        <f t="shared" si="16"/>
        <v>Wed</v>
      </c>
      <c r="C245" s="3">
        <f t="shared" si="17"/>
        <v>36</v>
      </c>
      <c r="D245" s="3" t="str">
        <f t="shared" si="18"/>
        <v>September</v>
      </c>
      <c r="E245" s="3" t="s">
        <v>135</v>
      </c>
      <c r="F245" s="3" t="str">
        <f t="shared" si="19"/>
        <v>Total hari kerja</v>
      </c>
      <c r="G245" s="12" t="s">
        <v>158</v>
      </c>
      <c r="H245" s="12">
        <v>4</v>
      </c>
      <c r="I245" s="12">
        <v>1</v>
      </c>
      <c r="J245" s="12"/>
      <c r="K245" s="12"/>
    </row>
    <row r="246" spans="1:11" x14ac:dyDescent="0.35">
      <c r="A246" s="2">
        <v>46268</v>
      </c>
      <c r="B246" s="3" t="str">
        <f t="shared" si="16"/>
        <v>Thu</v>
      </c>
      <c r="C246" s="3">
        <f t="shared" si="17"/>
        <v>36</v>
      </c>
      <c r="D246" s="3" t="str">
        <f t="shared" si="18"/>
        <v>September</v>
      </c>
      <c r="E246" s="3" t="s">
        <v>135</v>
      </c>
      <c r="F246" s="3" t="str">
        <f t="shared" si="19"/>
        <v>Total hari kerja</v>
      </c>
      <c r="G246" s="12" t="s">
        <v>158</v>
      </c>
      <c r="H246" s="12">
        <v>3</v>
      </c>
      <c r="I246" s="12">
        <v>6</v>
      </c>
      <c r="J246" s="12"/>
      <c r="K246" s="12"/>
    </row>
    <row r="247" spans="1:11" x14ac:dyDescent="0.35">
      <c r="A247" s="2">
        <v>46269</v>
      </c>
      <c r="B247" s="3" t="str">
        <f t="shared" si="16"/>
        <v>Fri</v>
      </c>
      <c r="C247" s="3">
        <f t="shared" si="17"/>
        <v>36</v>
      </c>
      <c r="D247" s="3" t="str">
        <f t="shared" si="18"/>
        <v>September</v>
      </c>
      <c r="E247" s="3" t="s">
        <v>135</v>
      </c>
      <c r="F247" s="3" t="str">
        <f t="shared" si="19"/>
        <v>Total hari kerja</v>
      </c>
      <c r="G247" s="12" t="s">
        <v>158</v>
      </c>
      <c r="H247" s="12">
        <v>3</v>
      </c>
      <c r="I247" s="12">
        <v>3</v>
      </c>
      <c r="J247" s="12"/>
      <c r="K247" s="12"/>
    </row>
    <row r="248" spans="1:11" x14ac:dyDescent="0.35">
      <c r="A248" s="2">
        <v>46270</v>
      </c>
      <c r="B248" s="3" t="str">
        <f t="shared" si="16"/>
        <v>Sat</v>
      </c>
      <c r="C248" s="3">
        <f t="shared" si="17"/>
        <v>36</v>
      </c>
      <c r="D248" s="3" t="str">
        <f t="shared" si="18"/>
        <v>September</v>
      </c>
      <c r="E248" s="3" t="s">
        <v>135</v>
      </c>
      <c r="F248" s="3" t="str">
        <f t="shared" si="19"/>
        <v>Total hari kerja</v>
      </c>
      <c r="G248" s="12" t="s">
        <v>158</v>
      </c>
      <c r="H248" s="12">
        <v>4</v>
      </c>
      <c r="I248" s="12">
        <v>2</v>
      </c>
      <c r="J248" s="12"/>
      <c r="K248" s="12"/>
    </row>
    <row r="249" spans="1:11" x14ac:dyDescent="0.35">
      <c r="A249" s="2">
        <v>46271</v>
      </c>
      <c r="B249" s="3" t="str">
        <f t="shared" si="16"/>
        <v>Sun</v>
      </c>
      <c r="C249" s="3">
        <f t="shared" si="17"/>
        <v>37</v>
      </c>
      <c r="D249" s="3" t="str">
        <f t="shared" si="18"/>
        <v>September</v>
      </c>
      <c r="E249" s="3"/>
      <c r="F249" s="3" t="str">
        <f t="shared" si="19"/>
        <v xml:space="preserve"> </v>
      </c>
      <c r="G249" s="12" t="s">
        <v>158</v>
      </c>
      <c r="H249" s="12"/>
      <c r="I249" s="12"/>
      <c r="J249" s="12"/>
      <c r="K249" s="12"/>
    </row>
    <row r="250" spans="1:11" x14ac:dyDescent="0.35">
      <c r="A250" s="2">
        <v>46272</v>
      </c>
      <c r="B250" s="3" t="str">
        <f t="shared" si="16"/>
        <v>Mon</v>
      </c>
      <c r="C250" s="3">
        <f t="shared" si="17"/>
        <v>37</v>
      </c>
      <c r="D250" s="3" t="str">
        <f t="shared" si="18"/>
        <v>September</v>
      </c>
      <c r="E250" s="3" t="s">
        <v>135</v>
      </c>
      <c r="F250" s="3" t="str">
        <f t="shared" si="19"/>
        <v>Total hari kerja</v>
      </c>
      <c r="G250" s="12" t="s">
        <v>158</v>
      </c>
      <c r="H250" s="12">
        <v>6</v>
      </c>
      <c r="I250" s="12">
        <v>3</v>
      </c>
      <c r="J250" s="12"/>
      <c r="K250" s="12"/>
    </row>
    <row r="251" spans="1:11" x14ac:dyDescent="0.35">
      <c r="A251" s="2">
        <v>46273</v>
      </c>
      <c r="B251" s="3" t="str">
        <f t="shared" si="16"/>
        <v>Tue</v>
      </c>
      <c r="C251" s="3">
        <f t="shared" si="17"/>
        <v>37</v>
      </c>
      <c r="D251" s="3" t="str">
        <f t="shared" si="18"/>
        <v>September</v>
      </c>
      <c r="E251" s="3" t="s">
        <v>135</v>
      </c>
      <c r="F251" s="3" t="str">
        <f t="shared" si="19"/>
        <v>Total hari kerja</v>
      </c>
      <c r="G251" s="12" t="s">
        <v>158</v>
      </c>
      <c r="H251" s="12">
        <v>3</v>
      </c>
      <c r="I251" s="12"/>
      <c r="J251" s="12"/>
      <c r="K251" s="12"/>
    </row>
    <row r="252" spans="1:11" x14ac:dyDescent="0.35">
      <c r="A252" s="2">
        <v>46274</v>
      </c>
      <c r="B252" s="3" t="str">
        <f t="shared" si="16"/>
        <v>Wed</v>
      </c>
      <c r="C252" s="3">
        <f t="shared" si="17"/>
        <v>37</v>
      </c>
      <c r="D252" s="3" t="str">
        <f t="shared" si="18"/>
        <v>September</v>
      </c>
      <c r="E252" s="3" t="s">
        <v>135</v>
      </c>
      <c r="F252" s="3" t="str">
        <f t="shared" si="19"/>
        <v>Total hari kerja</v>
      </c>
      <c r="G252" s="12" t="s">
        <v>158</v>
      </c>
      <c r="H252" s="12">
        <v>3</v>
      </c>
      <c r="I252" s="12">
        <v>2</v>
      </c>
      <c r="J252" s="12"/>
      <c r="K252" s="12"/>
    </row>
    <row r="253" spans="1:11" x14ac:dyDescent="0.35">
      <c r="A253" s="2">
        <v>46275</v>
      </c>
      <c r="B253" s="3" t="str">
        <f t="shared" si="16"/>
        <v>Thu</v>
      </c>
      <c r="C253" s="3">
        <f t="shared" si="17"/>
        <v>37</v>
      </c>
      <c r="D253" s="3" t="str">
        <f t="shared" si="18"/>
        <v>September</v>
      </c>
      <c r="E253" s="3" t="s">
        <v>135</v>
      </c>
      <c r="F253" s="3" t="str">
        <f t="shared" si="19"/>
        <v>Total hari kerja</v>
      </c>
      <c r="G253" s="12" t="s">
        <v>158</v>
      </c>
      <c r="H253" s="12">
        <v>4</v>
      </c>
      <c r="I253" s="12">
        <v>3</v>
      </c>
      <c r="J253" s="12">
        <v>6</v>
      </c>
      <c r="K253" s="12"/>
    </row>
    <row r="254" spans="1:11" x14ac:dyDescent="0.35">
      <c r="A254" s="2">
        <v>46276</v>
      </c>
      <c r="B254" s="3" t="str">
        <f t="shared" si="16"/>
        <v>Fri</v>
      </c>
      <c r="C254" s="3">
        <f t="shared" si="17"/>
        <v>37</v>
      </c>
      <c r="D254" s="3" t="str">
        <f t="shared" si="18"/>
        <v>September</v>
      </c>
      <c r="E254" s="3" t="s">
        <v>135</v>
      </c>
      <c r="F254" s="3" t="str">
        <f t="shared" si="19"/>
        <v>Total hari kerja</v>
      </c>
      <c r="G254" s="12" t="s">
        <v>158</v>
      </c>
      <c r="H254" s="12">
        <v>3</v>
      </c>
      <c r="I254" s="12">
        <v>11</v>
      </c>
      <c r="J254" s="12">
        <v>7</v>
      </c>
      <c r="K254" s="12"/>
    </row>
    <row r="255" spans="1:11" x14ac:dyDescent="0.35">
      <c r="A255" s="2">
        <v>46277</v>
      </c>
      <c r="B255" s="3" t="str">
        <f t="shared" si="16"/>
        <v>Sat</v>
      </c>
      <c r="C255" s="3">
        <f t="shared" si="17"/>
        <v>37</v>
      </c>
      <c r="D255" s="3" t="str">
        <f t="shared" si="18"/>
        <v>September</v>
      </c>
      <c r="E255" s="3" t="s">
        <v>135</v>
      </c>
      <c r="F255" s="3" t="str">
        <f t="shared" si="19"/>
        <v>Total hari kerja</v>
      </c>
      <c r="G255" s="12" t="s">
        <v>158</v>
      </c>
      <c r="H255" s="12">
        <v>3</v>
      </c>
      <c r="I255" s="12">
        <v>1</v>
      </c>
      <c r="J255" s="12"/>
      <c r="K255" s="12"/>
    </row>
    <row r="256" spans="1:11" x14ac:dyDescent="0.35">
      <c r="A256" s="2">
        <v>46278</v>
      </c>
      <c r="B256" s="3" t="str">
        <f t="shared" si="16"/>
        <v>Sun</v>
      </c>
      <c r="C256" s="3">
        <f t="shared" si="17"/>
        <v>38</v>
      </c>
      <c r="D256" s="3" t="str">
        <f t="shared" si="18"/>
        <v>September</v>
      </c>
      <c r="E256" s="3"/>
      <c r="F256" s="3" t="str">
        <f t="shared" si="19"/>
        <v xml:space="preserve"> </v>
      </c>
      <c r="G256" s="12" t="s">
        <v>158</v>
      </c>
      <c r="H256" s="12"/>
      <c r="I256" s="12"/>
      <c r="J256" s="12"/>
      <c r="K256" s="12"/>
    </row>
    <row r="257" spans="1:11" x14ac:dyDescent="0.35">
      <c r="A257" s="2">
        <v>46279</v>
      </c>
      <c r="B257" s="3" t="str">
        <f t="shared" si="16"/>
        <v>Mon</v>
      </c>
      <c r="C257" s="3">
        <f t="shared" si="17"/>
        <v>38</v>
      </c>
      <c r="D257" s="3" t="str">
        <f t="shared" si="18"/>
        <v>September</v>
      </c>
      <c r="E257" s="3" t="s">
        <v>135</v>
      </c>
      <c r="F257" s="3" t="str">
        <f t="shared" si="19"/>
        <v>Total hari kerja</v>
      </c>
      <c r="G257" s="12" t="s">
        <v>158</v>
      </c>
      <c r="H257" s="12">
        <v>1</v>
      </c>
      <c r="I257" s="12">
        <v>3</v>
      </c>
      <c r="J257" s="12"/>
      <c r="K257" s="12"/>
    </row>
    <row r="258" spans="1:11" x14ac:dyDescent="0.35">
      <c r="A258" s="2">
        <v>46280</v>
      </c>
      <c r="B258" s="3" t="str">
        <f t="shared" si="16"/>
        <v>Tue</v>
      </c>
      <c r="C258" s="3">
        <f t="shared" si="17"/>
        <v>38</v>
      </c>
      <c r="D258" s="3" t="str">
        <f t="shared" si="18"/>
        <v>September</v>
      </c>
      <c r="E258" s="3" t="s">
        <v>135</v>
      </c>
      <c r="F258" s="3" t="str">
        <f t="shared" si="19"/>
        <v>Total hari kerja</v>
      </c>
      <c r="G258" s="12" t="s">
        <v>158</v>
      </c>
      <c r="H258" s="12">
        <v>5</v>
      </c>
      <c r="I258" s="12">
        <v>2</v>
      </c>
      <c r="J258" s="12"/>
      <c r="K258" s="12"/>
    </row>
    <row r="259" spans="1:11" x14ac:dyDescent="0.35">
      <c r="A259" s="2">
        <v>46281</v>
      </c>
      <c r="B259" s="3" t="str">
        <f t="shared" si="16"/>
        <v>Wed</v>
      </c>
      <c r="C259" s="3">
        <f t="shared" si="17"/>
        <v>38</v>
      </c>
      <c r="D259" s="3" t="str">
        <f t="shared" si="18"/>
        <v>September</v>
      </c>
      <c r="E259" s="3" t="s">
        <v>135</v>
      </c>
      <c r="F259" s="3" t="str">
        <f t="shared" si="19"/>
        <v>Total hari kerja</v>
      </c>
      <c r="G259" s="12" t="s">
        <v>158</v>
      </c>
      <c r="H259" s="12">
        <v>9</v>
      </c>
      <c r="I259" s="12">
        <v>9</v>
      </c>
      <c r="J259" s="12"/>
      <c r="K259" s="12"/>
    </row>
    <row r="260" spans="1:11" x14ac:dyDescent="0.35">
      <c r="A260" s="2">
        <v>46282</v>
      </c>
      <c r="B260" s="3" t="str">
        <f t="shared" si="16"/>
        <v>Thu</v>
      </c>
      <c r="C260" s="3">
        <f t="shared" si="17"/>
        <v>38</v>
      </c>
      <c r="D260" s="3" t="str">
        <f t="shared" si="18"/>
        <v>September</v>
      </c>
      <c r="E260" s="3" t="s">
        <v>135</v>
      </c>
      <c r="F260" s="3" t="str">
        <f t="shared" si="19"/>
        <v>Total hari kerja</v>
      </c>
      <c r="G260" s="12" t="s">
        <v>158</v>
      </c>
      <c r="H260" s="12">
        <v>1</v>
      </c>
      <c r="I260" s="12">
        <v>3</v>
      </c>
      <c r="J260" s="12"/>
      <c r="K260" s="12"/>
    </row>
    <row r="261" spans="1:11" x14ac:dyDescent="0.35">
      <c r="A261" s="2">
        <v>46283</v>
      </c>
      <c r="B261" s="3" t="str">
        <f t="shared" si="16"/>
        <v>Fri</v>
      </c>
      <c r="C261" s="3">
        <f t="shared" si="17"/>
        <v>38</v>
      </c>
      <c r="D261" s="3" t="str">
        <f t="shared" si="18"/>
        <v>September</v>
      </c>
      <c r="E261" s="3" t="s">
        <v>135</v>
      </c>
      <c r="F261" s="3" t="str">
        <f t="shared" si="19"/>
        <v>Total hari kerja</v>
      </c>
      <c r="G261" s="12" t="s">
        <v>158</v>
      </c>
      <c r="H261" s="12">
        <v>6</v>
      </c>
      <c r="I261" s="12">
        <v>2</v>
      </c>
      <c r="J261" s="12"/>
      <c r="K261" s="12"/>
    </row>
    <row r="262" spans="1:11" x14ac:dyDescent="0.35">
      <c r="A262" s="2">
        <v>46284</v>
      </c>
      <c r="B262" s="3" t="str">
        <f t="shared" si="16"/>
        <v>Sat</v>
      </c>
      <c r="C262" s="3">
        <f t="shared" si="17"/>
        <v>38</v>
      </c>
      <c r="D262" s="3" t="str">
        <f t="shared" si="18"/>
        <v>September</v>
      </c>
      <c r="E262" s="3" t="s">
        <v>135</v>
      </c>
      <c r="F262" s="3" t="str">
        <f t="shared" si="19"/>
        <v>Total hari kerja</v>
      </c>
      <c r="G262" s="12" t="s">
        <v>158</v>
      </c>
      <c r="H262" s="12">
        <v>3</v>
      </c>
      <c r="I262" s="12">
        <v>2</v>
      </c>
      <c r="J262" s="12">
        <v>3</v>
      </c>
      <c r="K262" s="12"/>
    </row>
    <row r="263" spans="1:11" x14ac:dyDescent="0.35">
      <c r="A263" s="2">
        <v>46285</v>
      </c>
      <c r="B263" s="3" t="str">
        <f t="shared" si="16"/>
        <v>Sun</v>
      </c>
      <c r="C263" s="3">
        <f t="shared" si="17"/>
        <v>39</v>
      </c>
      <c r="D263" s="3" t="str">
        <f t="shared" si="18"/>
        <v>September</v>
      </c>
      <c r="E263" s="3"/>
      <c r="F263" s="3" t="str">
        <f t="shared" si="19"/>
        <v xml:space="preserve"> </v>
      </c>
      <c r="G263" s="12" t="s">
        <v>158</v>
      </c>
      <c r="H263" s="12"/>
      <c r="I263" s="12"/>
      <c r="J263" s="12"/>
      <c r="K263" s="12"/>
    </row>
    <row r="264" spans="1:11" x14ac:dyDescent="0.35">
      <c r="A264" s="2">
        <v>46286</v>
      </c>
      <c r="B264" s="3" t="str">
        <f t="shared" si="16"/>
        <v>Mon</v>
      </c>
      <c r="C264" s="3">
        <f t="shared" si="17"/>
        <v>39</v>
      </c>
      <c r="D264" s="3" t="str">
        <f t="shared" si="18"/>
        <v>September</v>
      </c>
      <c r="E264" s="3" t="s">
        <v>135</v>
      </c>
      <c r="F264" s="3" t="str">
        <f t="shared" si="19"/>
        <v>Total hari kerja</v>
      </c>
      <c r="G264" s="12" t="s">
        <v>158</v>
      </c>
      <c r="H264" s="12">
        <v>1</v>
      </c>
      <c r="I264" s="12">
        <v>1</v>
      </c>
      <c r="J264" s="12">
        <v>2</v>
      </c>
      <c r="K264" s="12"/>
    </row>
    <row r="265" spans="1:11" x14ac:dyDescent="0.35">
      <c r="A265" s="2">
        <v>46287</v>
      </c>
      <c r="B265" s="3" t="str">
        <f t="shared" si="16"/>
        <v>Tue</v>
      </c>
      <c r="C265" s="3">
        <f t="shared" si="17"/>
        <v>39</v>
      </c>
      <c r="D265" s="3" t="str">
        <f t="shared" si="18"/>
        <v>September</v>
      </c>
      <c r="E265" s="3" t="s">
        <v>135</v>
      </c>
      <c r="F265" s="3" t="str">
        <f t="shared" si="19"/>
        <v>Total hari kerja</v>
      </c>
      <c r="G265" s="12" t="s">
        <v>158</v>
      </c>
      <c r="H265" s="12">
        <v>7</v>
      </c>
      <c r="I265" s="12">
        <v>3</v>
      </c>
      <c r="J265" s="12"/>
      <c r="K265" s="12"/>
    </row>
    <row r="266" spans="1:11" x14ac:dyDescent="0.35">
      <c r="A266" s="2">
        <v>46288</v>
      </c>
      <c r="B266" s="3" t="str">
        <f t="shared" si="16"/>
        <v>Wed</v>
      </c>
      <c r="C266" s="3">
        <f t="shared" si="17"/>
        <v>39</v>
      </c>
      <c r="D266" s="3" t="str">
        <f t="shared" si="18"/>
        <v>September</v>
      </c>
      <c r="E266" s="3" t="s">
        <v>135</v>
      </c>
      <c r="F266" s="3" t="str">
        <f t="shared" si="19"/>
        <v>Total hari kerja</v>
      </c>
      <c r="G266" s="12" t="s">
        <v>158</v>
      </c>
      <c r="H266" s="12">
        <v>2</v>
      </c>
      <c r="I266" s="12">
        <v>1</v>
      </c>
      <c r="J266" s="12"/>
      <c r="K266" s="12"/>
    </row>
    <row r="267" spans="1:11" x14ac:dyDescent="0.35">
      <c r="A267" s="2">
        <v>46289</v>
      </c>
      <c r="B267" s="3" t="str">
        <f t="shared" si="16"/>
        <v>Thu</v>
      </c>
      <c r="C267" s="3">
        <f t="shared" si="17"/>
        <v>39</v>
      </c>
      <c r="D267" s="3" t="str">
        <f t="shared" si="18"/>
        <v>September</v>
      </c>
      <c r="E267" s="3" t="s">
        <v>135</v>
      </c>
      <c r="F267" s="3" t="str">
        <f t="shared" si="19"/>
        <v>Total hari kerja</v>
      </c>
      <c r="G267" s="12" t="s">
        <v>158</v>
      </c>
      <c r="H267" s="12">
        <v>8</v>
      </c>
      <c r="I267" s="12">
        <v>3</v>
      </c>
      <c r="J267" s="12"/>
      <c r="K267" s="12"/>
    </row>
    <row r="268" spans="1:11" x14ac:dyDescent="0.35">
      <c r="A268" s="2">
        <v>46290</v>
      </c>
      <c r="B268" s="3" t="str">
        <f t="shared" si="16"/>
        <v>Fri</v>
      </c>
      <c r="C268" s="3">
        <f t="shared" si="17"/>
        <v>39</v>
      </c>
      <c r="D268" s="3" t="str">
        <f t="shared" si="18"/>
        <v>September</v>
      </c>
      <c r="E268" s="3" t="s">
        <v>135</v>
      </c>
      <c r="F268" s="3" t="str">
        <f t="shared" si="19"/>
        <v>Total hari kerja</v>
      </c>
      <c r="G268" s="12" t="s">
        <v>158</v>
      </c>
      <c r="H268" s="12">
        <v>4</v>
      </c>
      <c r="I268" s="12">
        <v>4</v>
      </c>
      <c r="J268" s="12"/>
      <c r="K268" s="12"/>
    </row>
    <row r="269" spans="1:11" x14ac:dyDescent="0.35">
      <c r="A269" s="2">
        <v>46291</v>
      </c>
      <c r="B269" s="3" t="str">
        <f t="shared" si="16"/>
        <v>Sat</v>
      </c>
      <c r="C269" s="3">
        <f t="shared" si="17"/>
        <v>39</v>
      </c>
      <c r="D269" s="3" t="str">
        <f t="shared" si="18"/>
        <v>September</v>
      </c>
      <c r="E269" s="3" t="s">
        <v>135</v>
      </c>
      <c r="F269" s="3" t="str">
        <f t="shared" si="19"/>
        <v>Total hari kerja</v>
      </c>
      <c r="G269" s="12" t="s">
        <v>158</v>
      </c>
      <c r="H269" s="12">
        <v>8</v>
      </c>
      <c r="I269" s="12">
        <v>4</v>
      </c>
      <c r="J269" s="12"/>
      <c r="K269" s="12"/>
    </row>
    <row r="270" spans="1:11" x14ac:dyDescent="0.35">
      <c r="A270" s="2">
        <v>46292</v>
      </c>
      <c r="B270" s="3" t="str">
        <f t="shared" si="16"/>
        <v>Sun</v>
      </c>
      <c r="C270" s="3">
        <f t="shared" si="17"/>
        <v>40</v>
      </c>
      <c r="D270" s="3" t="str">
        <f t="shared" si="18"/>
        <v>September</v>
      </c>
      <c r="E270" s="3"/>
      <c r="F270" s="3" t="str">
        <f t="shared" si="19"/>
        <v xml:space="preserve"> </v>
      </c>
      <c r="G270" s="12" t="s">
        <v>158</v>
      </c>
      <c r="H270" s="12"/>
      <c r="I270" s="12"/>
      <c r="J270" s="12"/>
      <c r="K270" s="12"/>
    </row>
    <row r="271" spans="1:11" x14ac:dyDescent="0.35">
      <c r="A271" s="2">
        <v>46293</v>
      </c>
      <c r="B271" s="3" t="str">
        <f t="shared" si="16"/>
        <v>Mon</v>
      </c>
      <c r="C271" s="3">
        <f t="shared" si="17"/>
        <v>40</v>
      </c>
      <c r="D271" s="3" t="str">
        <f t="shared" si="18"/>
        <v>September</v>
      </c>
      <c r="E271" s="3" t="s">
        <v>135</v>
      </c>
      <c r="F271" s="3" t="str">
        <f t="shared" si="19"/>
        <v>Total hari kerja</v>
      </c>
      <c r="G271" s="12" t="s">
        <v>158</v>
      </c>
      <c r="H271" s="12">
        <v>5</v>
      </c>
      <c r="I271" s="12">
        <v>2</v>
      </c>
      <c r="J271" s="12"/>
      <c r="K271" s="12"/>
    </row>
    <row r="272" spans="1:11" x14ac:dyDescent="0.35">
      <c r="A272" s="2">
        <v>46294</v>
      </c>
      <c r="B272" s="3" t="str">
        <f t="shared" si="16"/>
        <v>Tue</v>
      </c>
      <c r="C272" s="3">
        <f t="shared" si="17"/>
        <v>40</v>
      </c>
      <c r="D272" s="3" t="str">
        <f t="shared" si="18"/>
        <v>September</v>
      </c>
      <c r="E272" s="3" t="s">
        <v>135</v>
      </c>
      <c r="F272" s="3" t="str">
        <f t="shared" si="19"/>
        <v>Total hari kerja</v>
      </c>
      <c r="G272" s="12" t="s">
        <v>158</v>
      </c>
      <c r="H272" s="12"/>
      <c r="I272" s="12"/>
      <c r="J272" s="12"/>
      <c r="K272" s="12"/>
    </row>
    <row r="273" spans="1:11" x14ac:dyDescent="0.35">
      <c r="A273" s="2">
        <v>46295</v>
      </c>
      <c r="B273" s="3" t="str">
        <f t="shared" si="16"/>
        <v>Wed</v>
      </c>
      <c r="C273" s="3">
        <f t="shared" si="17"/>
        <v>40</v>
      </c>
      <c r="D273" s="3" t="str">
        <f t="shared" si="18"/>
        <v>September</v>
      </c>
      <c r="E273" s="3" t="s">
        <v>135</v>
      </c>
      <c r="F273" s="3" t="str">
        <f t="shared" si="19"/>
        <v>Total hari kerja</v>
      </c>
      <c r="G273" s="12" t="s">
        <v>158</v>
      </c>
      <c r="H273" s="12"/>
      <c r="I273" s="12"/>
      <c r="J273" s="12"/>
      <c r="K273" s="12"/>
    </row>
    <row r="274" spans="1:11" x14ac:dyDescent="0.35">
      <c r="A274" s="2">
        <v>46296</v>
      </c>
      <c r="B274" s="3" t="str">
        <f t="shared" ref="B274:B318" si="20">TEXT(A274,"DDD")</f>
        <v>Thu</v>
      </c>
      <c r="C274" s="3">
        <f t="shared" ref="C274:C318" si="21">WEEKNUM(A274)</f>
        <v>40</v>
      </c>
      <c r="D274" s="3" t="str">
        <f t="shared" ref="D274:D318" si="22">TEXT(A274,"mmmm")</f>
        <v>October</v>
      </c>
      <c r="E274" s="3"/>
      <c r="F274" s="3" t="str">
        <f t="shared" si="19"/>
        <v xml:space="preserve"> </v>
      </c>
      <c r="G274" s="12" t="s">
        <v>158</v>
      </c>
      <c r="H274" s="12"/>
      <c r="I274" s="12"/>
      <c r="J274" s="12"/>
      <c r="K274" s="12"/>
    </row>
    <row r="275" spans="1:11" x14ac:dyDescent="0.35">
      <c r="A275" s="2">
        <v>46297</v>
      </c>
      <c r="B275" s="3" t="str">
        <f t="shared" si="20"/>
        <v>Fri</v>
      </c>
      <c r="C275" s="3">
        <f t="shared" si="21"/>
        <v>40</v>
      </c>
      <c r="D275" s="3" t="str">
        <f t="shared" si="22"/>
        <v>October</v>
      </c>
      <c r="E275" s="3"/>
      <c r="F275" s="3" t="str">
        <f t="shared" ref="F275:F318" si="23">IF(E275="J1",$O$3,IF(E275="J2",$O$4,IF(E275="J3",$O$5,IF(E275="J4",$O$6,IF(E275="J5",$O$7," ")))))</f>
        <v xml:space="preserve"> </v>
      </c>
      <c r="G275" s="12" t="s">
        <v>158</v>
      </c>
      <c r="H275" s="12"/>
      <c r="I275" s="12"/>
      <c r="J275" s="12"/>
      <c r="K275" s="12"/>
    </row>
    <row r="276" spans="1:11" x14ac:dyDescent="0.35">
      <c r="A276" s="2">
        <v>46298</v>
      </c>
      <c r="B276" s="3" t="str">
        <f t="shared" si="20"/>
        <v>Sat</v>
      </c>
      <c r="C276" s="3">
        <f t="shared" si="21"/>
        <v>40</v>
      </c>
      <c r="D276" s="3" t="str">
        <f t="shared" si="22"/>
        <v>October</v>
      </c>
      <c r="E276" s="3"/>
      <c r="F276" s="3" t="str">
        <f t="shared" si="23"/>
        <v xml:space="preserve"> </v>
      </c>
      <c r="G276" s="12" t="s">
        <v>158</v>
      </c>
      <c r="H276" s="12"/>
      <c r="I276" s="12"/>
      <c r="J276" s="12"/>
      <c r="K276" s="12"/>
    </row>
    <row r="277" spans="1:11" x14ac:dyDescent="0.35">
      <c r="A277" s="2">
        <v>46299</v>
      </c>
      <c r="B277" s="3" t="str">
        <f t="shared" si="20"/>
        <v>Sun</v>
      </c>
      <c r="C277" s="3">
        <f t="shared" si="21"/>
        <v>41</v>
      </c>
      <c r="D277" s="3" t="str">
        <f t="shared" si="22"/>
        <v>October</v>
      </c>
      <c r="E277" s="3"/>
      <c r="F277" s="3" t="str">
        <f t="shared" si="23"/>
        <v xml:space="preserve"> </v>
      </c>
      <c r="G277" s="12" t="s">
        <v>158</v>
      </c>
      <c r="H277" s="12"/>
      <c r="I277" s="12"/>
      <c r="J277" s="12"/>
      <c r="K277" s="12"/>
    </row>
    <row r="278" spans="1:11" x14ac:dyDescent="0.35">
      <c r="A278" s="2">
        <v>46300</v>
      </c>
      <c r="B278" s="3" t="str">
        <f t="shared" si="20"/>
        <v>Mon</v>
      </c>
      <c r="C278" s="3">
        <f t="shared" si="21"/>
        <v>41</v>
      </c>
      <c r="D278" s="3" t="str">
        <f t="shared" si="22"/>
        <v>October</v>
      </c>
      <c r="E278" s="3"/>
      <c r="F278" s="3" t="str">
        <f t="shared" si="23"/>
        <v xml:space="preserve"> </v>
      </c>
      <c r="G278" s="12" t="s">
        <v>158</v>
      </c>
      <c r="H278" s="12"/>
      <c r="I278" s="12"/>
      <c r="J278" s="12"/>
      <c r="K278" s="12"/>
    </row>
    <row r="279" spans="1:11" x14ac:dyDescent="0.35">
      <c r="A279" s="2">
        <v>46301</v>
      </c>
      <c r="B279" s="3" t="str">
        <f t="shared" si="20"/>
        <v>Tue</v>
      </c>
      <c r="C279" s="3">
        <f t="shared" si="21"/>
        <v>41</v>
      </c>
      <c r="D279" s="3" t="str">
        <f t="shared" si="22"/>
        <v>October</v>
      </c>
      <c r="E279" s="3"/>
      <c r="F279" s="3" t="str">
        <f t="shared" si="23"/>
        <v xml:space="preserve"> </v>
      </c>
      <c r="G279" s="12" t="s">
        <v>158</v>
      </c>
      <c r="H279" s="12"/>
      <c r="I279" s="12"/>
      <c r="J279" s="12"/>
      <c r="K279" s="12"/>
    </row>
    <row r="280" spans="1:11" x14ac:dyDescent="0.35">
      <c r="A280" s="2">
        <v>46302</v>
      </c>
      <c r="B280" s="3" t="str">
        <f t="shared" si="20"/>
        <v>Wed</v>
      </c>
      <c r="C280" s="3">
        <f t="shared" si="21"/>
        <v>41</v>
      </c>
      <c r="D280" s="3" t="str">
        <f t="shared" si="22"/>
        <v>October</v>
      </c>
      <c r="E280" s="3"/>
      <c r="F280" s="3" t="str">
        <f t="shared" si="23"/>
        <v xml:space="preserve"> </v>
      </c>
      <c r="G280" s="12" t="s">
        <v>158</v>
      </c>
      <c r="H280" s="12"/>
      <c r="I280" s="12"/>
      <c r="J280" s="12"/>
      <c r="K280" s="12"/>
    </row>
    <row r="281" spans="1:11" x14ac:dyDescent="0.35">
      <c r="A281" s="2">
        <v>46303</v>
      </c>
      <c r="B281" s="3" t="str">
        <f t="shared" si="20"/>
        <v>Thu</v>
      </c>
      <c r="C281" s="3">
        <f t="shared" si="21"/>
        <v>41</v>
      </c>
      <c r="D281" s="3" t="str">
        <f t="shared" si="22"/>
        <v>October</v>
      </c>
      <c r="E281" s="3"/>
      <c r="F281" s="3" t="str">
        <f t="shared" si="23"/>
        <v xml:space="preserve"> </v>
      </c>
      <c r="G281" s="12" t="s">
        <v>158</v>
      </c>
      <c r="H281" s="12"/>
      <c r="I281" s="12"/>
      <c r="J281" s="12"/>
      <c r="K281" s="12"/>
    </row>
    <row r="282" spans="1:11" x14ac:dyDescent="0.35">
      <c r="A282" s="2">
        <v>46304</v>
      </c>
      <c r="B282" s="3" t="str">
        <f t="shared" si="20"/>
        <v>Fri</v>
      </c>
      <c r="C282" s="3">
        <f t="shared" si="21"/>
        <v>41</v>
      </c>
      <c r="D282" s="3" t="str">
        <f t="shared" si="22"/>
        <v>October</v>
      </c>
      <c r="E282" s="3"/>
      <c r="F282" s="3" t="str">
        <f t="shared" si="23"/>
        <v xml:space="preserve"> </v>
      </c>
      <c r="G282" s="12" t="s">
        <v>158</v>
      </c>
      <c r="H282" s="12"/>
      <c r="I282" s="12"/>
      <c r="J282" s="12"/>
      <c r="K282" s="12"/>
    </row>
    <row r="283" spans="1:11" x14ac:dyDescent="0.35">
      <c r="A283" s="2">
        <v>46305</v>
      </c>
      <c r="B283" s="3" t="str">
        <f t="shared" si="20"/>
        <v>Sat</v>
      </c>
      <c r="C283" s="3">
        <f t="shared" si="21"/>
        <v>41</v>
      </c>
      <c r="D283" s="3" t="str">
        <f t="shared" si="22"/>
        <v>October</v>
      </c>
      <c r="E283" s="3"/>
      <c r="F283" s="3" t="str">
        <f t="shared" si="23"/>
        <v xml:space="preserve"> </v>
      </c>
      <c r="G283" s="12" t="s">
        <v>158</v>
      </c>
      <c r="H283" s="12"/>
      <c r="I283" s="12"/>
      <c r="J283" s="12"/>
      <c r="K283" s="12"/>
    </row>
    <row r="284" spans="1:11" x14ac:dyDescent="0.35">
      <c r="A284" s="2">
        <v>46306</v>
      </c>
      <c r="B284" s="3" t="str">
        <f t="shared" si="20"/>
        <v>Sun</v>
      </c>
      <c r="C284" s="3">
        <f t="shared" si="21"/>
        <v>42</v>
      </c>
      <c r="D284" s="3" t="str">
        <f t="shared" si="22"/>
        <v>October</v>
      </c>
      <c r="E284" s="3"/>
      <c r="F284" s="3" t="str">
        <f t="shared" si="23"/>
        <v xml:space="preserve"> </v>
      </c>
      <c r="G284" s="12" t="s">
        <v>158</v>
      </c>
      <c r="H284" s="12"/>
      <c r="I284" s="12"/>
      <c r="J284" s="12"/>
      <c r="K284" s="12"/>
    </row>
    <row r="285" spans="1:11" x14ac:dyDescent="0.35">
      <c r="A285" s="2">
        <v>46307</v>
      </c>
      <c r="B285" s="3" t="str">
        <f t="shared" si="20"/>
        <v>Mon</v>
      </c>
      <c r="C285" s="3">
        <f t="shared" si="21"/>
        <v>42</v>
      </c>
      <c r="D285" s="3" t="str">
        <f t="shared" si="22"/>
        <v>October</v>
      </c>
      <c r="E285" s="3"/>
      <c r="F285" s="3" t="str">
        <f t="shared" si="23"/>
        <v xml:space="preserve"> </v>
      </c>
      <c r="G285" s="12" t="s">
        <v>158</v>
      </c>
      <c r="H285" s="12"/>
      <c r="I285" s="12"/>
      <c r="J285" s="12"/>
      <c r="K285" s="12"/>
    </row>
    <row r="286" spans="1:11" x14ac:dyDescent="0.35">
      <c r="A286" s="2">
        <v>46308</v>
      </c>
      <c r="B286" s="3" t="str">
        <f t="shared" si="20"/>
        <v>Tue</v>
      </c>
      <c r="C286" s="3">
        <f t="shared" si="21"/>
        <v>42</v>
      </c>
      <c r="D286" s="3" t="str">
        <f t="shared" si="22"/>
        <v>October</v>
      </c>
      <c r="E286" s="3"/>
      <c r="F286" s="3" t="str">
        <f t="shared" si="23"/>
        <v xml:space="preserve"> </v>
      </c>
      <c r="G286" s="12" t="s">
        <v>158</v>
      </c>
      <c r="H286" s="12"/>
      <c r="I286" s="12"/>
      <c r="J286" s="12"/>
      <c r="K286" s="12"/>
    </row>
    <row r="287" spans="1:11" x14ac:dyDescent="0.35">
      <c r="A287" s="2">
        <v>46309</v>
      </c>
      <c r="B287" s="3" t="str">
        <f t="shared" si="20"/>
        <v>Wed</v>
      </c>
      <c r="C287" s="3">
        <f t="shared" si="21"/>
        <v>42</v>
      </c>
      <c r="D287" s="3" t="str">
        <f t="shared" si="22"/>
        <v>October</v>
      </c>
      <c r="E287" s="3"/>
      <c r="F287" s="3" t="str">
        <f t="shared" si="23"/>
        <v xml:space="preserve"> </v>
      </c>
      <c r="G287" s="12" t="s">
        <v>158</v>
      </c>
      <c r="H287" s="12"/>
      <c r="I287" s="12"/>
      <c r="J287" s="12"/>
      <c r="K287" s="12"/>
    </row>
    <row r="288" spans="1:11" x14ac:dyDescent="0.35">
      <c r="A288" s="2">
        <v>46310</v>
      </c>
      <c r="B288" s="3" t="str">
        <f t="shared" si="20"/>
        <v>Thu</v>
      </c>
      <c r="C288" s="3">
        <f t="shared" si="21"/>
        <v>42</v>
      </c>
      <c r="D288" s="3" t="str">
        <f t="shared" si="22"/>
        <v>October</v>
      </c>
      <c r="E288" s="3"/>
      <c r="F288" s="3" t="str">
        <f t="shared" si="23"/>
        <v xml:space="preserve"> </v>
      </c>
      <c r="G288" s="12" t="s">
        <v>158</v>
      </c>
      <c r="H288" s="12"/>
      <c r="I288" s="12"/>
      <c r="J288" s="12"/>
      <c r="K288" s="12"/>
    </row>
    <row r="289" spans="1:11" x14ac:dyDescent="0.35">
      <c r="A289" s="2">
        <v>46311</v>
      </c>
      <c r="B289" s="3" t="str">
        <f t="shared" si="20"/>
        <v>Fri</v>
      </c>
      <c r="C289" s="3">
        <f t="shared" si="21"/>
        <v>42</v>
      </c>
      <c r="D289" s="3" t="str">
        <f t="shared" si="22"/>
        <v>October</v>
      </c>
      <c r="E289" s="3"/>
      <c r="F289" s="3" t="str">
        <f t="shared" si="23"/>
        <v xml:space="preserve"> </v>
      </c>
      <c r="G289" s="12" t="s">
        <v>158</v>
      </c>
      <c r="H289" s="12"/>
      <c r="I289" s="12"/>
      <c r="J289" s="12"/>
      <c r="K289" s="12"/>
    </row>
    <row r="290" spans="1:11" x14ac:dyDescent="0.35">
      <c r="A290" s="2">
        <v>46312</v>
      </c>
      <c r="B290" s="3" t="str">
        <f t="shared" si="20"/>
        <v>Sat</v>
      </c>
      <c r="C290" s="3">
        <f t="shared" si="21"/>
        <v>42</v>
      </c>
      <c r="D290" s="3" t="str">
        <f t="shared" si="22"/>
        <v>October</v>
      </c>
      <c r="E290" s="3"/>
      <c r="F290" s="3" t="str">
        <f t="shared" si="23"/>
        <v xml:space="preserve"> </v>
      </c>
      <c r="G290" s="12" t="s">
        <v>158</v>
      </c>
      <c r="H290" s="12"/>
      <c r="I290" s="12"/>
      <c r="J290" s="12"/>
      <c r="K290" s="12"/>
    </row>
    <row r="291" spans="1:11" x14ac:dyDescent="0.35">
      <c r="A291" s="2">
        <v>46313</v>
      </c>
      <c r="B291" s="3" t="str">
        <f t="shared" si="20"/>
        <v>Sun</v>
      </c>
      <c r="C291" s="3">
        <f t="shared" si="21"/>
        <v>43</v>
      </c>
      <c r="D291" s="3" t="str">
        <f t="shared" si="22"/>
        <v>October</v>
      </c>
      <c r="E291" s="3"/>
      <c r="F291" s="3" t="str">
        <f t="shared" si="23"/>
        <v xml:space="preserve"> </v>
      </c>
      <c r="G291" s="12" t="s">
        <v>158</v>
      </c>
      <c r="H291" s="12"/>
      <c r="I291" s="12"/>
      <c r="J291" s="12"/>
      <c r="K291" s="12"/>
    </row>
    <row r="292" spans="1:11" x14ac:dyDescent="0.35">
      <c r="A292" s="2">
        <v>46314</v>
      </c>
      <c r="B292" s="3" t="str">
        <f t="shared" si="20"/>
        <v>Mon</v>
      </c>
      <c r="C292" s="3">
        <f t="shared" si="21"/>
        <v>43</v>
      </c>
      <c r="D292" s="3" t="str">
        <f t="shared" si="22"/>
        <v>October</v>
      </c>
      <c r="E292" s="3"/>
      <c r="F292" s="3" t="str">
        <f t="shared" si="23"/>
        <v xml:space="preserve"> </v>
      </c>
      <c r="G292" s="12" t="s">
        <v>158</v>
      </c>
      <c r="H292" s="12"/>
      <c r="I292" s="12"/>
      <c r="J292" s="12"/>
      <c r="K292" s="12"/>
    </row>
    <row r="293" spans="1:11" x14ac:dyDescent="0.35">
      <c r="A293" s="2">
        <v>46315</v>
      </c>
      <c r="B293" s="3" t="str">
        <f t="shared" si="20"/>
        <v>Tue</v>
      </c>
      <c r="C293" s="3">
        <f t="shared" si="21"/>
        <v>43</v>
      </c>
      <c r="D293" s="3" t="str">
        <f t="shared" si="22"/>
        <v>October</v>
      </c>
      <c r="E293" s="3"/>
      <c r="F293" s="3" t="str">
        <f t="shared" si="23"/>
        <v xml:space="preserve"> </v>
      </c>
      <c r="G293" s="12" t="s">
        <v>158</v>
      </c>
      <c r="H293" s="12"/>
      <c r="I293" s="12"/>
      <c r="J293" s="12"/>
      <c r="K293" s="12"/>
    </row>
    <row r="294" spans="1:11" x14ac:dyDescent="0.35">
      <c r="A294" s="2">
        <v>46316</v>
      </c>
      <c r="B294" s="3" t="str">
        <f t="shared" si="20"/>
        <v>Wed</v>
      </c>
      <c r="C294" s="3">
        <f t="shared" si="21"/>
        <v>43</v>
      </c>
      <c r="D294" s="3" t="str">
        <f t="shared" si="22"/>
        <v>October</v>
      </c>
      <c r="E294" s="3"/>
      <c r="F294" s="3" t="str">
        <f t="shared" si="23"/>
        <v xml:space="preserve"> </v>
      </c>
      <c r="G294" s="12" t="s">
        <v>158</v>
      </c>
      <c r="H294" s="12"/>
      <c r="I294" s="12"/>
      <c r="J294" s="12"/>
      <c r="K294" s="12"/>
    </row>
    <row r="295" spans="1:11" x14ac:dyDescent="0.35">
      <c r="A295" s="2">
        <v>46317</v>
      </c>
      <c r="B295" s="3" t="str">
        <f t="shared" si="20"/>
        <v>Thu</v>
      </c>
      <c r="C295" s="3">
        <f t="shared" si="21"/>
        <v>43</v>
      </c>
      <c r="D295" s="3" t="str">
        <f t="shared" si="22"/>
        <v>October</v>
      </c>
      <c r="E295" s="3"/>
      <c r="F295" s="3" t="str">
        <f t="shared" si="23"/>
        <v xml:space="preserve"> </v>
      </c>
      <c r="G295" s="12" t="s">
        <v>158</v>
      </c>
      <c r="H295" s="12"/>
      <c r="I295" s="12"/>
      <c r="J295" s="12"/>
      <c r="K295" s="12"/>
    </row>
    <row r="296" spans="1:11" x14ac:dyDescent="0.35">
      <c r="A296" s="2">
        <v>46318</v>
      </c>
      <c r="B296" s="3" t="str">
        <f t="shared" si="20"/>
        <v>Fri</v>
      </c>
      <c r="C296" s="3">
        <f t="shared" si="21"/>
        <v>43</v>
      </c>
      <c r="D296" s="3" t="str">
        <f t="shared" si="22"/>
        <v>October</v>
      </c>
      <c r="E296" s="3"/>
      <c r="F296" s="3" t="str">
        <f t="shared" si="23"/>
        <v xml:space="preserve"> </v>
      </c>
      <c r="G296" s="12" t="s">
        <v>158</v>
      </c>
      <c r="H296" s="12"/>
      <c r="I296" s="12"/>
      <c r="J296" s="12"/>
      <c r="K296" s="12"/>
    </row>
    <row r="297" spans="1:11" x14ac:dyDescent="0.35">
      <c r="A297" s="2">
        <v>46319</v>
      </c>
      <c r="B297" s="3" t="str">
        <f t="shared" si="20"/>
        <v>Sat</v>
      </c>
      <c r="C297" s="3">
        <f t="shared" si="21"/>
        <v>43</v>
      </c>
      <c r="D297" s="3" t="str">
        <f t="shared" si="22"/>
        <v>October</v>
      </c>
      <c r="E297" s="3"/>
      <c r="F297" s="3" t="str">
        <f t="shared" si="23"/>
        <v xml:space="preserve"> </v>
      </c>
      <c r="G297" s="12" t="s">
        <v>158</v>
      </c>
      <c r="H297" s="12"/>
      <c r="I297" s="12"/>
      <c r="J297" s="12"/>
      <c r="K297" s="12"/>
    </row>
    <row r="298" spans="1:11" x14ac:dyDescent="0.35">
      <c r="A298" s="2">
        <v>46320</v>
      </c>
      <c r="B298" s="3" t="str">
        <f t="shared" si="20"/>
        <v>Sun</v>
      </c>
      <c r="C298" s="3">
        <f t="shared" si="21"/>
        <v>44</v>
      </c>
      <c r="D298" s="3" t="str">
        <f t="shared" si="22"/>
        <v>October</v>
      </c>
      <c r="E298" s="3"/>
      <c r="F298" s="3" t="str">
        <f t="shared" si="23"/>
        <v xml:space="preserve"> </v>
      </c>
      <c r="G298" s="12" t="s">
        <v>158</v>
      </c>
      <c r="H298" s="12"/>
      <c r="I298" s="12"/>
      <c r="J298" s="12"/>
      <c r="K298" s="12"/>
    </row>
    <row r="299" spans="1:11" x14ac:dyDescent="0.35">
      <c r="A299" s="2">
        <v>46321</v>
      </c>
      <c r="B299" s="3" t="str">
        <f t="shared" si="20"/>
        <v>Mon</v>
      </c>
      <c r="C299" s="3">
        <f t="shared" si="21"/>
        <v>44</v>
      </c>
      <c r="D299" s="3" t="str">
        <f t="shared" si="22"/>
        <v>October</v>
      </c>
      <c r="E299" s="3"/>
      <c r="F299" s="3" t="str">
        <f t="shared" si="23"/>
        <v xml:space="preserve"> </v>
      </c>
      <c r="G299" s="12" t="s">
        <v>158</v>
      </c>
      <c r="H299" s="12"/>
      <c r="I299" s="12"/>
      <c r="J299" s="12"/>
      <c r="K299" s="12"/>
    </row>
    <row r="300" spans="1:11" x14ac:dyDescent="0.35">
      <c r="A300" s="2">
        <v>46322</v>
      </c>
      <c r="B300" s="3" t="str">
        <f t="shared" si="20"/>
        <v>Tue</v>
      </c>
      <c r="C300" s="3">
        <f t="shared" si="21"/>
        <v>44</v>
      </c>
      <c r="D300" s="3" t="str">
        <f t="shared" si="22"/>
        <v>October</v>
      </c>
      <c r="E300" s="3"/>
      <c r="F300" s="3" t="str">
        <f t="shared" si="23"/>
        <v xml:space="preserve"> </v>
      </c>
      <c r="G300" s="12" t="s">
        <v>158</v>
      </c>
      <c r="H300" s="12"/>
      <c r="I300" s="12"/>
      <c r="J300" s="12"/>
      <c r="K300" s="12"/>
    </row>
    <row r="301" spans="1:11" x14ac:dyDescent="0.35">
      <c r="A301" s="2">
        <v>46323</v>
      </c>
      <c r="B301" s="3" t="str">
        <f t="shared" si="20"/>
        <v>Wed</v>
      </c>
      <c r="C301" s="3">
        <f t="shared" si="21"/>
        <v>44</v>
      </c>
      <c r="D301" s="3" t="str">
        <f t="shared" si="22"/>
        <v>October</v>
      </c>
      <c r="E301" s="3"/>
      <c r="F301" s="3" t="str">
        <f t="shared" si="23"/>
        <v xml:space="preserve"> </v>
      </c>
      <c r="G301" s="12" t="s">
        <v>158</v>
      </c>
      <c r="H301" s="12"/>
      <c r="I301" s="12"/>
      <c r="J301" s="12"/>
      <c r="K301" s="12"/>
    </row>
    <row r="302" spans="1:11" x14ac:dyDescent="0.35">
      <c r="A302" s="2">
        <v>46324</v>
      </c>
      <c r="B302" s="3" t="str">
        <f t="shared" si="20"/>
        <v>Thu</v>
      </c>
      <c r="C302" s="3">
        <f t="shared" si="21"/>
        <v>44</v>
      </c>
      <c r="D302" s="3" t="str">
        <f t="shared" si="22"/>
        <v>October</v>
      </c>
      <c r="E302" s="3"/>
      <c r="F302" s="3" t="str">
        <f t="shared" si="23"/>
        <v xml:space="preserve"> </v>
      </c>
      <c r="G302" s="12" t="s">
        <v>158</v>
      </c>
      <c r="H302" s="12"/>
      <c r="I302" s="12"/>
      <c r="J302" s="12"/>
      <c r="K302" s="12"/>
    </row>
    <row r="303" spans="1:11" x14ac:dyDescent="0.35">
      <c r="A303" s="2">
        <v>46325</v>
      </c>
      <c r="B303" s="3" t="str">
        <f t="shared" si="20"/>
        <v>Fri</v>
      </c>
      <c r="C303" s="3">
        <f t="shared" si="21"/>
        <v>44</v>
      </c>
      <c r="D303" s="3" t="str">
        <f t="shared" si="22"/>
        <v>October</v>
      </c>
      <c r="E303" s="3"/>
      <c r="F303" s="3" t="str">
        <f t="shared" si="23"/>
        <v xml:space="preserve"> </v>
      </c>
      <c r="G303" s="12" t="s">
        <v>158</v>
      </c>
      <c r="H303" s="12"/>
      <c r="I303" s="12"/>
      <c r="J303" s="12"/>
      <c r="K303" s="12"/>
    </row>
    <row r="304" spans="1:11" x14ac:dyDescent="0.35">
      <c r="A304" s="2">
        <v>46326</v>
      </c>
      <c r="B304" s="3" t="str">
        <f t="shared" si="20"/>
        <v>Sat</v>
      </c>
      <c r="C304" s="3">
        <f t="shared" si="21"/>
        <v>44</v>
      </c>
      <c r="D304" s="3" t="str">
        <f t="shared" si="22"/>
        <v>October</v>
      </c>
      <c r="E304" s="3"/>
      <c r="F304" s="3" t="str">
        <f t="shared" si="23"/>
        <v xml:space="preserve"> </v>
      </c>
      <c r="G304" s="12" t="s">
        <v>158</v>
      </c>
      <c r="H304" s="12"/>
      <c r="I304" s="12"/>
      <c r="J304" s="12"/>
      <c r="K304" s="12"/>
    </row>
    <row r="305" spans="1:11" x14ac:dyDescent="0.35">
      <c r="A305" s="2">
        <v>46327</v>
      </c>
      <c r="B305" s="3" t="str">
        <f t="shared" si="20"/>
        <v>Sun</v>
      </c>
      <c r="C305" s="3">
        <f t="shared" si="21"/>
        <v>45</v>
      </c>
      <c r="D305" s="3" t="str">
        <f t="shared" si="22"/>
        <v>November</v>
      </c>
      <c r="E305" s="3"/>
      <c r="F305" s="3" t="str">
        <f t="shared" si="23"/>
        <v xml:space="preserve"> </v>
      </c>
      <c r="G305" s="12" t="s">
        <v>158</v>
      </c>
      <c r="H305" s="12"/>
      <c r="I305" s="12"/>
      <c r="J305" s="12"/>
      <c r="K305" s="12"/>
    </row>
    <row r="306" spans="1:11" x14ac:dyDescent="0.35">
      <c r="A306" s="2">
        <v>46328</v>
      </c>
      <c r="B306" s="3" t="str">
        <f t="shared" si="20"/>
        <v>Mon</v>
      </c>
      <c r="C306" s="3">
        <f t="shared" si="21"/>
        <v>45</v>
      </c>
      <c r="D306" s="3" t="str">
        <f t="shared" si="22"/>
        <v>November</v>
      </c>
      <c r="E306" s="3"/>
      <c r="F306" s="3" t="str">
        <f t="shared" si="23"/>
        <v xml:space="preserve"> </v>
      </c>
      <c r="G306" s="12" t="s">
        <v>158</v>
      </c>
      <c r="H306" s="12"/>
      <c r="I306" s="12"/>
      <c r="J306" s="12"/>
      <c r="K306" s="12"/>
    </row>
    <row r="307" spans="1:11" x14ac:dyDescent="0.35">
      <c r="A307" s="2">
        <v>46329</v>
      </c>
      <c r="B307" s="3" t="str">
        <f t="shared" si="20"/>
        <v>Tue</v>
      </c>
      <c r="C307" s="3">
        <f t="shared" si="21"/>
        <v>45</v>
      </c>
      <c r="D307" s="3" t="str">
        <f t="shared" si="22"/>
        <v>November</v>
      </c>
      <c r="E307" s="3"/>
      <c r="F307" s="3" t="str">
        <f t="shared" si="23"/>
        <v xml:space="preserve"> </v>
      </c>
      <c r="G307" s="12" t="s">
        <v>158</v>
      </c>
      <c r="H307" s="12"/>
      <c r="I307" s="12"/>
      <c r="J307" s="12"/>
      <c r="K307" s="12"/>
    </row>
    <row r="308" spans="1:11" x14ac:dyDescent="0.35">
      <c r="A308" s="2">
        <v>46330</v>
      </c>
      <c r="B308" s="3" t="str">
        <f t="shared" si="20"/>
        <v>Wed</v>
      </c>
      <c r="C308" s="3">
        <f t="shared" si="21"/>
        <v>45</v>
      </c>
      <c r="D308" s="3" t="str">
        <f t="shared" si="22"/>
        <v>November</v>
      </c>
      <c r="E308" s="3"/>
      <c r="F308" s="3" t="str">
        <f t="shared" si="23"/>
        <v xml:space="preserve"> </v>
      </c>
      <c r="G308" s="12" t="s">
        <v>158</v>
      </c>
      <c r="H308" s="12"/>
      <c r="I308" s="12"/>
      <c r="J308" s="12"/>
      <c r="K308" s="12"/>
    </row>
    <row r="309" spans="1:11" x14ac:dyDescent="0.35">
      <c r="A309" s="2">
        <v>46331</v>
      </c>
      <c r="B309" s="3" t="str">
        <f t="shared" si="20"/>
        <v>Thu</v>
      </c>
      <c r="C309" s="3">
        <f t="shared" si="21"/>
        <v>45</v>
      </c>
      <c r="D309" s="3" t="str">
        <f t="shared" si="22"/>
        <v>November</v>
      </c>
      <c r="E309" s="3"/>
      <c r="F309" s="3" t="str">
        <f t="shared" si="23"/>
        <v xml:space="preserve"> </v>
      </c>
      <c r="G309" s="12" t="s">
        <v>158</v>
      </c>
      <c r="H309" s="12"/>
      <c r="I309" s="12"/>
      <c r="J309" s="12"/>
      <c r="K309" s="12"/>
    </row>
    <row r="310" spans="1:11" x14ac:dyDescent="0.35">
      <c r="A310" s="2">
        <v>46332</v>
      </c>
      <c r="B310" s="3" t="str">
        <f t="shared" si="20"/>
        <v>Fri</v>
      </c>
      <c r="C310" s="3">
        <f t="shared" si="21"/>
        <v>45</v>
      </c>
      <c r="D310" s="3" t="str">
        <f t="shared" si="22"/>
        <v>November</v>
      </c>
      <c r="E310" s="3"/>
      <c r="F310" s="3" t="str">
        <f t="shared" si="23"/>
        <v xml:space="preserve"> </v>
      </c>
      <c r="G310" s="12" t="s">
        <v>158</v>
      </c>
      <c r="H310" s="12"/>
      <c r="I310" s="12"/>
      <c r="J310" s="12"/>
      <c r="K310" s="12"/>
    </row>
    <row r="311" spans="1:11" x14ac:dyDescent="0.35">
      <c r="A311" s="2">
        <v>46333</v>
      </c>
      <c r="B311" s="3" t="str">
        <f t="shared" si="20"/>
        <v>Sat</v>
      </c>
      <c r="C311" s="3">
        <f t="shared" si="21"/>
        <v>45</v>
      </c>
      <c r="D311" s="3" t="str">
        <f t="shared" si="22"/>
        <v>November</v>
      </c>
      <c r="E311" s="3"/>
      <c r="F311" s="3" t="str">
        <f t="shared" si="23"/>
        <v xml:space="preserve"> </v>
      </c>
      <c r="G311" s="12" t="s">
        <v>158</v>
      </c>
      <c r="H311" s="12"/>
      <c r="I311" s="12"/>
      <c r="J311" s="12"/>
      <c r="K311" s="12"/>
    </row>
    <row r="312" spans="1:11" x14ac:dyDescent="0.35">
      <c r="A312" s="2">
        <v>46334</v>
      </c>
      <c r="B312" s="3" t="str">
        <f t="shared" si="20"/>
        <v>Sun</v>
      </c>
      <c r="C312" s="3">
        <f t="shared" si="21"/>
        <v>46</v>
      </c>
      <c r="D312" s="3" t="str">
        <f t="shared" si="22"/>
        <v>November</v>
      </c>
      <c r="E312" s="3"/>
      <c r="F312" s="3" t="str">
        <f t="shared" si="23"/>
        <v xml:space="preserve"> </v>
      </c>
      <c r="G312" s="12" t="s">
        <v>158</v>
      </c>
      <c r="H312" s="12"/>
      <c r="I312" s="12"/>
      <c r="J312" s="12"/>
      <c r="K312" s="12"/>
    </row>
    <row r="313" spans="1:11" x14ac:dyDescent="0.35">
      <c r="A313" s="2">
        <v>46335</v>
      </c>
      <c r="B313" s="3" t="str">
        <f t="shared" si="20"/>
        <v>Mon</v>
      </c>
      <c r="C313" s="3">
        <f t="shared" si="21"/>
        <v>46</v>
      </c>
      <c r="D313" s="3" t="str">
        <f t="shared" si="22"/>
        <v>November</v>
      </c>
      <c r="E313" s="3"/>
      <c r="F313" s="3" t="str">
        <f t="shared" si="23"/>
        <v xml:space="preserve"> </v>
      </c>
      <c r="G313" s="12" t="s">
        <v>158</v>
      </c>
      <c r="H313" s="12"/>
      <c r="I313" s="12"/>
      <c r="J313" s="12"/>
      <c r="K313" s="12"/>
    </row>
    <row r="314" spans="1:11" x14ac:dyDescent="0.35">
      <c r="A314" s="2">
        <v>46336</v>
      </c>
      <c r="B314" s="3" t="str">
        <f t="shared" si="20"/>
        <v>Tue</v>
      </c>
      <c r="C314" s="3">
        <f t="shared" si="21"/>
        <v>46</v>
      </c>
      <c r="D314" s="3" t="str">
        <f t="shared" si="22"/>
        <v>November</v>
      </c>
      <c r="E314" s="3"/>
      <c r="F314" s="3" t="str">
        <f t="shared" si="23"/>
        <v xml:space="preserve"> </v>
      </c>
      <c r="G314" s="12" t="s">
        <v>158</v>
      </c>
      <c r="H314" s="12"/>
      <c r="I314" s="12"/>
      <c r="J314" s="12"/>
      <c r="K314" s="12"/>
    </row>
    <row r="315" spans="1:11" x14ac:dyDescent="0.35">
      <c r="A315" s="2">
        <v>46337</v>
      </c>
      <c r="B315" s="3" t="str">
        <f t="shared" si="20"/>
        <v>Wed</v>
      </c>
      <c r="C315" s="3">
        <f t="shared" si="21"/>
        <v>46</v>
      </c>
      <c r="D315" s="3" t="str">
        <f t="shared" si="22"/>
        <v>November</v>
      </c>
      <c r="E315" s="3"/>
      <c r="F315" s="3" t="str">
        <f t="shared" si="23"/>
        <v xml:space="preserve"> </v>
      </c>
      <c r="G315" s="12" t="s">
        <v>158</v>
      </c>
      <c r="H315" s="12"/>
      <c r="I315" s="12"/>
      <c r="J315" s="12"/>
      <c r="K315" s="12"/>
    </row>
    <row r="316" spans="1:11" x14ac:dyDescent="0.35">
      <c r="A316" s="2">
        <v>46338</v>
      </c>
      <c r="B316" s="3" t="str">
        <f t="shared" si="20"/>
        <v>Thu</v>
      </c>
      <c r="C316" s="3">
        <f t="shared" si="21"/>
        <v>46</v>
      </c>
      <c r="D316" s="3" t="str">
        <f t="shared" si="22"/>
        <v>November</v>
      </c>
      <c r="E316" s="3"/>
      <c r="F316" s="3" t="str">
        <f t="shared" si="23"/>
        <v xml:space="preserve"> </v>
      </c>
      <c r="G316" s="12" t="s">
        <v>158</v>
      </c>
      <c r="H316" s="12"/>
      <c r="I316" s="12"/>
      <c r="J316" s="12"/>
      <c r="K316" s="12"/>
    </row>
    <row r="317" spans="1:11" x14ac:dyDescent="0.35">
      <c r="A317" s="2">
        <v>46339</v>
      </c>
      <c r="B317" s="3" t="str">
        <f t="shared" si="20"/>
        <v>Fri</v>
      </c>
      <c r="C317" s="3">
        <f t="shared" si="21"/>
        <v>46</v>
      </c>
      <c r="D317" s="3" t="str">
        <f t="shared" si="22"/>
        <v>November</v>
      </c>
      <c r="E317" s="3"/>
      <c r="F317" s="3" t="str">
        <f t="shared" si="23"/>
        <v xml:space="preserve"> </v>
      </c>
      <c r="G317" s="12" t="s">
        <v>158</v>
      </c>
      <c r="H317" s="12"/>
      <c r="I317" s="12"/>
      <c r="J317" s="12"/>
      <c r="K317" s="12"/>
    </row>
    <row r="318" spans="1:11" x14ac:dyDescent="0.35">
      <c r="A318" s="2">
        <v>46340</v>
      </c>
      <c r="B318" s="3" t="str">
        <f t="shared" si="20"/>
        <v>Sat</v>
      </c>
      <c r="C318" s="3">
        <f t="shared" si="21"/>
        <v>46</v>
      </c>
      <c r="D318" s="3" t="str">
        <f t="shared" si="22"/>
        <v>November</v>
      </c>
      <c r="E318" s="3"/>
      <c r="F318" s="3" t="str">
        <f t="shared" si="23"/>
        <v xml:space="preserve"> </v>
      </c>
      <c r="G318" s="12" t="s">
        <v>158</v>
      </c>
      <c r="H318" s="12"/>
      <c r="I318" s="12"/>
      <c r="J318" s="12"/>
      <c r="K318" s="12"/>
    </row>
  </sheetData>
  <mergeCells count="1">
    <mergeCell ref="A1:F1"/>
  </mergeCells>
  <phoneticPr fontId="7" type="noConversion"/>
  <conditionalFormatting sqref="B1:B1048576">
    <cfRule type="containsText" dxfId="27" priority="10" operator="containsText" text="MGG">
      <formula>NOT(ISERROR(SEARCH("MGG",B1)))</formula>
    </cfRule>
  </conditionalFormatting>
  <conditionalFormatting sqref="B2:B1048576">
    <cfRule type="containsText" dxfId="26" priority="11" operator="containsText" text="SUN">
      <formula>NOT(ISERROR(SEARCH("SUN",B2)))</formula>
    </cfRule>
  </conditionalFormatting>
  <conditionalFormatting sqref="F1 F3:F1048576">
    <cfRule type="containsText" dxfId="25" priority="7" operator="containsText" text="IZIN">
      <formula>NOT(ISERROR(SEARCH("IZIN",F1)))</formula>
    </cfRule>
    <cfRule type="containsText" dxfId="24" priority="8" operator="containsText" text="SAKIT">
      <formula>NOT(ISERROR(SEARCH("SAKIT",F1)))</formula>
    </cfRule>
    <cfRule type="containsText" dxfId="23" priority="9" operator="containsText" text="MASUK">
      <formula>NOT(ISERROR(SEARCH("MASUK",F1)))</formula>
    </cfRule>
  </conditionalFormatting>
  <conditionalFormatting sqref="F1:F1048576">
    <cfRule type="containsText" dxfId="22" priority="1" operator="containsText" text="LEMBUR">
      <formula>NOT(ISERROR(SEARCH("LEMBUR",F1)))</formula>
    </cfRule>
    <cfRule type="containsText" dxfId="21" priority="2" operator="containsText" text="TOTAL HARI KERJA">
      <formula>NOT(ISERROR(SEARCH("TOTAL HARI KERJA",F1)))</formula>
    </cfRule>
    <cfRule type="containsText" dxfId="20" priority="3" operator="containsText" text="MERAH">
      <formula>NOT(ISERROR(SEARCH("MERAH",F1)))</formula>
    </cfRule>
  </conditionalFormatting>
  <conditionalFormatting sqref="F6">
    <cfRule type="containsText" dxfId="19" priority="6" operator="containsText" text="IJIN">
      <formula>NOT(ISERROR(SEARCH("IJIN",F6)))</formula>
    </cfRule>
  </conditionalFormatting>
  <conditionalFormatting sqref="F2:K2">
    <cfRule type="containsText" dxfId="18" priority="5" operator="containsText" text="MASUK">
      <formula>NOT(ISERROR(SEARCH("MASUK",F2)))</formula>
    </cfRule>
  </conditionalFormatting>
  <pageMargins left="0.7" right="0.7" top="0.75" bottom="0.75" header="0.3" footer="0.3"/>
  <pageSetup paperSize="256" orientation="portrait" horizontalDpi="203" verticalDpi="20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2083-3A80-47BF-80BE-4B6869AB4AD7}">
  <dimension ref="A1:L289"/>
  <sheetViews>
    <sheetView zoomScale="85" zoomScaleNormal="85" workbookViewId="0">
      <pane ySplit="2" topLeftCell="A232" activePane="bottomLeft" state="frozen"/>
      <selection pane="bottomLeft" activeCell="H239" sqref="H239"/>
    </sheetView>
  </sheetViews>
  <sheetFormatPr defaultRowHeight="14.5" x14ac:dyDescent="0.35"/>
  <cols>
    <col min="1" max="1" width="8.81640625" bestFit="1" customWidth="1"/>
    <col min="2" max="2" width="4.54296875" bestFit="1" customWidth="1"/>
    <col min="3" max="3" width="5.90625" bestFit="1" customWidth="1"/>
    <col min="4" max="4" width="9.81640625" bestFit="1" customWidth="1"/>
    <col min="5" max="5" width="11.453125" bestFit="1" customWidth="1"/>
    <col min="6" max="6" width="13.36328125" bestFit="1" customWidth="1"/>
    <col min="7" max="7" width="21.54296875" bestFit="1" customWidth="1"/>
    <col min="8" max="8" width="8.1796875" bestFit="1" customWidth="1"/>
    <col min="366" max="366" width="9.90625" customWidth="1"/>
  </cols>
  <sheetData>
    <row r="1" spans="1:12" ht="90" customHeight="1" x14ac:dyDescent="0.35">
      <c r="A1" s="115" t="s">
        <v>162</v>
      </c>
      <c r="B1" s="115"/>
      <c r="C1" s="115"/>
      <c r="D1" s="115"/>
      <c r="E1" s="115"/>
      <c r="F1" s="115"/>
      <c r="J1" s="105" t="s">
        <v>160</v>
      </c>
    </row>
    <row r="2" spans="1:12" x14ac:dyDescent="0.35">
      <c r="A2" s="1" t="s">
        <v>1</v>
      </c>
      <c r="B2" s="1" t="s">
        <v>2</v>
      </c>
      <c r="C2" s="1" t="s">
        <v>3</v>
      </c>
      <c r="D2" s="1" t="s">
        <v>4</v>
      </c>
      <c r="E2" s="1" t="s">
        <v>25</v>
      </c>
      <c r="F2" s="1" t="s">
        <v>12</v>
      </c>
      <c r="G2" s="1" t="s">
        <v>22</v>
      </c>
      <c r="H2" s="1" t="s">
        <v>139</v>
      </c>
    </row>
    <row r="3" spans="1:12" x14ac:dyDescent="0.35">
      <c r="A3" s="2">
        <v>46054</v>
      </c>
      <c r="B3" s="3" t="str">
        <f t="shared" ref="B3:B38" si="0">TEXT(A3,"DDD")</f>
        <v>Sun</v>
      </c>
      <c r="C3" s="3">
        <f t="shared" ref="C3:C37" si="1">WEEKNUM(A3)</f>
        <v>6</v>
      </c>
      <c r="D3" s="3" t="str">
        <f t="shared" ref="D3:D37" si="2">TEXT(A3,"mmmm")</f>
        <v>February</v>
      </c>
      <c r="E3" s="3"/>
      <c r="F3" s="3" t="str">
        <f t="shared" ref="F3:F34" si="3">IF(E3="J1",$L$3,IF(E3="J2",$L$4,IF(E3="J3",$L$5,IF(E3="J4",$L$6,IF(E3="J5",$L$7," ")))))</f>
        <v xml:space="preserve"> </v>
      </c>
      <c r="G3" s="12" t="s">
        <v>161</v>
      </c>
      <c r="H3" s="12"/>
      <c r="K3" t="s">
        <v>5</v>
      </c>
      <c r="L3" s="11" t="s">
        <v>20</v>
      </c>
    </row>
    <row r="4" spans="1:12" x14ac:dyDescent="0.35">
      <c r="A4" s="2">
        <v>46055</v>
      </c>
      <c r="B4" s="3" t="str">
        <f t="shared" si="0"/>
        <v>Mon</v>
      </c>
      <c r="C4" s="3">
        <f t="shared" si="1"/>
        <v>6</v>
      </c>
      <c r="D4" s="3" t="str">
        <f t="shared" si="2"/>
        <v>February</v>
      </c>
      <c r="E4" s="3" t="s">
        <v>5</v>
      </c>
      <c r="F4" s="3" t="str">
        <f t="shared" si="3"/>
        <v>Total hari kerja</v>
      </c>
      <c r="G4" s="12" t="s">
        <v>161</v>
      </c>
      <c r="H4" s="12"/>
      <c r="K4" t="s">
        <v>7</v>
      </c>
      <c r="L4" s="4" t="s">
        <v>30</v>
      </c>
    </row>
    <row r="5" spans="1:12" x14ac:dyDescent="0.35">
      <c r="A5" s="2">
        <v>46056</v>
      </c>
      <c r="B5" s="3" t="str">
        <f t="shared" si="0"/>
        <v>Tue</v>
      </c>
      <c r="C5" s="3">
        <f t="shared" si="1"/>
        <v>6</v>
      </c>
      <c r="D5" s="3" t="str">
        <f t="shared" si="2"/>
        <v>February</v>
      </c>
      <c r="E5" s="3" t="s">
        <v>5</v>
      </c>
      <c r="F5" s="3" t="str">
        <f t="shared" si="3"/>
        <v>Total hari kerja</v>
      </c>
      <c r="G5" s="12" t="s">
        <v>161</v>
      </c>
      <c r="H5" s="12"/>
      <c r="K5" t="s">
        <v>9</v>
      </c>
      <c r="L5" s="10" t="s">
        <v>118</v>
      </c>
    </row>
    <row r="6" spans="1:12" x14ac:dyDescent="0.35">
      <c r="A6" s="2">
        <v>46057</v>
      </c>
      <c r="B6" s="3" t="str">
        <f t="shared" si="0"/>
        <v>Wed</v>
      </c>
      <c r="C6" s="3">
        <f t="shared" si="1"/>
        <v>6</v>
      </c>
      <c r="D6" s="3" t="str">
        <f t="shared" si="2"/>
        <v>February</v>
      </c>
      <c r="E6" s="3" t="s">
        <v>5</v>
      </c>
      <c r="F6" s="3" t="str">
        <f t="shared" si="3"/>
        <v>Total hari kerja</v>
      </c>
      <c r="G6" s="12" t="s">
        <v>161</v>
      </c>
      <c r="H6" s="12"/>
      <c r="K6" t="s">
        <v>10</v>
      </c>
      <c r="L6" s="5" t="s">
        <v>139</v>
      </c>
    </row>
    <row r="7" spans="1:12" x14ac:dyDescent="0.35">
      <c r="A7" s="2">
        <v>46058</v>
      </c>
      <c r="B7" s="3" t="str">
        <f t="shared" si="0"/>
        <v>Thu</v>
      </c>
      <c r="C7" s="3">
        <f t="shared" si="1"/>
        <v>6</v>
      </c>
      <c r="D7" s="3" t="str">
        <f t="shared" si="2"/>
        <v>February</v>
      </c>
      <c r="E7" s="3" t="s">
        <v>5</v>
      </c>
      <c r="F7" s="3" t="str">
        <f t="shared" si="3"/>
        <v>Total hari kerja</v>
      </c>
      <c r="G7" s="12" t="s">
        <v>161</v>
      </c>
      <c r="H7" s="12"/>
      <c r="K7" t="s">
        <v>11</v>
      </c>
      <c r="L7" s="6" t="s">
        <v>138</v>
      </c>
    </row>
    <row r="8" spans="1:12" x14ac:dyDescent="0.35">
      <c r="A8" s="2">
        <v>46059</v>
      </c>
      <c r="B8" s="3" t="str">
        <f t="shared" si="0"/>
        <v>Fri</v>
      </c>
      <c r="C8" s="3">
        <f t="shared" si="1"/>
        <v>6</v>
      </c>
      <c r="D8" s="3" t="str">
        <f t="shared" si="2"/>
        <v>February</v>
      </c>
      <c r="E8" s="3" t="s">
        <v>5</v>
      </c>
      <c r="F8" s="3" t="str">
        <f t="shared" si="3"/>
        <v>Total hari kerja</v>
      </c>
      <c r="G8" s="12" t="s">
        <v>161</v>
      </c>
      <c r="H8" s="12"/>
    </row>
    <row r="9" spans="1:12" x14ac:dyDescent="0.35">
      <c r="A9" s="2">
        <v>46060</v>
      </c>
      <c r="B9" s="3" t="str">
        <f t="shared" si="0"/>
        <v>Sat</v>
      </c>
      <c r="C9" s="3">
        <f t="shared" si="1"/>
        <v>6</v>
      </c>
      <c r="D9" s="3" t="str">
        <f t="shared" si="2"/>
        <v>February</v>
      </c>
      <c r="E9" s="3" t="s">
        <v>5</v>
      </c>
      <c r="F9" s="3" t="str">
        <f t="shared" si="3"/>
        <v>Total hari kerja</v>
      </c>
      <c r="G9" s="12" t="s">
        <v>161</v>
      </c>
      <c r="H9" s="12"/>
    </row>
    <row r="10" spans="1:12" x14ac:dyDescent="0.35">
      <c r="A10" s="2">
        <v>46061</v>
      </c>
      <c r="B10" s="3" t="str">
        <f t="shared" si="0"/>
        <v>Sun</v>
      </c>
      <c r="C10" s="3">
        <f t="shared" si="1"/>
        <v>7</v>
      </c>
      <c r="D10" s="3" t="str">
        <f t="shared" si="2"/>
        <v>February</v>
      </c>
      <c r="E10" s="3"/>
      <c r="F10" s="3" t="str">
        <f t="shared" si="3"/>
        <v xml:space="preserve"> </v>
      </c>
      <c r="G10" s="12" t="s">
        <v>161</v>
      </c>
      <c r="H10" s="12"/>
    </row>
    <row r="11" spans="1:12" x14ac:dyDescent="0.35">
      <c r="A11" s="2">
        <v>46062</v>
      </c>
      <c r="B11" s="3" t="str">
        <f t="shared" si="0"/>
        <v>Mon</v>
      </c>
      <c r="C11" s="3">
        <f t="shared" si="1"/>
        <v>7</v>
      </c>
      <c r="D11" s="3" t="str">
        <f t="shared" si="2"/>
        <v>February</v>
      </c>
      <c r="E11" s="3" t="s">
        <v>5</v>
      </c>
      <c r="F11" s="3" t="str">
        <f t="shared" si="3"/>
        <v>Total hari kerja</v>
      </c>
      <c r="G11" s="12" t="s">
        <v>161</v>
      </c>
      <c r="H11" s="12"/>
    </row>
    <row r="12" spans="1:12" x14ac:dyDescent="0.35">
      <c r="A12" s="2">
        <v>46063</v>
      </c>
      <c r="B12" s="3" t="str">
        <f t="shared" si="0"/>
        <v>Tue</v>
      </c>
      <c r="C12" s="3">
        <f t="shared" si="1"/>
        <v>7</v>
      </c>
      <c r="D12" s="3" t="str">
        <f t="shared" si="2"/>
        <v>February</v>
      </c>
      <c r="E12" s="3" t="s">
        <v>5</v>
      </c>
      <c r="F12" s="3" t="str">
        <f t="shared" si="3"/>
        <v>Total hari kerja</v>
      </c>
      <c r="G12" s="12" t="s">
        <v>161</v>
      </c>
      <c r="H12" s="12"/>
    </row>
    <row r="13" spans="1:12" x14ac:dyDescent="0.35">
      <c r="A13" s="2">
        <v>46064</v>
      </c>
      <c r="B13" s="3" t="str">
        <f t="shared" si="0"/>
        <v>Wed</v>
      </c>
      <c r="C13" s="3">
        <f t="shared" si="1"/>
        <v>7</v>
      </c>
      <c r="D13" s="3" t="str">
        <f t="shared" si="2"/>
        <v>February</v>
      </c>
      <c r="E13" s="3" t="s">
        <v>5</v>
      </c>
      <c r="F13" s="3" t="str">
        <f t="shared" si="3"/>
        <v>Total hari kerja</v>
      </c>
      <c r="G13" s="12" t="s">
        <v>161</v>
      </c>
      <c r="H13" s="12"/>
    </row>
    <row r="14" spans="1:12" x14ac:dyDescent="0.35">
      <c r="A14" s="2">
        <v>46065</v>
      </c>
      <c r="B14" s="3" t="str">
        <f t="shared" si="0"/>
        <v>Thu</v>
      </c>
      <c r="C14" s="3">
        <f t="shared" si="1"/>
        <v>7</v>
      </c>
      <c r="D14" s="3" t="str">
        <f t="shared" si="2"/>
        <v>February</v>
      </c>
      <c r="E14" s="3" t="s">
        <v>5</v>
      </c>
      <c r="F14" s="3" t="str">
        <f t="shared" si="3"/>
        <v>Total hari kerja</v>
      </c>
      <c r="G14" s="12" t="s">
        <v>161</v>
      </c>
      <c r="H14" s="12"/>
    </row>
    <row r="15" spans="1:12" x14ac:dyDescent="0.35">
      <c r="A15" s="2">
        <v>46066</v>
      </c>
      <c r="B15" s="3" t="str">
        <f t="shared" si="0"/>
        <v>Fri</v>
      </c>
      <c r="C15" s="3">
        <f t="shared" si="1"/>
        <v>7</v>
      </c>
      <c r="D15" s="3" t="str">
        <f t="shared" si="2"/>
        <v>February</v>
      </c>
      <c r="E15" s="3" t="s">
        <v>5</v>
      </c>
      <c r="F15" s="3" t="str">
        <f t="shared" si="3"/>
        <v>Total hari kerja</v>
      </c>
      <c r="G15" s="12" t="s">
        <v>161</v>
      </c>
      <c r="H15" s="12"/>
    </row>
    <row r="16" spans="1:12" x14ac:dyDescent="0.35">
      <c r="A16" s="2">
        <v>46067</v>
      </c>
      <c r="B16" s="3" t="str">
        <f t="shared" si="0"/>
        <v>Sat</v>
      </c>
      <c r="C16" s="3">
        <f t="shared" si="1"/>
        <v>7</v>
      </c>
      <c r="D16" s="3" t="str">
        <f t="shared" si="2"/>
        <v>February</v>
      </c>
      <c r="E16" s="3" t="s">
        <v>5</v>
      </c>
      <c r="F16" s="3" t="str">
        <f t="shared" si="3"/>
        <v>Total hari kerja</v>
      </c>
      <c r="G16" s="12" t="s">
        <v>161</v>
      </c>
      <c r="H16" s="12"/>
    </row>
    <row r="17" spans="1:9" x14ac:dyDescent="0.35">
      <c r="A17" s="2">
        <v>46068</v>
      </c>
      <c r="B17" s="3" t="str">
        <f t="shared" si="0"/>
        <v>Sun</v>
      </c>
      <c r="C17" s="3">
        <f t="shared" si="1"/>
        <v>8</v>
      </c>
      <c r="D17" s="3" t="str">
        <f t="shared" si="2"/>
        <v>February</v>
      </c>
      <c r="E17" s="3"/>
      <c r="F17" s="3" t="str">
        <f t="shared" si="3"/>
        <v xml:space="preserve"> </v>
      </c>
      <c r="G17" s="12" t="s">
        <v>161</v>
      </c>
      <c r="H17" s="12"/>
      <c r="I17" t="s">
        <v>32</v>
      </c>
    </row>
    <row r="18" spans="1:9" x14ac:dyDescent="0.35">
      <c r="A18" s="2">
        <v>46069</v>
      </c>
      <c r="B18" s="3" t="str">
        <f t="shared" si="0"/>
        <v>Mon</v>
      </c>
      <c r="C18" s="3">
        <f t="shared" si="1"/>
        <v>8</v>
      </c>
      <c r="D18" s="3" t="str">
        <f t="shared" si="2"/>
        <v>February</v>
      </c>
      <c r="E18" s="3" t="s">
        <v>5</v>
      </c>
      <c r="F18" s="3" t="str">
        <f t="shared" si="3"/>
        <v>Total hari kerja</v>
      </c>
      <c r="G18" s="12" t="s">
        <v>161</v>
      </c>
      <c r="H18" s="12"/>
    </row>
    <row r="19" spans="1:9" x14ac:dyDescent="0.35">
      <c r="A19" s="2">
        <v>46070</v>
      </c>
      <c r="B19" s="3" t="str">
        <f t="shared" si="0"/>
        <v>Tue</v>
      </c>
      <c r="C19" s="3">
        <f t="shared" si="1"/>
        <v>8</v>
      </c>
      <c r="D19" s="3" t="str">
        <f t="shared" si="2"/>
        <v>February</v>
      </c>
      <c r="E19" s="3" t="s">
        <v>5</v>
      </c>
      <c r="F19" s="3" t="str">
        <f t="shared" si="3"/>
        <v>Total hari kerja</v>
      </c>
      <c r="G19" s="12" t="s">
        <v>161</v>
      </c>
      <c r="H19" s="12"/>
    </row>
    <row r="20" spans="1:9" x14ac:dyDescent="0.35">
      <c r="A20" s="2">
        <v>46071</v>
      </c>
      <c r="B20" s="3" t="str">
        <f t="shared" si="0"/>
        <v>Wed</v>
      </c>
      <c r="C20" s="3">
        <f t="shared" si="1"/>
        <v>8</v>
      </c>
      <c r="D20" s="3" t="str">
        <f t="shared" si="2"/>
        <v>February</v>
      </c>
      <c r="E20" s="3" t="s">
        <v>5</v>
      </c>
      <c r="F20" s="3" t="str">
        <f t="shared" si="3"/>
        <v>Total hari kerja</v>
      </c>
      <c r="G20" s="12" t="s">
        <v>161</v>
      </c>
      <c r="H20" s="12"/>
    </row>
    <row r="21" spans="1:9" x14ac:dyDescent="0.35">
      <c r="A21" s="2">
        <v>46072</v>
      </c>
      <c r="B21" s="3" t="str">
        <f t="shared" si="0"/>
        <v>Thu</v>
      </c>
      <c r="C21" s="3">
        <f t="shared" si="1"/>
        <v>8</v>
      </c>
      <c r="D21" s="3" t="str">
        <f t="shared" si="2"/>
        <v>February</v>
      </c>
      <c r="E21" s="3" t="s">
        <v>5</v>
      </c>
      <c r="F21" s="3" t="str">
        <f t="shared" si="3"/>
        <v>Total hari kerja</v>
      </c>
      <c r="G21" s="12" t="s">
        <v>161</v>
      </c>
      <c r="H21" s="12"/>
    </row>
    <row r="22" spans="1:9" x14ac:dyDescent="0.35">
      <c r="A22" s="2">
        <v>46073</v>
      </c>
      <c r="B22" s="3" t="str">
        <f t="shared" si="0"/>
        <v>Fri</v>
      </c>
      <c r="C22" s="3">
        <f t="shared" si="1"/>
        <v>8</v>
      </c>
      <c r="D22" s="3" t="str">
        <f t="shared" si="2"/>
        <v>February</v>
      </c>
      <c r="E22" s="3" t="s">
        <v>5</v>
      </c>
      <c r="F22" s="3" t="str">
        <f t="shared" si="3"/>
        <v>Total hari kerja</v>
      </c>
      <c r="G22" s="12" t="s">
        <v>161</v>
      </c>
      <c r="H22" s="12"/>
    </row>
    <row r="23" spans="1:9" x14ac:dyDescent="0.35">
      <c r="A23" s="2">
        <v>46074</v>
      </c>
      <c r="B23" s="3" t="str">
        <f t="shared" si="0"/>
        <v>Sat</v>
      </c>
      <c r="C23" s="3">
        <f t="shared" si="1"/>
        <v>8</v>
      </c>
      <c r="D23" s="3" t="str">
        <f t="shared" si="2"/>
        <v>February</v>
      </c>
      <c r="E23" s="3" t="s">
        <v>5</v>
      </c>
      <c r="F23" s="3" t="str">
        <f t="shared" si="3"/>
        <v>Total hari kerja</v>
      </c>
      <c r="G23" s="12" t="s">
        <v>161</v>
      </c>
      <c r="H23" s="12"/>
    </row>
    <row r="24" spans="1:9" x14ac:dyDescent="0.35">
      <c r="A24" s="2">
        <v>46075</v>
      </c>
      <c r="B24" s="3" t="str">
        <f t="shared" si="0"/>
        <v>Sun</v>
      </c>
      <c r="C24" s="3">
        <f t="shared" si="1"/>
        <v>9</v>
      </c>
      <c r="D24" s="3" t="str">
        <f t="shared" si="2"/>
        <v>February</v>
      </c>
      <c r="E24" s="3"/>
      <c r="F24" s="3" t="str">
        <f t="shared" si="3"/>
        <v xml:space="preserve"> </v>
      </c>
      <c r="G24" s="12" t="s">
        <v>161</v>
      </c>
      <c r="H24" s="12"/>
    </row>
    <row r="25" spans="1:9" x14ac:dyDescent="0.35">
      <c r="A25" s="2">
        <v>46076</v>
      </c>
      <c r="B25" s="3" t="str">
        <f t="shared" si="0"/>
        <v>Mon</v>
      </c>
      <c r="C25" s="3">
        <f t="shared" si="1"/>
        <v>9</v>
      </c>
      <c r="D25" s="3" t="str">
        <f t="shared" si="2"/>
        <v>February</v>
      </c>
      <c r="E25" s="3" t="s">
        <v>5</v>
      </c>
      <c r="F25" s="3" t="str">
        <f t="shared" si="3"/>
        <v>Total hari kerja</v>
      </c>
      <c r="G25" s="12" t="s">
        <v>161</v>
      </c>
      <c r="H25" s="12"/>
    </row>
    <row r="26" spans="1:9" x14ac:dyDescent="0.35">
      <c r="A26" s="2">
        <v>46077</v>
      </c>
      <c r="B26" s="3" t="str">
        <f t="shared" si="0"/>
        <v>Tue</v>
      </c>
      <c r="C26" s="3">
        <f t="shared" si="1"/>
        <v>9</v>
      </c>
      <c r="D26" s="3" t="str">
        <f t="shared" si="2"/>
        <v>February</v>
      </c>
      <c r="E26" s="3" t="s">
        <v>5</v>
      </c>
      <c r="F26" s="3" t="str">
        <f t="shared" si="3"/>
        <v>Total hari kerja</v>
      </c>
      <c r="G26" s="12" t="s">
        <v>161</v>
      </c>
      <c r="H26" s="12"/>
    </row>
    <row r="27" spans="1:9" x14ac:dyDescent="0.35">
      <c r="A27" s="2">
        <v>46078</v>
      </c>
      <c r="B27" s="3" t="str">
        <f t="shared" si="0"/>
        <v>Wed</v>
      </c>
      <c r="C27" s="3">
        <f t="shared" si="1"/>
        <v>9</v>
      </c>
      <c r="D27" s="3" t="str">
        <f t="shared" si="2"/>
        <v>February</v>
      </c>
      <c r="E27" s="3" t="s">
        <v>5</v>
      </c>
      <c r="F27" s="3" t="str">
        <f t="shared" si="3"/>
        <v>Total hari kerja</v>
      </c>
      <c r="G27" s="12" t="s">
        <v>161</v>
      </c>
      <c r="H27" s="12"/>
    </row>
    <row r="28" spans="1:9" x14ac:dyDescent="0.35">
      <c r="A28" s="2">
        <v>46079</v>
      </c>
      <c r="B28" s="3" t="str">
        <f t="shared" si="0"/>
        <v>Thu</v>
      </c>
      <c r="C28" s="3">
        <f t="shared" si="1"/>
        <v>9</v>
      </c>
      <c r="D28" s="3" t="str">
        <f t="shared" si="2"/>
        <v>February</v>
      </c>
      <c r="E28" s="3" t="s">
        <v>5</v>
      </c>
      <c r="F28" s="3" t="str">
        <f t="shared" si="3"/>
        <v>Total hari kerja</v>
      </c>
      <c r="G28" s="12" t="s">
        <v>161</v>
      </c>
      <c r="H28" s="12"/>
    </row>
    <row r="29" spans="1:9" x14ac:dyDescent="0.35">
      <c r="A29" s="2">
        <v>46080</v>
      </c>
      <c r="B29" s="3" t="str">
        <f t="shared" si="0"/>
        <v>Fri</v>
      </c>
      <c r="C29" s="3">
        <f t="shared" si="1"/>
        <v>9</v>
      </c>
      <c r="D29" s="3" t="str">
        <f t="shared" si="2"/>
        <v>February</v>
      </c>
      <c r="E29" s="3" t="s">
        <v>5</v>
      </c>
      <c r="F29" s="3" t="str">
        <f t="shared" si="3"/>
        <v>Total hari kerja</v>
      </c>
      <c r="G29" s="12" t="s">
        <v>161</v>
      </c>
      <c r="H29" s="12"/>
    </row>
    <row r="30" spans="1:9" x14ac:dyDescent="0.35">
      <c r="A30" s="2">
        <v>46081</v>
      </c>
      <c r="B30" s="3" t="str">
        <f t="shared" si="0"/>
        <v>Sat</v>
      </c>
      <c r="C30" s="3">
        <f t="shared" si="1"/>
        <v>9</v>
      </c>
      <c r="D30" s="3" t="str">
        <f t="shared" si="2"/>
        <v>February</v>
      </c>
      <c r="E30" s="3" t="s">
        <v>5</v>
      </c>
      <c r="F30" s="3" t="str">
        <f t="shared" si="3"/>
        <v>Total hari kerja</v>
      </c>
      <c r="G30" s="12" t="s">
        <v>161</v>
      </c>
      <c r="H30" s="12"/>
    </row>
    <row r="31" spans="1:9" x14ac:dyDescent="0.35">
      <c r="A31" s="2">
        <v>46082</v>
      </c>
      <c r="B31" s="3" t="str">
        <f t="shared" si="0"/>
        <v>Sun</v>
      </c>
      <c r="C31" s="3">
        <f t="shared" si="1"/>
        <v>10</v>
      </c>
      <c r="D31" s="3" t="str">
        <f t="shared" si="2"/>
        <v>March</v>
      </c>
      <c r="E31" s="3"/>
      <c r="F31" s="3" t="str">
        <f t="shared" si="3"/>
        <v xml:space="preserve"> </v>
      </c>
      <c r="G31" s="12" t="s">
        <v>161</v>
      </c>
      <c r="H31" s="12"/>
    </row>
    <row r="32" spans="1:9" x14ac:dyDescent="0.35">
      <c r="A32" s="2">
        <v>46083</v>
      </c>
      <c r="B32" s="3" t="str">
        <f t="shared" si="0"/>
        <v>Mon</v>
      </c>
      <c r="C32" s="3">
        <f t="shared" si="1"/>
        <v>10</v>
      </c>
      <c r="D32" s="3" t="str">
        <f t="shared" si="2"/>
        <v>March</v>
      </c>
      <c r="E32" s="3" t="s">
        <v>5</v>
      </c>
      <c r="F32" s="3" t="str">
        <f t="shared" si="3"/>
        <v>Total hari kerja</v>
      </c>
      <c r="G32" s="12" t="s">
        <v>161</v>
      </c>
      <c r="H32" s="12"/>
    </row>
    <row r="33" spans="1:9" x14ac:dyDescent="0.35">
      <c r="A33" s="2">
        <v>46084</v>
      </c>
      <c r="B33" s="3" t="str">
        <f t="shared" si="0"/>
        <v>Tue</v>
      </c>
      <c r="C33" s="3">
        <f t="shared" si="1"/>
        <v>10</v>
      </c>
      <c r="D33" s="3" t="str">
        <f t="shared" si="2"/>
        <v>March</v>
      </c>
      <c r="E33" s="3" t="s">
        <v>5</v>
      </c>
      <c r="F33" s="3" t="str">
        <f t="shared" si="3"/>
        <v>Total hari kerja</v>
      </c>
      <c r="G33" s="12" t="s">
        <v>161</v>
      </c>
      <c r="H33" s="12"/>
    </row>
    <row r="34" spans="1:9" x14ac:dyDescent="0.35">
      <c r="A34" s="2">
        <v>46085</v>
      </c>
      <c r="B34" s="3" t="str">
        <f t="shared" si="0"/>
        <v>Wed</v>
      </c>
      <c r="C34" s="3">
        <f t="shared" si="1"/>
        <v>10</v>
      </c>
      <c r="D34" s="3" t="str">
        <f t="shared" si="2"/>
        <v>March</v>
      </c>
      <c r="E34" s="3" t="s">
        <v>5</v>
      </c>
      <c r="F34" s="3" t="str">
        <f t="shared" si="3"/>
        <v>Total hari kerja</v>
      </c>
      <c r="G34" s="12" t="s">
        <v>161</v>
      </c>
      <c r="H34" s="12"/>
    </row>
    <row r="35" spans="1:9" x14ac:dyDescent="0.35">
      <c r="A35" s="2">
        <v>46086</v>
      </c>
      <c r="B35" s="3" t="str">
        <f t="shared" si="0"/>
        <v>Thu</v>
      </c>
      <c r="C35" s="3">
        <f t="shared" si="1"/>
        <v>10</v>
      </c>
      <c r="D35" s="3" t="str">
        <f t="shared" si="2"/>
        <v>March</v>
      </c>
      <c r="E35" s="3" t="s">
        <v>5</v>
      </c>
      <c r="F35" s="3" t="str">
        <f t="shared" ref="F35:F66" si="4">IF(E35="J1",$L$3,IF(E35="J2",$L$4,IF(E35="J3",$L$5,IF(E35="J4",$L$6,IF(E35="J5",$L$7," ")))))</f>
        <v>Total hari kerja</v>
      </c>
      <c r="G35" s="12" t="s">
        <v>161</v>
      </c>
      <c r="H35" s="12"/>
    </row>
    <row r="36" spans="1:9" x14ac:dyDescent="0.35">
      <c r="A36" s="2">
        <v>46087</v>
      </c>
      <c r="B36" s="3" t="str">
        <f t="shared" si="0"/>
        <v>Fri</v>
      </c>
      <c r="C36" s="3">
        <f t="shared" si="1"/>
        <v>10</v>
      </c>
      <c r="D36" s="3" t="str">
        <f t="shared" si="2"/>
        <v>March</v>
      </c>
      <c r="E36" s="3" t="s">
        <v>5</v>
      </c>
      <c r="F36" s="3" t="str">
        <f t="shared" si="4"/>
        <v>Total hari kerja</v>
      </c>
      <c r="G36" s="12" t="s">
        <v>161</v>
      </c>
      <c r="H36" s="12">
        <v>1</v>
      </c>
      <c r="I36">
        <v>1</v>
      </c>
    </row>
    <row r="37" spans="1:9" x14ac:dyDescent="0.35">
      <c r="A37" s="2">
        <v>46088</v>
      </c>
      <c r="B37" s="3" t="str">
        <f t="shared" si="0"/>
        <v>Sat</v>
      </c>
      <c r="C37" s="3">
        <f t="shared" si="1"/>
        <v>10</v>
      </c>
      <c r="D37" s="3" t="str">
        <f t="shared" si="2"/>
        <v>March</v>
      </c>
      <c r="E37" s="3" t="s">
        <v>5</v>
      </c>
      <c r="F37" s="3" t="str">
        <f t="shared" si="4"/>
        <v>Total hari kerja</v>
      </c>
      <c r="G37" s="12" t="s">
        <v>161</v>
      </c>
      <c r="H37" s="12">
        <v>1</v>
      </c>
      <c r="I37">
        <v>1</v>
      </c>
    </row>
    <row r="38" spans="1:9" x14ac:dyDescent="0.35">
      <c r="A38" s="2">
        <v>46089</v>
      </c>
      <c r="B38" s="3" t="str">
        <f t="shared" si="0"/>
        <v>Sun</v>
      </c>
      <c r="C38" s="3">
        <f t="shared" ref="C38:C101" si="5">WEEKNUM(A38)</f>
        <v>11</v>
      </c>
      <c r="D38" s="3" t="str">
        <f t="shared" ref="D38:D101" si="6">TEXT(A38,"mmmm")</f>
        <v>March</v>
      </c>
      <c r="E38" s="3"/>
      <c r="F38" s="3" t="str">
        <f t="shared" si="4"/>
        <v xml:space="preserve"> </v>
      </c>
      <c r="G38" s="12" t="s">
        <v>161</v>
      </c>
      <c r="H38" s="12"/>
    </row>
    <row r="39" spans="1:9" x14ac:dyDescent="0.35">
      <c r="A39" s="2">
        <v>46090</v>
      </c>
      <c r="B39" s="3" t="str">
        <f t="shared" ref="B39:B102" si="7">TEXT(A39,"DDD")</f>
        <v>Mon</v>
      </c>
      <c r="C39" s="3">
        <f t="shared" si="5"/>
        <v>11</v>
      </c>
      <c r="D39" s="3" t="str">
        <f t="shared" si="6"/>
        <v>March</v>
      </c>
      <c r="E39" s="3" t="s">
        <v>5</v>
      </c>
      <c r="F39" s="3" t="str">
        <f t="shared" si="4"/>
        <v>Total hari kerja</v>
      </c>
      <c r="G39" s="12" t="s">
        <v>161</v>
      </c>
      <c r="H39" s="12">
        <v>1</v>
      </c>
      <c r="I39">
        <v>1</v>
      </c>
    </row>
    <row r="40" spans="1:9" x14ac:dyDescent="0.35">
      <c r="A40" s="2">
        <v>46091</v>
      </c>
      <c r="B40" s="3" t="str">
        <f t="shared" si="7"/>
        <v>Tue</v>
      </c>
      <c r="C40" s="3">
        <f t="shared" si="5"/>
        <v>11</v>
      </c>
      <c r="D40" s="3" t="str">
        <f t="shared" si="6"/>
        <v>March</v>
      </c>
      <c r="E40" s="3" t="s">
        <v>5</v>
      </c>
      <c r="F40" s="3" t="str">
        <f t="shared" si="4"/>
        <v>Total hari kerja</v>
      </c>
      <c r="G40" s="12" t="s">
        <v>161</v>
      </c>
      <c r="H40" s="12">
        <v>1</v>
      </c>
      <c r="I40">
        <v>1</v>
      </c>
    </row>
    <row r="41" spans="1:9" x14ac:dyDescent="0.35">
      <c r="A41" s="2">
        <v>46092</v>
      </c>
      <c r="B41" s="3" t="str">
        <f t="shared" si="7"/>
        <v>Wed</v>
      </c>
      <c r="C41" s="3">
        <f t="shared" si="5"/>
        <v>11</v>
      </c>
      <c r="D41" s="3" t="str">
        <f t="shared" si="6"/>
        <v>March</v>
      </c>
      <c r="E41" s="3" t="s">
        <v>5</v>
      </c>
      <c r="F41" s="3" t="str">
        <f t="shared" si="4"/>
        <v>Total hari kerja</v>
      </c>
      <c r="G41" s="12" t="s">
        <v>161</v>
      </c>
      <c r="H41" s="12">
        <v>1</v>
      </c>
      <c r="I41">
        <v>1</v>
      </c>
    </row>
    <row r="42" spans="1:9" x14ac:dyDescent="0.35">
      <c r="A42" s="2">
        <v>46093</v>
      </c>
      <c r="B42" s="3" t="str">
        <f t="shared" si="7"/>
        <v>Thu</v>
      </c>
      <c r="C42" s="3">
        <f t="shared" si="5"/>
        <v>11</v>
      </c>
      <c r="D42" s="3" t="str">
        <f t="shared" si="6"/>
        <v>March</v>
      </c>
      <c r="E42" s="3" t="s">
        <v>5</v>
      </c>
      <c r="F42" s="3" t="str">
        <f t="shared" si="4"/>
        <v>Total hari kerja</v>
      </c>
      <c r="G42" s="12" t="s">
        <v>161</v>
      </c>
      <c r="H42" s="12">
        <v>1</v>
      </c>
      <c r="I42">
        <v>1</v>
      </c>
    </row>
    <row r="43" spans="1:9" x14ac:dyDescent="0.35">
      <c r="A43" s="2">
        <v>46094</v>
      </c>
      <c r="B43" s="3" t="str">
        <f t="shared" si="7"/>
        <v>Fri</v>
      </c>
      <c r="C43" s="3">
        <f t="shared" si="5"/>
        <v>11</v>
      </c>
      <c r="D43" s="3" t="str">
        <f t="shared" si="6"/>
        <v>March</v>
      </c>
      <c r="E43" s="3" t="s">
        <v>5</v>
      </c>
      <c r="F43" s="3" t="str">
        <f t="shared" si="4"/>
        <v>Total hari kerja</v>
      </c>
      <c r="G43" s="12" t="s">
        <v>161</v>
      </c>
      <c r="H43" s="12">
        <v>1</v>
      </c>
      <c r="I43">
        <v>1</v>
      </c>
    </row>
    <row r="44" spans="1:9" x14ac:dyDescent="0.35">
      <c r="A44" s="2">
        <v>46095</v>
      </c>
      <c r="B44" s="3" t="str">
        <f t="shared" si="7"/>
        <v>Sat</v>
      </c>
      <c r="C44" s="3">
        <f t="shared" si="5"/>
        <v>11</v>
      </c>
      <c r="D44" s="3" t="str">
        <f t="shared" si="6"/>
        <v>March</v>
      </c>
      <c r="E44" s="3" t="s">
        <v>5</v>
      </c>
      <c r="F44" s="3" t="str">
        <f t="shared" si="4"/>
        <v>Total hari kerja</v>
      </c>
      <c r="G44" s="12" t="s">
        <v>161</v>
      </c>
      <c r="H44" s="12">
        <v>1</v>
      </c>
      <c r="I44">
        <v>1</v>
      </c>
    </row>
    <row r="45" spans="1:9" x14ac:dyDescent="0.35">
      <c r="A45" s="2">
        <v>46096</v>
      </c>
      <c r="B45" s="3" t="str">
        <f t="shared" si="7"/>
        <v>Sun</v>
      </c>
      <c r="C45" s="3">
        <f t="shared" si="5"/>
        <v>12</v>
      </c>
      <c r="D45" s="3" t="str">
        <f t="shared" si="6"/>
        <v>March</v>
      </c>
      <c r="E45" s="3"/>
      <c r="F45" s="3" t="str">
        <f t="shared" si="4"/>
        <v xml:space="preserve"> </v>
      </c>
      <c r="G45" s="12" t="s">
        <v>161</v>
      </c>
      <c r="H45" s="12"/>
    </row>
    <row r="46" spans="1:9" x14ac:dyDescent="0.35">
      <c r="A46" s="2">
        <v>46097</v>
      </c>
      <c r="B46" s="3" t="str">
        <f t="shared" si="7"/>
        <v>Mon</v>
      </c>
      <c r="C46" s="3">
        <f t="shared" si="5"/>
        <v>12</v>
      </c>
      <c r="D46" s="3" t="str">
        <f t="shared" si="6"/>
        <v>March</v>
      </c>
      <c r="E46" s="3" t="s">
        <v>5</v>
      </c>
      <c r="F46" s="3" t="str">
        <f t="shared" si="4"/>
        <v>Total hari kerja</v>
      </c>
      <c r="G46" s="12" t="s">
        <v>161</v>
      </c>
      <c r="H46" s="12">
        <v>1</v>
      </c>
      <c r="I46">
        <v>1</v>
      </c>
    </row>
    <row r="47" spans="1:9" x14ac:dyDescent="0.35">
      <c r="A47" s="2">
        <v>46098</v>
      </c>
      <c r="B47" s="3" t="str">
        <f t="shared" si="7"/>
        <v>Tue</v>
      </c>
      <c r="C47" s="3">
        <f t="shared" si="5"/>
        <v>12</v>
      </c>
      <c r="D47" s="3" t="str">
        <f t="shared" si="6"/>
        <v>March</v>
      </c>
      <c r="E47" s="3" t="s">
        <v>5</v>
      </c>
      <c r="F47" s="3" t="str">
        <f t="shared" si="4"/>
        <v>Total hari kerja</v>
      </c>
      <c r="G47" s="12" t="s">
        <v>161</v>
      </c>
      <c r="H47" s="12">
        <v>1</v>
      </c>
      <c r="I47">
        <v>1</v>
      </c>
    </row>
    <row r="48" spans="1:9" x14ac:dyDescent="0.35">
      <c r="A48" s="2">
        <v>46099</v>
      </c>
      <c r="B48" s="3" t="str">
        <f t="shared" si="7"/>
        <v>Wed</v>
      </c>
      <c r="C48" s="3">
        <f t="shared" si="5"/>
        <v>12</v>
      </c>
      <c r="D48" s="3" t="str">
        <f t="shared" si="6"/>
        <v>March</v>
      </c>
      <c r="E48" s="3" t="s">
        <v>5</v>
      </c>
      <c r="F48" s="3" t="str">
        <f t="shared" si="4"/>
        <v>Total hari kerja</v>
      </c>
      <c r="G48" s="12" t="s">
        <v>161</v>
      </c>
      <c r="H48" s="12">
        <v>1</v>
      </c>
      <c r="I48">
        <v>1</v>
      </c>
    </row>
    <row r="49" spans="1:9" x14ac:dyDescent="0.35">
      <c r="A49" s="2">
        <v>46100</v>
      </c>
      <c r="B49" s="3" t="str">
        <f t="shared" si="7"/>
        <v>Thu</v>
      </c>
      <c r="C49" s="3">
        <f t="shared" si="5"/>
        <v>12</v>
      </c>
      <c r="D49" s="3" t="str">
        <f t="shared" si="6"/>
        <v>March</v>
      </c>
      <c r="E49" s="3" t="s">
        <v>5</v>
      </c>
      <c r="F49" s="3" t="str">
        <f t="shared" si="4"/>
        <v>Total hari kerja</v>
      </c>
      <c r="G49" s="12" t="s">
        <v>161</v>
      </c>
      <c r="H49" s="12">
        <v>1</v>
      </c>
      <c r="I49">
        <v>1</v>
      </c>
    </row>
    <row r="50" spans="1:9" x14ac:dyDescent="0.35">
      <c r="A50" s="2">
        <v>46101</v>
      </c>
      <c r="B50" s="3" t="str">
        <f t="shared" si="7"/>
        <v>Fri</v>
      </c>
      <c r="C50" s="3">
        <f t="shared" si="5"/>
        <v>12</v>
      </c>
      <c r="D50" s="3" t="str">
        <f t="shared" si="6"/>
        <v>March</v>
      </c>
      <c r="E50" s="3"/>
      <c r="F50" s="3" t="str">
        <f t="shared" si="4"/>
        <v xml:space="preserve"> </v>
      </c>
      <c r="G50" s="12" t="s">
        <v>161</v>
      </c>
      <c r="H50" s="12"/>
    </row>
    <row r="51" spans="1:9" x14ac:dyDescent="0.35">
      <c r="A51" s="2">
        <v>46102</v>
      </c>
      <c r="B51" s="3" t="str">
        <f t="shared" si="7"/>
        <v>Sat</v>
      </c>
      <c r="C51" s="3">
        <f t="shared" si="5"/>
        <v>12</v>
      </c>
      <c r="D51" s="3" t="str">
        <f t="shared" si="6"/>
        <v>March</v>
      </c>
      <c r="E51" s="3"/>
      <c r="F51" s="3" t="str">
        <f t="shared" si="4"/>
        <v xml:space="preserve"> </v>
      </c>
      <c r="G51" s="12" t="s">
        <v>161</v>
      </c>
      <c r="H51" s="12"/>
    </row>
    <row r="52" spans="1:9" x14ac:dyDescent="0.35">
      <c r="A52" s="2">
        <v>46103</v>
      </c>
      <c r="B52" s="3" t="str">
        <f t="shared" si="7"/>
        <v>Sun</v>
      </c>
      <c r="C52" s="3">
        <f t="shared" si="5"/>
        <v>13</v>
      </c>
      <c r="D52" s="3" t="str">
        <f t="shared" si="6"/>
        <v>March</v>
      </c>
      <c r="E52" s="3"/>
      <c r="F52" s="3" t="str">
        <f t="shared" si="4"/>
        <v xml:space="preserve"> </v>
      </c>
      <c r="G52" s="12" t="s">
        <v>161</v>
      </c>
      <c r="H52" s="12"/>
    </row>
    <row r="53" spans="1:9" x14ac:dyDescent="0.35">
      <c r="A53" s="2">
        <v>46104</v>
      </c>
      <c r="B53" s="3" t="str">
        <f t="shared" si="7"/>
        <v>Mon</v>
      </c>
      <c r="C53" s="3">
        <f t="shared" si="5"/>
        <v>13</v>
      </c>
      <c r="D53" s="3" t="str">
        <f t="shared" si="6"/>
        <v>March</v>
      </c>
      <c r="E53" s="3"/>
      <c r="F53" s="3" t="str">
        <f t="shared" si="4"/>
        <v xml:space="preserve"> </v>
      </c>
      <c r="G53" s="12" t="s">
        <v>161</v>
      </c>
      <c r="H53" s="12"/>
    </row>
    <row r="54" spans="1:9" x14ac:dyDescent="0.35">
      <c r="A54" s="2">
        <v>46105</v>
      </c>
      <c r="B54" s="3" t="str">
        <f t="shared" si="7"/>
        <v>Tue</v>
      </c>
      <c r="C54" s="3">
        <f t="shared" si="5"/>
        <v>13</v>
      </c>
      <c r="D54" s="3" t="str">
        <f t="shared" si="6"/>
        <v>March</v>
      </c>
      <c r="E54" s="3"/>
      <c r="F54" s="3" t="str">
        <f t="shared" si="4"/>
        <v xml:space="preserve"> </v>
      </c>
      <c r="G54" s="12" t="s">
        <v>161</v>
      </c>
      <c r="H54" s="12"/>
    </row>
    <row r="55" spans="1:9" x14ac:dyDescent="0.35">
      <c r="A55" s="2">
        <v>46106</v>
      </c>
      <c r="B55" s="3" t="str">
        <f t="shared" si="7"/>
        <v>Wed</v>
      </c>
      <c r="C55" s="3">
        <f t="shared" si="5"/>
        <v>13</v>
      </c>
      <c r="D55" s="3" t="str">
        <f t="shared" si="6"/>
        <v>March</v>
      </c>
      <c r="E55" s="3"/>
      <c r="F55" s="3" t="str">
        <f t="shared" si="4"/>
        <v xml:space="preserve"> </v>
      </c>
      <c r="G55" s="12" t="s">
        <v>161</v>
      </c>
      <c r="H55" s="12"/>
      <c r="I55">
        <v>3</v>
      </c>
    </row>
    <row r="56" spans="1:9" x14ac:dyDescent="0.35">
      <c r="A56" s="2">
        <v>46107</v>
      </c>
      <c r="B56" s="3" t="str">
        <f t="shared" si="7"/>
        <v>Thu</v>
      </c>
      <c r="C56" s="3">
        <f t="shared" si="5"/>
        <v>13</v>
      </c>
      <c r="D56" s="3" t="str">
        <f t="shared" si="6"/>
        <v>March</v>
      </c>
      <c r="E56" s="3" t="s">
        <v>5</v>
      </c>
      <c r="F56" s="3" t="str">
        <f t="shared" si="4"/>
        <v>Total hari kerja</v>
      </c>
      <c r="G56" s="12" t="s">
        <v>161</v>
      </c>
      <c r="H56" s="12">
        <v>4</v>
      </c>
      <c r="I56">
        <v>1</v>
      </c>
    </row>
    <row r="57" spans="1:9" x14ac:dyDescent="0.35">
      <c r="A57" s="2">
        <v>46108</v>
      </c>
      <c r="B57" s="3" t="str">
        <f t="shared" si="7"/>
        <v>Fri</v>
      </c>
      <c r="C57" s="3">
        <f t="shared" si="5"/>
        <v>13</v>
      </c>
      <c r="D57" s="3" t="str">
        <f t="shared" si="6"/>
        <v>March</v>
      </c>
      <c r="E57" s="3" t="s">
        <v>5</v>
      </c>
      <c r="F57" s="3" t="str">
        <f t="shared" si="4"/>
        <v>Total hari kerja</v>
      </c>
      <c r="G57" s="12" t="s">
        <v>161</v>
      </c>
      <c r="H57" s="12">
        <v>1</v>
      </c>
      <c r="I57">
        <v>1</v>
      </c>
    </row>
    <row r="58" spans="1:9" x14ac:dyDescent="0.35">
      <c r="A58" s="2">
        <v>46109</v>
      </c>
      <c r="B58" s="3" t="str">
        <f t="shared" si="7"/>
        <v>Sat</v>
      </c>
      <c r="C58" s="3">
        <f t="shared" si="5"/>
        <v>13</v>
      </c>
      <c r="D58" s="3" t="str">
        <f t="shared" si="6"/>
        <v>March</v>
      </c>
      <c r="E58" s="3" t="s">
        <v>5</v>
      </c>
      <c r="F58" s="3" t="str">
        <f t="shared" si="4"/>
        <v>Total hari kerja</v>
      </c>
      <c r="G58" s="12" t="s">
        <v>161</v>
      </c>
      <c r="H58" s="12">
        <v>1</v>
      </c>
      <c r="I58">
        <v>1</v>
      </c>
    </row>
    <row r="59" spans="1:9" x14ac:dyDescent="0.35">
      <c r="A59" s="2">
        <v>46110</v>
      </c>
      <c r="B59" s="3" t="str">
        <f t="shared" si="7"/>
        <v>Sun</v>
      </c>
      <c r="C59" s="3">
        <f t="shared" si="5"/>
        <v>14</v>
      </c>
      <c r="D59" s="3" t="str">
        <f t="shared" si="6"/>
        <v>March</v>
      </c>
      <c r="E59" s="3"/>
      <c r="F59" s="3" t="str">
        <f t="shared" si="4"/>
        <v xml:space="preserve"> </v>
      </c>
      <c r="G59" s="12" t="s">
        <v>161</v>
      </c>
      <c r="H59" s="12"/>
    </row>
    <row r="60" spans="1:9" x14ac:dyDescent="0.35">
      <c r="A60" s="2">
        <v>46111</v>
      </c>
      <c r="B60" s="3" t="str">
        <f t="shared" si="7"/>
        <v>Mon</v>
      </c>
      <c r="C60" s="3">
        <f t="shared" si="5"/>
        <v>14</v>
      </c>
      <c r="D60" s="3" t="str">
        <f t="shared" si="6"/>
        <v>March</v>
      </c>
      <c r="E60" s="3" t="s">
        <v>5</v>
      </c>
      <c r="F60" s="3" t="str">
        <f t="shared" si="4"/>
        <v>Total hari kerja</v>
      </c>
      <c r="G60" s="12" t="s">
        <v>161</v>
      </c>
      <c r="H60" s="12">
        <v>3</v>
      </c>
      <c r="I60">
        <v>3</v>
      </c>
    </row>
    <row r="61" spans="1:9" x14ac:dyDescent="0.35">
      <c r="A61" s="2">
        <v>46112</v>
      </c>
      <c r="B61" s="3" t="str">
        <f t="shared" si="7"/>
        <v>Tue</v>
      </c>
      <c r="C61" s="3">
        <f t="shared" si="5"/>
        <v>14</v>
      </c>
      <c r="D61" s="3" t="str">
        <f t="shared" si="6"/>
        <v>March</v>
      </c>
      <c r="E61" s="3" t="s">
        <v>5</v>
      </c>
      <c r="F61" s="3" t="str">
        <f t="shared" si="4"/>
        <v>Total hari kerja</v>
      </c>
      <c r="G61" s="12" t="s">
        <v>161</v>
      </c>
      <c r="H61" s="12">
        <v>3</v>
      </c>
    </row>
    <row r="62" spans="1:9" x14ac:dyDescent="0.35">
      <c r="A62" s="2">
        <v>46113</v>
      </c>
      <c r="B62" s="3" t="str">
        <f t="shared" si="7"/>
        <v>Wed</v>
      </c>
      <c r="C62" s="3">
        <f t="shared" si="5"/>
        <v>14</v>
      </c>
      <c r="D62" s="3" t="str">
        <f t="shared" si="6"/>
        <v>April</v>
      </c>
      <c r="E62" s="3" t="s">
        <v>5</v>
      </c>
      <c r="F62" s="3" t="str">
        <f t="shared" si="4"/>
        <v>Total hari kerja</v>
      </c>
      <c r="G62" s="12" t="s">
        <v>161</v>
      </c>
      <c r="H62" s="12">
        <v>4</v>
      </c>
    </row>
    <row r="63" spans="1:9" x14ac:dyDescent="0.35">
      <c r="A63" s="2">
        <v>46114</v>
      </c>
      <c r="B63" s="3" t="str">
        <f t="shared" si="7"/>
        <v>Thu</v>
      </c>
      <c r="C63" s="3">
        <f t="shared" si="5"/>
        <v>14</v>
      </c>
      <c r="D63" s="3" t="str">
        <f t="shared" si="6"/>
        <v>April</v>
      </c>
      <c r="E63" s="3" t="s">
        <v>5</v>
      </c>
      <c r="F63" s="3" t="str">
        <f t="shared" si="4"/>
        <v>Total hari kerja</v>
      </c>
      <c r="G63" s="12" t="s">
        <v>161</v>
      </c>
      <c r="H63" s="12">
        <v>3</v>
      </c>
    </row>
    <row r="64" spans="1:9" x14ac:dyDescent="0.35">
      <c r="A64" s="2">
        <v>46115</v>
      </c>
      <c r="B64" s="3" t="str">
        <f t="shared" si="7"/>
        <v>Fri</v>
      </c>
      <c r="C64" s="3">
        <f t="shared" si="5"/>
        <v>14</v>
      </c>
      <c r="D64" s="3" t="str">
        <f t="shared" si="6"/>
        <v>April</v>
      </c>
      <c r="E64" s="3" t="s">
        <v>5</v>
      </c>
      <c r="F64" s="3" t="str">
        <f t="shared" si="4"/>
        <v>Total hari kerja</v>
      </c>
      <c r="G64" s="12" t="s">
        <v>161</v>
      </c>
      <c r="H64" s="12">
        <v>5</v>
      </c>
    </row>
    <row r="65" spans="1:8" x14ac:dyDescent="0.35">
      <c r="A65" s="2">
        <v>46116</v>
      </c>
      <c r="B65" s="3" t="str">
        <f t="shared" si="7"/>
        <v>Sat</v>
      </c>
      <c r="C65" s="3">
        <f t="shared" si="5"/>
        <v>14</v>
      </c>
      <c r="D65" s="3" t="str">
        <f t="shared" si="6"/>
        <v>April</v>
      </c>
      <c r="E65" s="3" t="s">
        <v>5</v>
      </c>
      <c r="F65" s="3" t="str">
        <f t="shared" si="4"/>
        <v>Total hari kerja</v>
      </c>
      <c r="G65" s="12" t="s">
        <v>161</v>
      </c>
      <c r="H65" s="12">
        <v>5</v>
      </c>
    </row>
    <row r="66" spans="1:8" x14ac:dyDescent="0.35">
      <c r="A66" s="2">
        <v>46117</v>
      </c>
      <c r="B66" s="3" t="str">
        <f t="shared" si="7"/>
        <v>Sun</v>
      </c>
      <c r="C66" s="3">
        <f t="shared" si="5"/>
        <v>15</v>
      </c>
      <c r="D66" s="3" t="str">
        <f t="shared" si="6"/>
        <v>April</v>
      </c>
      <c r="E66" s="3"/>
      <c r="F66" s="3" t="str">
        <f t="shared" si="4"/>
        <v xml:space="preserve"> </v>
      </c>
      <c r="G66" s="12" t="s">
        <v>161</v>
      </c>
      <c r="H66" s="12"/>
    </row>
    <row r="67" spans="1:8" x14ac:dyDescent="0.35">
      <c r="A67" s="2">
        <v>46118</v>
      </c>
      <c r="B67" s="3" t="str">
        <f t="shared" si="7"/>
        <v>Mon</v>
      </c>
      <c r="C67" s="3">
        <f t="shared" si="5"/>
        <v>15</v>
      </c>
      <c r="D67" s="3" t="str">
        <f t="shared" si="6"/>
        <v>April</v>
      </c>
      <c r="E67" s="3" t="s">
        <v>5</v>
      </c>
      <c r="F67" s="3" t="str">
        <f t="shared" ref="F67:F130" si="8">IF(E67="J1",$L$3,IF(E67="J2",$L$4,IF(E67="J3",$L$5,IF(E67="J4",$L$6,IF(E67="J5",$L$7," ")))))</f>
        <v>Total hari kerja</v>
      </c>
      <c r="G67" s="12" t="s">
        <v>161</v>
      </c>
      <c r="H67" s="12">
        <v>5</v>
      </c>
    </row>
    <row r="68" spans="1:8" x14ac:dyDescent="0.35">
      <c r="A68" s="2">
        <v>46119</v>
      </c>
      <c r="B68" s="3" t="str">
        <f t="shared" si="7"/>
        <v>Tue</v>
      </c>
      <c r="C68" s="3">
        <f t="shared" si="5"/>
        <v>15</v>
      </c>
      <c r="D68" s="3" t="str">
        <f t="shared" si="6"/>
        <v>April</v>
      </c>
      <c r="E68" s="3" t="s">
        <v>5</v>
      </c>
      <c r="F68" s="3" t="str">
        <f t="shared" si="8"/>
        <v>Total hari kerja</v>
      </c>
      <c r="G68" s="12" t="s">
        <v>161</v>
      </c>
      <c r="H68" s="12">
        <v>5</v>
      </c>
    </row>
    <row r="69" spans="1:8" x14ac:dyDescent="0.35">
      <c r="A69" s="2">
        <v>46120</v>
      </c>
      <c r="B69" s="3" t="str">
        <f t="shared" si="7"/>
        <v>Wed</v>
      </c>
      <c r="C69" s="3">
        <f t="shared" si="5"/>
        <v>15</v>
      </c>
      <c r="D69" s="3" t="str">
        <f t="shared" si="6"/>
        <v>April</v>
      </c>
      <c r="E69" s="3" t="s">
        <v>5</v>
      </c>
      <c r="F69" s="3" t="str">
        <f t="shared" si="8"/>
        <v>Total hari kerja</v>
      </c>
      <c r="G69" s="12" t="s">
        <v>161</v>
      </c>
      <c r="H69" s="12">
        <v>5</v>
      </c>
    </row>
    <row r="70" spans="1:8" x14ac:dyDescent="0.35">
      <c r="A70" s="2">
        <v>46121</v>
      </c>
      <c r="B70" s="3" t="str">
        <f t="shared" si="7"/>
        <v>Thu</v>
      </c>
      <c r="C70" s="3">
        <f t="shared" si="5"/>
        <v>15</v>
      </c>
      <c r="D70" s="3" t="str">
        <f t="shared" si="6"/>
        <v>April</v>
      </c>
      <c r="E70" s="3" t="s">
        <v>5</v>
      </c>
      <c r="F70" s="3" t="str">
        <f t="shared" si="8"/>
        <v>Total hari kerja</v>
      </c>
      <c r="G70" s="12" t="s">
        <v>161</v>
      </c>
      <c r="H70" s="12">
        <v>5</v>
      </c>
    </row>
    <row r="71" spans="1:8" x14ac:dyDescent="0.35">
      <c r="A71" s="2">
        <v>46122</v>
      </c>
      <c r="B71" s="3" t="str">
        <f t="shared" si="7"/>
        <v>Fri</v>
      </c>
      <c r="C71" s="3">
        <f t="shared" si="5"/>
        <v>15</v>
      </c>
      <c r="D71" s="3" t="str">
        <f t="shared" si="6"/>
        <v>April</v>
      </c>
      <c r="E71" s="3" t="s">
        <v>5</v>
      </c>
      <c r="F71" s="3" t="str">
        <f t="shared" si="8"/>
        <v>Total hari kerja</v>
      </c>
      <c r="G71" s="12" t="s">
        <v>161</v>
      </c>
      <c r="H71" s="12">
        <v>5</v>
      </c>
    </row>
    <row r="72" spans="1:8" x14ac:dyDescent="0.35">
      <c r="A72" s="2">
        <v>46123</v>
      </c>
      <c r="B72" s="3" t="str">
        <f t="shared" si="7"/>
        <v>Sat</v>
      </c>
      <c r="C72" s="3">
        <f t="shared" si="5"/>
        <v>15</v>
      </c>
      <c r="D72" s="3" t="str">
        <f t="shared" si="6"/>
        <v>April</v>
      </c>
      <c r="E72" s="3" t="s">
        <v>5</v>
      </c>
      <c r="F72" s="3" t="str">
        <f t="shared" si="8"/>
        <v>Total hari kerja</v>
      </c>
      <c r="G72" s="12" t="s">
        <v>161</v>
      </c>
      <c r="H72" s="12">
        <v>4.5</v>
      </c>
    </row>
    <row r="73" spans="1:8" x14ac:dyDescent="0.35">
      <c r="A73" s="2">
        <v>46124</v>
      </c>
      <c r="B73" s="3" t="str">
        <f t="shared" si="7"/>
        <v>Sun</v>
      </c>
      <c r="C73" s="3">
        <f t="shared" si="5"/>
        <v>16</v>
      </c>
      <c r="D73" s="3" t="str">
        <f t="shared" si="6"/>
        <v>April</v>
      </c>
      <c r="E73" s="3"/>
      <c r="F73" s="3" t="str">
        <f t="shared" si="8"/>
        <v xml:space="preserve"> </v>
      </c>
      <c r="G73" s="12" t="s">
        <v>161</v>
      </c>
      <c r="H73" s="12"/>
    </row>
    <row r="74" spans="1:8" x14ac:dyDescent="0.35">
      <c r="A74" s="2">
        <v>46125</v>
      </c>
      <c r="B74" s="3" t="str">
        <f t="shared" si="7"/>
        <v>Mon</v>
      </c>
      <c r="C74" s="3">
        <f t="shared" si="5"/>
        <v>16</v>
      </c>
      <c r="D74" s="3" t="str">
        <f t="shared" si="6"/>
        <v>April</v>
      </c>
      <c r="E74" s="3" t="s">
        <v>5</v>
      </c>
      <c r="F74" s="3" t="str">
        <f t="shared" si="8"/>
        <v>Total hari kerja</v>
      </c>
      <c r="G74" s="12" t="s">
        <v>161</v>
      </c>
      <c r="H74" s="12">
        <v>5</v>
      </c>
    </row>
    <row r="75" spans="1:8" x14ac:dyDescent="0.35">
      <c r="A75" s="2">
        <v>46126</v>
      </c>
      <c r="B75" s="3" t="str">
        <f t="shared" si="7"/>
        <v>Tue</v>
      </c>
      <c r="C75" s="3">
        <f t="shared" si="5"/>
        <v>16</v>
      </c>
      <c r="D75" s="3" t="str">
        <f t="shared" si="6"/>
        <v>April</v>
      </c>
      <c r="E75" s="3" t="s">
        <v>5</v>
      </c>
      <c r="F75" s="3" t="str">
        <f t="shared" si="8"/>
        <v>Total hari kerja</v>
      </c>
      <c r="G75" s="12" t="s">
        <v>161</v>
      </c>
      <c r="H75" s="12">
        <v>5</v>
      </c>
    </row>
    <row r="76" spans="1:8" x14ac:dyDescent="0.35">
      <c r="A76" s="2">
        <v>46127</v>
      </c>
      <c r="B76" s="3" t="str">
        <f t="shared" si="7"/>
        <v>Wed</v>
      </c>
      <c r="C76" s="3">
        <f t="shared" si="5"/>
        <v>16</v>
      </c>
      <c r="D76" s="3" t="str">
        <f t="shared" si="6"/>
        <v>April</v>
      </c>
      <c r="E76" s="3" t="s">
        <v>5</v>
      </c>
      <c r="F76" s="3" t="str">
        <f t="shared" si="8"/>
        <v>Total hari kerja</v>
      </c>
      <c r="G76" s="12" t="s">
        <v>161</v>
      </c>
      <c r="H76" s="12">
        <v>5</v>
      </c>
    </row>
    <row r="77" spans="1:8" x14ac:dyDescent="0.35">
      <c r="A77" s="2">
        <v>46128</v>
      </c>
      <c r="B77" s="3" t="str">
        <f t="shared" si="7"/>
        <v>Thu</v>
      </c>
      <c r="C77" s="3">
        <f t="shared" si="5"/>
        <v>16</v>
      </c>
      <c r="D77" s="3" t="str">
        <f t="shared" si="6"/>
        <v>April</v>
      </c>
      <c r="E77" s="3" t="s">
        <v>5</v>
      </c>
      <c r="F77" s="3" t="str">
        <f t="shared" si="8"/>
        <v>Total hari kerja</v>
      </c>
      <c r="G77" s="12" t="s">
        <v>161</v>
      </c>
      <c r="H77" s="12">
        <v>5</v>
      </c>
    </row>
    <row r="78" spans="1:8" x14ac:dyDescent="0.35">
      <c r="A78" s="2">
        <v>46129</v>
      </c>
      <c r="B78" s="3" t="str">
        <f t="shared" si="7"/>
        <v>Fri</v>
      </c>
      <c r="C78" s="3">
        <f t="shared" si="5"/>
        <v>16</v>
      </c>
      <c r="D78" s="3" t="str">
        <f t="shared" si="6"/>
        <v>April</v>
      </c>
      <c r="E78" s="3" t="s">
        <v>5</v>
      </c>
      <c r="F78" s="3" t="str">
        <f t="shared" si="8"/>
        <v>Total hari kerja</v>
      </c>
      <c r="G78" s="12" t="s">
        <v>161</v>
      </c>
      <c r="H78" s="12">
        <v>4</v>
      </c>
    </row>
    <row r="79" spans="1:8" x14ac:dyDescent="0.35">
      <c r="A79" s="2">
        <v>46130</v>
      </c>
      <c r="B79" s="3" t="str">
        <f t="shared" si="7"/>
        <v>Sat</v>
      </c>
      <c r="C79" s="3">
        <f t="shared" si="5"/>
        <v>16</v>
      </c>
      <c r="D79" s="3" t="str">
        <f t="shared" si="6"/>
        <v>April</v>
      </c>
      <c r="E79" s="3" t="s">
        <v>5</v>
      </c>
      <c r="F79" s="3" t="str">
        <f t="shared" si="8"/>
        <v>Total hari kerja</v>
      </c>
      <c r="G79" s="12" t="s">
        <v>161</v>
      </c>
      <c r="H79" s="12">
        <v>3</v>
      </c>
    </row>
    <row r="80" spans="1:8" x14ac:dyDescent="0.35">
      <c r="A80" s="2">
        <v>46131</v>
      </c>
      <c r="B80" s="3" t="str">
        <f t="shared" si="7"/>
        <v>Sun</v>
      </c>
      <c r="C80" s="3">
        <f t="shared" si="5"/>
        <v>17</v>
      </c>
      <c r="D80" s="3" t="str">
        <f t="shared" si="6"/>
        <v>April</v>
      </c>
      <c r="E80" s="3"/>
      <c r="F80" s="3" t="str">
        <f t="shared" si="8"/>
        <v xml:space="preserve"> </v>
      </c>
      <c r="G80" s="12" t="s">
        <v>161</v>
      </c>
      <c r="H80" s="12"/>
    </row>
    <row r="81" spans="1:8" x14ac:dyDescent="0.35">
      <c r="A81" s="2">
        <v>46132</v>
      </c>
      <c r="B81" s="3" t="str">
        <f t="shared" si="7"/>
        <v>Mon</v>
      </c>
      <c r="C81" s="3">
        <f t="shared" si="5"/>
        <v>17</v>
      </c>
      <c r="D81" s="3" t="str">
        <f t="shared" si="6"/>
        <v>April</v>
      </c>
      <c r="E81" s="3" t="s">
        <v>5</v>
      </c>
      <c r="F81" s="3" t="str">
        <f t="shared" si="8"/>
        <v>Total hari kerja</v>
      </c>
      <c r="G81" s="12" t="s">
        <v>161</v>
      </c>
      <c r="H81" s="12">
        <v>2.5</v>
      </c>
    </row>
    <row r="82" spans="1:8" x14ac:dyDescent="0.35">
      <c r="A82" s="2">
        <v>46133</v>
      </c>
      <c r="B82" s="3" t="str">
        <f t="shared" si="7"/>
        <v>Tue</v>
      </c>
      <c r="C82" s="3">
        <f t="shared" si="5"/>
        <v>17</v>
      </c>
      <c r="D82" s="3" t="str">
        <f t="shared" si="6"/>
        <v>April</v>
      </c>
      <c r="E82" s="3" t="s">
        <v>5</v>
      </c>
      <c r="F82" s="3" t="str">
        <f t="shared" si="8"/>
        <v>Total hari kerja</v>
      </c>
      <c r="G82" s="12" t="s">
        <v>161</v>
      </c>
      <c r="H82" s="12">
        <v>2.5</v>
      </c>
    </row>
    <row r="83" spans="1:8" x14ac:dyDescent="0.35">
      <c r="A83" s="2">
        <v>46134</v>
      </c>
      <c r="B83" s="3" t="str">
        <f t="shared" si="7"/>
        <v>Wed</v>
      </c>
      <c r="C83" s="3">
        <f t="shared" si="5"/>
        <v>17</v>
      </c>
      <c r="D83" s="3" t="str">
        <f t="shared" si="6"/>
        <v>April</v>
      </c>
      <c r="E83" s="3" t="s">
        <v>5</v>
      </c>
      <c r="F83" s="3" t="str">
        <f t="shared" si="8"/>
        <v>Total hari kerja</v>
      </c>
      <c r="G83" s="12" t="s">
        <v>161</v>
      </c>
      <c r="H83" s="12">
        <v>2.5</v>
      </c>
    </row>
    <row r="84" spans="1:8" x14ac:dyDescent="0.35">
      <c r="A84" s="2">
        <v>46135</v>
      </c>
      <c r="B84" s="3" t="str">
        <f t="shared" si="7"/>
        <v>Thu</v>
      </c>
      <c r="C84" s="3">
        <f t="shared" si="5"/>
        <v>17</v>
      </c>
      <c r="D84" s="3" t="str">
        <f t="shared" si="6"/>
        <v>April</v>
      </c>
      <c r="E84" s="3" t="s">
        <v>5</v>
      </c>
      <c r="F84" s="3" t="str">
        <f t="shared" si="8"/>
        <v>Total hari kerja</v>
      </c>
      <c r="G84" s="12" t="s">
        <v>161</v>
      </c>
      <c r="H84" s="12">
        <v>2.5</v>
      </c>
    </row>
    <row r="85" spans="1:8" x14ac:dyDescent="0.35">
      <c r="A85" s="2">
        <v>46136</v>
      </c>
      <c r="B85" s="3" t="str">
        <f t="shared" si="7"/>
        <v>Fri</v>
      </c>
      <c r="C85" s="3">
        <f t="shared" si="5"/>
        <v>17</v>
      </c>
      <c r="D85" s="3" t="str">
        <f t="shared" si="6"/>
        <v>April</v>
      </c>
      <c r="E85" s="3" t="s">
        <v>5</v>
      </c>
      <c r="F85" s="3" t="str">
        <f t="shared" si="8"/>
        <v>Total hari kerja</v>
      </c>
      <c r="G85" s="12" t="s">
        <v>161</v>
      </c>
      <c r="H85" s="12">
        <v>3</v>
      </c>
    </row>
    <row r="86" spans="1:8" x14ac:dyDescent="0.35">
      <c r="A86" s="2">
        <v>46137</v>
      </c>
      <c r="B86" s="3" t="str">
        <f t="shared" si="7"/>
        <v>Sat</v>
      </c>
      <c r="C86" s="3">
        <f t="shared" si="5"/>
        <v>17</v>
      </c>
      <c r="D86" s="3" t="str">
        <f t="shared" si="6"/>
        <v>April</v>
      </c>
      <c r="E86" s="3" t="s">
        <v>5</v>
      </c>
      <c r="F86" s="3" t="str">
        <f t="shared" si="8"/>
        <v>Total hari kerja</v>
      </c>
      <c r="G86" s="12" t="s">
        <v>161</v>
      </c>
      <c r="H86" s="12">
        <v>1.5</v>
      </c>
    </row>
    <row r="87" spans="1:8" x14ac:dyDescent="0.35">
      <c r="A87" s="2">
        <v>46138</v>
      </c>
      <c r="B87" s="3" t="str">
        <f t="shared" si="7"/>
        <v>Sun</v>
      </c>
      <c r="C87" s="3">
        <f t="shared" si="5"/>
        <v>18</v>
      </c>
      <c r="D87" s="3" t="str">
        <f t="shared" si="6"/>
        <v>April</v>
      </c>
      <c r="E87" s="3"/>
      <c r="F87" s="3" t="str">
        <f t="shared" si="8"/>
        <v xml:space="preserve"> </v>
      </c>
      <c r="G87" s="12" t="s">
        <v>161</v>
      </c>
      <c r="H87" s="12"/>
    </row>
    <row r="88" spans="1:8" x14ac:dyDescent="0.35">
      <c r="A88" s="2">
        <v>46139</v>
      </c>
      <c r="B88" s="3" t="str">
        <f t="shared" si="7"/>
        <v>Mon</v>
      </c>
      <c r="C88" s="3">
        <f t="shared" si="5"/>
        <v>18</v>
      </c>
      <c r="D88" s="3" t="str">
        <f t="shared" si="6"/>
        <v>April</v>
      </c>
      <c r="E88" s="3" t="s">
        <v>5</v>
      </c>
      <c r="F88" s="3" t="str">
        <f t="shared" si="8"/>
        <v>Total hari kerja</v>
      </c>
      <c r="G88" s="12" t="s">
        <v>161</v>
      </c>
      <c r="H88" s="12">
        <v>0.5</v>
      </c>
    </row>
    <row r="89" spans="1:8" x14ac:dyDescent="0.35">
      <c r="A89" s="2">
        <v>46140</v>
      </c>
      <c r="B89" s="3" t="str">
        <f t="shared" si="7"/>
        <v>Tue</v>
      </c>
      <c r="C89" s="3">
        <f t="shared" si="5"/>
        <v>18</v>
      </c>
      <c r="D89" s="3" t="str">
        <f t="shared" si="6"/>
        <v>April</v>
      </c>
      <c r="E89" s="3" t="s">
        <v>5</v>
      </c>
      <c r="F89" s="3" t="str">
        <f t="shared" si="8"/>
        <v>Total hari kerja</v>
      </c>
      <c r="G89" s="12" t="s">
        <v>161</v>
      </c>
      <c r="H89" s="12">
        <v>1</v>
      </c>
    </row>
    <row r="90" spans="1:8" x14ac:dyDescent="0.35">
      <c r="A90" s="2">
        <v>46141</v>
      </c>
      <c r="B90" s="3" t="str">
        <f t="shared" si="7"/>
        <v>Wed</v>
      </c>
      <c r="C90" s="3">
        <f t="shared" si="5"/>
        <v>18</v>
      </c>
      <c r="D90" s="3" t="str">
        <f t="shared" si="6"/>
        <v>April</v>
      </c>
      <c r="E90" s="3" t="s">
        <v>5</v>
      </c>
      <c r="F90" s="3" t="str">
        <f t="shared" si="8"/>
        <v>Total hari kerja</v>
      </c>
      <c r="G90" s="12" t="s">
        <v>161</v>
      </c>
      <c r="H90" s="12">
        <v>1</v>
      </c>
    </row>
    <row r="91" spans="1:8" x14ac:dyDescent="0.35">
      <c r="A91" s="2">
        <v>46142</v>
      </c>
      <c r="B91" s="3" t="str">
        <f t="shared" si="7"/>
        <v>Thu</v>
      </c>
      <c r="C91" s="3">
        <f t="shared" si="5"/>
        <v>18</v>
      </c>
      <c r="D91" s="3" t="str">
        <f t="shared" si="6"/>
        <v>April</v>
      </c>
      <c r="E91" s="3" t="s">
        <v>5</v>
      </c>
      <c r="F91" s="3" t="str">
        <f t="shared" si="8"/>
        <v>Total hari kerja</v>
      </c>
      <c r="G91" s="12" t="s">
        <v>161</v>
      </c>
      <c r="H91" s="12">
        <v>2.5</v>
      </c>
    </row>
    <row r="92" spans="1:8" x14ac:dyDescent="0.35">
      <c r="A92" s="2">
        <v>46143</v>
      </c>
      <c r="B92" s="3" t="str">
        <f t="shared" si="7"/>
        <v>Fri</v>
      </c>
      <c r="C92" s="3">
        <f t="shared" si="5"/>
        <v>18</v>
      </c>
      <c r="D92" s="3" t="str">
        <f t="shared" si="6"/>
        <v>May</v>
      </c>
      <c r="E92" s="3" t="s">
        <v>5</v>
      </c>
      <c r="F92" s="3" t="str">
        <f t="shared" si="8"/>
        <v>Total hari kerja</v>
      </c>
      <c r="G92" s="12" t="s">
        <v>161</v>
      </c>
      <c r="H92" s="12">
        <v>2</v>
      </c>
    </row>
    <row r="93" spans="1:8" x14ac:dyDescent="0.35">
      <c r="A93" s="2">
        <v>46144</v>
      </c>
      <c r="B93" s="3" t="str">
        <f t="shared" si="7"/>
        <v>Sat</v>
      </c>
      <c r="C93" s="3">
        <f t="shared" si="5"/>
        <v>18</v>
      </c>
      <c r="D93" s="3" t="str">
        <f t="shared" si="6"/>
        <v>May</v>
      </c>
      <c r="E93" s="3" t="s">
        <v>5</v>
      </c>
      <c r="F93" s="3" t="str">
        <f t="shared" si="8"/>
        <v>Total hari kerja</v>
      </c>
      <c r="G93" s="12" t="s">
        <v>161</v>
      </c>
      <c r="H93" s="12">
        <v>2.5</v>
      </c>
    </row>
    <row r="94" spans="1:8" x14ac:dyDescent="0.35">
      <c r="A94" s="2">
        <v>46145</v>
      </c>
      <c r="B94" s="3" t="str">
        <f t="shared" si="7"/>
        <v>Sun</v>
      </c>
      <c r="C94" s="3">
        <f t="shared" si="5"/>
        <v>19</v>
      </c>
      <c r="D94" s="3" t="str">
        <f t="shared" si="6"/>
        <v>May</v>
      </c>
      <c r="E94" s="3"/>
      <c r="F94" s="3" t="str">
        <f t="shared" si="8"/>
        <v xml:space="preserve"> </v>
      </c>
      <c r="G94" s="12" t="s">
        <v>161</v>
      </c>
      <c r="H94" s="12"/>
    </row>
    <row r="95" spans="1:8" x14ac:dyDescent="0.35">
      <c r="A95" s="2">
        <v>46146</v>
      </c>
      <c r="B95" s="3" t="str">
        <f t="shared" si="7"/>
        <v>Mon</v>
      </c>
      <c r="C95" s="3">
        <f t="shared" si="5"/>
        <v>19</v>
      </c>
      <c r="D95" s="3" t="str">
        <f t="shared" si="6"/>
        <v>May</v>
      </c>
      <c r="E95" s="3" t="s">
        <v>5</v>
      </c>
      <c r="F95" s="3" t="str">
        <f t="shared" si="8"/>
        <v>Total hari kerja</v>
      </c>
      <c r="G95" s="12" t="s">
        <v>161</v>
      </c>
      <c r="H95" s="12">
        <v>3</v>
      </c>
    </row>
    <row r="96" spans="1:8" x14ac:dyDescent="0.35">
      <c r="A96" s="2">
        <v>46147</v>
      </c>
      <c r="B96" s="3" t="str">
        <f t="shared" si="7"/>
        <v>Tue</v>
      </c>
      <c r="C96" s="3">
        <f t="shared" si="5"/>
        <v>19</v>
      </c>
      <c r="D96" s="3" t="str">
        <f t="shared" si="6"/>
        <v>May</v>
      </c>
      <c r="E96" s="3" t="s">
        <v>5</v>
      </c>
      <c r="F96" s="3" t="str">
        <f t="shared" si="8"/>
        <v>Total hari kerja</v>
      </c>
      <c r="G96" s="12" t="s">
        <v>161</v>
      </c>
      <c r="H96" s="12">
        <v>3.5</v>
      </c>
    </row>
    <row r="97" spans="1:8" x14ac:dyDescent="0.35">
      <c r="A97" s="2">
        <v>46148</v>
      </c>
      <c r="B97" s="3" t="str">
        <f t="shared" si="7"/>
        <v>Wed</v>
      </c>
      <c r="C97" s="3">
        <f t="shared" si="5"/>
        <v>19</v>
      </c>
      <c r="D97" s="3" t="str">
        <f t="shared" si="6"/>
        <v>May</v>
      </c>
      <c r="E97" s="3" t="s">
        <v>5</v>
      </c>
      <c r="F97" s="3" t="str">
        <f t="shared" si="8"/>
        <v>Total hari kerja</v>
      </c>
      <c r="G97" s="12" t="s">
        <v>161</v>
      </c>
      <c r="H97" s="12">
        <v>2</v>
      </c>
    </row>
    <row r="98" spans="1:8" x14ac:dyDescent="0.35">
      <c r="A98" s="2">
        <v>46149</v>
      </c>
      <c r="B98" s="3" t="str">
        <f t="shared" si="7"/>
        <v>Thu</v>
      </c>
      <c r="C98" s="3">
        <f t="shared" si="5"/>
        <v>19</v>
      </c>
      <c r="D98" s="3" t="str">
        <f t="shared" si="6"/>
        <v>May</v>
      </c>
      <c r="E98" s="3" t="s">
        <v>5</v>
      </c>
      <c r="F98" s="3" t="str">
        <f t="shared" si="8"/>
        <v>Total hari kerja</v>
      </c>
      <c r="G98" s="12" t="s">
        <v>161</v>
      </c>
      <c r="H98" s="12">
        <v>2</v>
      </c>
    </row>
    <row r="99" spans="1:8" x14ac:dyDescent="0.35">
      <c r="A99" s="2">
        <v>46150</v>
      </c>
      <c r="B99" s="3" t="str">
        <f t="shared" si="7"/>
        <v>Fri</v>
      </c>
      <c r="C99" s="3">
        <f t="shared" si="5"/>
        <v>19</v>
      </c>
      <c r="D99" s="3" t="str">
        <f t="shared" si="6"/>
        <v>May</v>
      </c>
      <c r="E99" s="3" t="s">
        <v>5</v>
      </c>
      <c r="F99" s="3" t="str">
        <f t="shared" si="8"/>
        <v>Total hari kerja</v>
      </c>
      <c r="G99" s="12" t="s">
        <v>161</v>
      </c>
      <c r="H99" s="12">
        <v>1</v>
      </c>
    </row>
    <row r="100" spans="1:8" x14ac:dyDescent="0.35">
      <c r="A100" s="2">
        <v>46151</v>
      </c>
      <c r="B100" s="3" t="str">
        <f t="shared" si="7"/>
        <v>Sat</v>
      </c>
      <c r="C100" s="3">
        <f t="shared" si="5"/>
        <v>19</v>
      </c>
      <c r="D100" s="3" t="str">
        <f t="shared" si="6"/>
        <v>May</v>
      </c>
      <c r="E100" s="3" t="s">
        <v>5</v>
      </c>
      <c r="F100" s="3" t="str">
        <f t="shared" si="8"/>
        <v>Total hari kerja</v>
      </c>
      <c r="G100" s="12" t="s">
        <v>161</v>
      </c>
      <c r="H100" s="12">
        <v>2</v>
      </c>
    </row>
    <row r="101" spans="1:8" x14ac:dyDescent="0.35">
      <c r="A101" s="2">
        <v>46152</v>
      </c>
      <c r="B101" s="3" t="str">
        <f t="shared" si="7"/>
        <v>Sun</v>
      </c>
      <c r="C101" s="3">
        <f t="shared" si="5"/>
        <v>20</v>
      </c>
      <c r="D101" s="3" t="str">
        <f t="shared" si="6"/>
        <v>May</v>
      </c>
      <c r="E101" s="3"/>
      <c r="F101" s="3" t="str">
        <f t="shared" si="8"/>
        <v xml:space="preserve"> </v>
      </c>
      <c r="G101" s="12" t="s">
        <v>161</v>
      </c>
      <c r="H101" s="12"/>
    </row>
    <row r="102" spans="1:8" x14ac:dyDescent="0.35">
      <c r="A102" s="2">
        <v>46153</v>
      </c>
      <c r="B102" s="3" t="str">
        <f t="shared" si="7"/>
        <v>Mon</v>
      </c>
      <c r="C102" s="3">
        <f t="shared" ref="C102:C165" si="9">WEEKNUM(A102)</f>
        <v>20</v>
      </c>
      <c r="D102" s="3" t="str">
        <f t="shared" ref="D102:D165" si="10">TEXT(A102,"mmmm")</f>
        <v>May</v>
      </c>
      <c r="E102" s="3" t="s">
        <v>5</v>
      </c>
      <c r="F102" s="3" t="str">
        <f t="shared" si="8"/>
        <v>Total hari kerja</v>
      </c>
      <c r="G102" s="12" t="s">
        <v>161</v>
      </c>
      <c r="H102" s="12">
        <v>2</v>
      </c>
    </row>
    <row r="103" spans="1:8" x14ac:dyDescent="0.35">
      <c r="A103" s="2">
        <v>46154</v>
      </c>
      <c r="B103" s="3" t="str">
        <f t="shared" ref="B103:B166" si="11">TEXT(A103,"DDD")</f>
        <v>Tue</v>
      </c>
      <c r="C103" s="3">
        <f t="shared" si="9"/>
        <v>20</v>
      </c>
      <c r="D103" s="3" t="str">
        <f t="shared" si="10"/>
        <v>May</v>
      </c>
      <c r="E103" s="3" t="s">
        <v>5</v>
      </c>
      <c r="F103" s="3" t="str">
        <f t="shared" si="8"/>
        <v>Total hari kerja</v>
      </c>
      <c r="G103" s="12" t="s">
        <v>161</v>
      </c>
      <c r="H103" s="12">
        <v>2</v>
      </c>
    </row>
    <row r="104" spans="1:8" x14ac:dyDescent="0.35">
      <c r="A104" s="2">
        <v>46155</v>
      </c>
      <c r="B104" s="3" t="str">
        <f t="shared" si="11"/>
        <v>Wed</v>
      </c>
      <c r="C104" s="3">
        <f t="shared" si="9"/>
        <v>20</v>
      </c>
      <c r="D104" s="3" t="str">
        <f t="shared" si="10"/>
        <v>May</v>
      </c>
      <c r="E104" s="3" t="s">
        <v>5</v>
      </c>
      <c r="F104" s="3" t="str">
        <f t="shared" si="8"/>
        <v>Total hari kerja</v>
      </c>
      <c r="G104" s="12" t="s">
        <v>161</v>
      </c>
      <c r="H104" s="12">
        <v>1</v>
      </c>
    </row>
    <row r="105" spans="1:8" x14ac:dyDescent="0.35">
      <c r="A105" s="2">
        <v>46156</v>
      </c>
      <c r="B105" s="3" t="str">
        <f t="shared" si="11"/>
        <v>Thu</v>
      </c>
      <c r="C105" s="3">
        <f t="shared" si="9"/>
        <v>20</v>
      </c>
      <c r="D105" s="3" t="str">
        <f t="shared" si="10"/>
        <v>May</v>
      </c>
      <c r="E105" s="3" t="s">
        <v>5</v>
      </c>
      <c r="F105" s="3" t="str">
        <f t="shared" si="8"/>
        <v>Total hari kerja</v>
      </c>
      <c r="G105" s="12" t="s">
        <v>161</v>
      </c>
      <c r="H105" s="12">
        <v>2</v>
      </c>
    </row>
    <row r="106" spans="1:8" x14ac:dyDescent="0.35">
      <c r="A106" s="2">
        <v>46157</v>
      </c>
      <c r="B106" s="3" t="str">
        <f t="shared" si="11"/>
        <v>Fri</v>
      </c>
      <c r="C106" s="3">
        <f t="shared" si="9"/>
        <v>20</v>
      </c>
      <c r="D106" s="3" t="str">
        <f t="shared" si="10"/>
        <v>May</v>
      </c>
      <c r="E106" s="3" t="s">
        <v>5</v>
      </c>
      <c r="F106" s="3" t="str">
        <f t="shared" si="8"/>
        <v>Total hari kerja</v>
      </c>
      <c r="G106" s="12" t="s">
        <v>161</v>
      </c>
      <c r="H106" s="12">
        <v>2</v>
      </c>
    </row>
    <row r="107" spans="1:8" x14ac:dyDescent="0.35">
      <c r="A107" s="2">
        <v>46158</v>
      </c>
      <c r="B107" s="3" t="str">
        <f t="shared" si="11"/>
        <v>Sat</v>
      </c>
      <c r="C107" s="3">
        <f t="shared" si="9"/>
        <v>20</v>
      </c>
      <c r="D107" s="3" t="str">
        <f t="shared" si="10"/>
        <v>May</v>
      </c>
      <c r="E107" s="3" t="s">
        <v>135</v>
      </c>
      <c r="F107" s="3" t="str">
        <f t="shared" si="8"/>
        <v>Total hari kerja</v>
      </c>
      <c r="G107" s="12" t="s">
        <v>161</v>
      </c>
      <c r="H107" s="12">
        <v>1</v>
      </c>
    </row>
    <row r="108" spans="1:8" x14ac:dyDescent="0.35">
      <c r="A108" s="2">
        <v>46159</v>
      </c>
      <c r="B108" s="3" t="str">
        <f t="shared" si="11"/>
        <v>Sun</v>
      </c>
      <c r="C108" s="3">
        <f t="shared" si="9"/>
        <v>21</v>
      </c>
      <c r="D108" s="3" t="str">
        <f t="shared" si="10"/>
        <v>May</v>
      </c>
      <c r="E108" s="3"/>
      <c r="F108" s="3" t="str">
        <f t="shared" si="8"/>
        <v xml:space="preserve"> </v>
      </c>
      <c r="G108" s="12" t="s">
        <v>161</v>
      </c>
      <c r="H108" s="12"/>
    </row>
    <row r="109" spans="1:8" x14ac:dyDescent="0.35">
      <c r="A109" s="2">
        <v>46160</v>
      </c>
      <c r="B109" s="3" t="str">
        <f t="shared" si="11"/>
        <v>Mon</v>
      </c>
      <c r="C109" s="3">
        <f t="shared" si="9"/>
        <v>21</v>
      </c>
      <c r="D109" s="3" t="str">
        <f t="shared" si="10"/>
        <v>May</v>
      </c>
      <c r="E109" s="3" t="s">
        <v>5</v>
      </c>
      <c r="F109" s="3" t="str">
        <f t="shared" si="8"/>
        <v>Total hari kerja</v>
      </c>
      <c r="G109" s="12" t="s">
        <v>161</v>
      </c>
      <c r="H109" s="12">
        <v>2</v>
      </c>
    </row>
    <row r="110" spans="1:8" x14ac:dyDescent="0.35">
      <c r="A110" s="2">
        <v>46161</v>
      </c>
      <c r="B110" s="3" t="str">
        <f t="shared" si="11"/>
        <v>Tue</v>
      </c>
      <c r="C110" s="3">
        <f t="shared" si="9"/>
        <v>21</v>
      </c>
      <c r="D110" s="3" t="str">
        <f t="shared" si="10"/>
        <v>May</v>
      </c>
      <c r="E110" s="3" t="s">
        <v>5</v>
      </c>
      <c r="F110" s="3" t="str">
        <f t="shared" si="8"/>
        <v>Total hari kerja</v>
      </c>
      <c r="G110" s="12" t="s">
        <v>161</v>
      </c>
      <c r="H110" s="12">
        <v>2</v>
      </c>
    </row>
    <row r="111" spans="1:8" x14ac:dyDescent="0.35">
      <c r="A111" s="2">
        <v>46162</v>
      </c>
      <c r="B111" s="3" t="str">
        <f t="shared" si="11"/>
        <v>Wed</v>
      </c>
      <c r="C111" s="3">
        <f t="shared" si="9"/>
        <v>21</v>
      </c>
      <c r="D111" s="3" t="str">
        <f t="shared" si="10"/>
        <v>May</v>
      </c>
      <c r="E111" s="3" t="s">
        <v>5</v>
      </c>
      <c r="F111" s="3" t="str">
        <f t="shared" si="8"/>
        <v>Total hari kerja</v>
      </c>
      <c r="G111" s="12" t="s">
        <v>161</v>
      </c>
      <c r="H111" s="12">
        <v>1.5</v>
      </c>
    </row>
    <row r="112" spans="1:8" x14ac:dyDescent="0.35">
      <c r="A112" s="2">
        <v>46163</v>
      </c>
      <c r="B112" s="3" t="str">
        <f t="shared" si="11"/>
        <v>Thu</v>
      </c>
      <c r="C112" s="3">
        <f t="shared" si="9"/>
        <v>21</v>
      </c>
      <c r="D112" s="3" t="str">
        <f t="shared" si="10"/>
        <v>May</v>
      </c>
      <c r="E112" s="3" t="s">
        <v>5</v>
      </c>
      <c r="F112" s="3" t="str">
        <f t="shared" si="8"/>
        <v>Total hari kerja</v>
      </c>
      <c r="G112" s="12" t="s">
        <v>161</v>
      </c>
      <c r="H112" s="12">
        <v>2</v>
      </c>
    </row>
    <row r="113" spans="1:8" x14ac:dyDescent="0.35">
      <c r="A113" s="2">
        <v>46164</v>
      </c>
      <c r="B113" s="3" t="str">
        <f t="shared" si="11"/>
        <v>Fri</v>
      </c>
      <c r="C113" s="3">
        <f t="shared" si="9"/>
        <v>21</v>
      </c>
      <c r="D113" s="3" t="str">
        <f t="shared" si="10"/>
        <v>May</v>
      </c>
      <c r="E113" s="3" t="s">
        <v>5</v>
      </c>
      <c r="F113" s="3" t="str">
        <f t="shared" si="8"/>
        <v>Total hari kerja</v>
      </c>
      <c r="G113" s="12" t="s">
        <v>161</v>
      </c>
      <c r="H113" s="12">
        <v>1</v>
      </c>
    </row>
    <row r="114" spans="1:8" x14ac:dyDescent="0.35">
      <c r="A114" s="2">
        <v>46165</v>
      </c>
      <c r="B114" s="3" t="str">
        <f t="shared" si="11"/>
        <v>Sat</v>
      </c>
      <c r="C114" s="3">
        <f t="shared" si="9"/>
        <v>21</v>
      </c>
      <c r="D114" s="3" t="str">
        <f t="shared" si="10"/>
        <v>May</v>
      </c>
      <c r="E114" s="3" t="s">
        <v>5</v>
      </c>
      <c r="F114" s="3" t="str">
        <f t="shared" si="8"/>
        <v>Total hari kerja</v>
      </c>
      <c r="G114" s="12" t="s">
        <v>161</v>
      </c>
      <c r="H114" s="12">
        <v>1</v>
      </c>
    </row>
    <row r="115" spans="1:8" x14ac:dyDescent="0.35">
      <c r="A115" s="2">
        <v>46166</v>
      </c>
      <c r="B115" s="3" t="str">
        <f t="shared" si="11"/>
        <v>Sun</v>
      </c>
      <c r="C115" s="3">
        <f t="shared" si="9"/>
        <v>22</v>
      </c>
      <c r="D115" s="3" t="str">
        <f t="shared" si="10"/>
        <v>May</v>
      </c>
      <c r="E115" s="3"/>
      <c r="F115" s="3" t="str">
        <f t="shared" si="8"/>
        <v xml:space="preserve"> </v>
      </c>
      <c r="G115" s="12" t="s">
        <v>161</v>
      </c>
      <c r="H115" s="12"/>
    </row>
    <row r="116" spans="1:8" x14ac:dyDescent="0.35">
      <c r="A116" s="2">
        <v>46167</v>
      </c>
      <c r="B116" s="3" t="str">
        <f t="shared" si="11"/>
        <v>Mon</v>
      </c>
      <c r="C116" s="3">
        <f t="shared" si="9"/>
        <v>22</v>
      </c>
      <c r="D116" s="3" t="str">
        <f t="shared" si="10"/>
        <v>May</v>
      </c>
      <c r="E116" s="3" t="s">
        <v>5</v>
      </c>
      <c r="F116" s="3" t="str">
        <f t="shared" si="8"/>
        <v>Total hari kerja</v>
      </c>
      <c r="G116" s="12" t="s">
        <v>161</v>
      </c>
      <c r="H116" s="12">
        <v>3.5</v>
      </c>
    </row>
    <row r="117" spans="1:8" x14ac:dyDescent="0.35">
      <c r="A117" s="2">
        <v>46168</v>
      </c>
      <c r="B117" s="3" t="str">
        <f t="shared" si="11"/>
        <v>Tue</v>
      </c>
      <c r="C117" s="3">
        <f t="shared" si="9"/>
        <v>22</v>
      </c>
      <c r="D117" s="3" t="str">
        <f t="shared" si="10"/>
        <v>May</v>
      </c>
      <c r="E117" s="3" t="s">
        <v>5</v>
      </c>
      <c r="F117" s="3" t="str">
        <f t="shared" si="8"/>
        <v>Total hari kerja</v>
      </c>
      <c r="G117" s="12" t="s">
        <v>161</v>
      </c>
      <c r="H117" s="12">
        <v>1</v>
      </c>
    </row>
    <row r="118" spans="1:8" x14ac:dyDescent="0.35">
      <c r="A118" s="2">
        <v>46169</v>
      </c>
      <c r="B118" s="3" t="str">
        <f t="shared" si="11"/>
        <v>Wed</v>
      </c>
      <c r="C118" s="3">
        <f t="shared" si="9"/>
        <v>22</v>
      </c>
      <c r="D118" s="3" t="str">
        <f t="shared" si="10"/>
        <v>May</v>
      </c>
      <c r="E118" s="3" t="s">
        <v>140</v>
      </c>
      <c r="F118" s="3" t="str">
        <f t="shared" si="8"/>
        <v>MERAH</v>
      </c>
      <c r="G118" s="12" t="s">
        <v>161</v>
      </c>
      <c r="H118" s="12"/>
    </row>
    <row r="119" spans="1:8" x14ac:dyDescent="0.35">
      <c r="A119" s="2">
        <v>46170</v>
      </c>
      <c r="B119" s="3" t="str">
        <f t="shared" si="11"/>
        <v>Thu</v>
      </c>
      <c r="C119" s="3">
        <f t="shared" si="9"/>
        <v>22</v>
      </c>
      <c r="D119" s="3" t="str">
        <f t="shared" si="10"/>
        <v>May</v>
      </c>
      <c r="E119" s="3" t="s">
        <v>5</v>
      </c>
      <c r="F119" s="3" t="str">
        <f t="shared" si="8"/>
        <v>Total hari kerja</v>
      </c>
      <c r="G119" s="12" t="s">
        <v>161</v>
      </c>
      <c r="H119" s="12">
        <v>2</v>
      </c>
    </row>
    <row r="120" spans="1:8" x14ac:dyDescent="0.35">
      <c r="A120" s="2">
        <v>46171</v>
      </c>
      <c r="B120" s="3" t="str">
        <f t="shared" si="11"/>
        <v>Fri</v>
      </c>
      <c r="C120" s="3">
        <f t="shared" si="9"/>
        <v>22</v>
      </c>
      <c r="D120" s="3" t="str">
        <f t="shared" si="10"/>
        <v>May</v>
      </c>
      <c r="E120" s="3" t="s">
        <v>5</v>
      </c>
      <c r="F120" s="3" t="str">
        <f t="shared" si="8"/>
        <v>Total hari kerja</v>
      </c>
      <c r="G120" s="12" t="s">
        <v>161</v>
      </c>
      <c r="H120" s="12">
        <v>2</v>
      </c>
    </row>
    <row r="121" spans="1:8" x14ac:dyDescent="0.35">
      <c r="A121" s="2">
        <v>46172</v>
      </c>
      <c r="B121" s="3" t="str">
        <f t="shared" si="11"/>
        <v>Sat</v>
      </c>
      <c r="C121" s="3">
        <f t="shared" si="9"/>
        <v>22</v>
      </c>
      <c r="D121" s="3" t="str">
        <f t="shared" si="10"/>
        <v>May</v>
      </c>
      <c r="E121" s="3" t="s">
        <v>5</v>
      </c>
      <c r="F121" s="3" t="str">
        <f t="shared" si="8"/>
        <v>Total hari kerja</v>
      </c>
      <c r="G121" s="12" t="s">
        <v>161</v>
      </c>
      <c r="H121" s="12"/>
    </row>
    <row r="122" spans="1:8" x14ac:dyDescent="0.35">
      <c r="A122" s="2">
        <v>46173</v>
      </c>
      <c r="B122" s="3" t="str">
        <f t="shared" si="11"/>
        <v>Sun</v>
      </c>
      <c r="C122" s="3">
        <f t="shared" si="9"/>
        <v>23</v>
      </c>
      <c r="D122" s="3" t="str">
        <f t="shared" si="10"/>
        <v>May</v>
      </c>
      <c r="E122" s="3"/>
      <c r="F122" s="3" t="str">
        <f t="shared" si="8"/>
        <v xml:space="preserve"> </v>
      </c>
      <c r="G122" s="12" t="s">
        <v>161</v>
      </c>
      <c r="H122" s="12"/>
    </row>
    <row r="123" spans="1:8" x14ac:dyDescent="0.35">
      <c r="A123" s="2">
        <v>46174</v>
      </c>
      <c r="B123" s="3" t="str">
        <f t="shared" si="11"/>
        <v>Mon</v>
      </c>
      <c r="C123" s="3">
        <f t="shared" si="9"/>
        <v>23</v>
      </c>
      <c r="D123" s="3" t="str">
        <f t="shared" si="10"/>
        <v>June</v>
      </c>
      <c r="E123" s="3" t="s">
        <v>5</v>
      </c>
      <c r="F123" s="3" t="str">
        <f t="shared" si="8"/>
        <v>Total hari kerja</v>
      </c>
      <c r="G123" s="12" t="s">
        <v>161</v>
      </c>
      <c r="H123" s="12">
        <v>4</v>
      </c>
    </row>
    <row r="124" spans="1:8" x14ac:dyDescent="0.35">
      <c r="A124" s="2">
        <v>46175</v>
      </c>
      <c r="B124" s="3" t="str">
        <f t="shared" si="11"/>
        <v>Tue</v>
      </c>
      <c r="C124" s="3">
        <f t="shared" si="9"/>
        <v>23</v>
      </c>
      <c r="D124" s="3" t="str">
        <f t="shared" si="10"/>
        <v>June</v>
      </c>
      <c r="E124" s="3" t="s">
        <v>5</v>
      </c>
      <c r="F124" s="3" t="str">
        <f t="shared" si="8"/>
        <v>Total hari kerja</v>
      </c>
      <c r="G124" s="12" t="s">
        <v>161</v>
      </c>
      <c r="H124" s="12">
        <v>1</v>
      </c>
    </row>
    <row r="125" spans="1:8" x14ac:dyDescent="0.35">
      <c r="A125" s="2">
        <v>46176</v>
      </c>
      <c r="B125" s="3" t="str">
        <f t="shared" si="11"/>
        <v>Wed</v>
      </c>
      <c r="C125" s="3">
        <f t="shared" si="9"/>
        <v>23</v>
      </c>
      <c r="D125" s="3" t="str">
        <f t="shared" si="10"/>
        <v>June</v>
      </c>
      <c r="E125" s="3" t="s">
        <v>5</v>
      </c>
      <c r="F125" s="3" t="str">
        <f t="shared" si="8"/>
        <v>Total hari kerja</v>
      </c>
      <c r="G125" s="12" t="s">
        <v>161</v>
      </c>
      <c r="H125" s="12">
        <v>1</v>
      </c>
    </row>
    <row r="126" spans="1:8" x14ac:dyDescent="0.35">
      <c r="A126" s="2">
        <v>46177</v>
      </c>
      <c r="B126" s="3" t="str">
        <f t="shared" si="11"/>
        <v>Thu</v>
      </c>
      <c r="C126" s="3">
        <f t="shared" si="9"/>
        <v>23</v>
      </c>
      <c r="D126" s="3" t="str">
        <f t="shared" si="10"/>
        <v>June</v>
      </c>
      <c r="E126" s="3" t="s">
        <v>5</v>
      </c>
      <c r="F126" s="3" t="str">
        <f t="shared" si="8"/>
        <v>Total hari kerja</v>
      </c>
      <c r="G126" s="12" t="s">
        <v>161</v>
      </c>
      <c r="H126" s="12">
        <v>2.5</v>
      </c>
    </row>
    <row r="127" spans="1:8" x14ac:dyDescent="0.35">
      <c r="A127" s="2">
        <v>46178</v>
      </c>
      <c r="B127" s="3" t="str">
        <f t="shared" si="11"/>
        <v>Fri</v>
      </c>
      <c r="C127" s="3">
        <f t="shared" si="9"/>
        <v>23</v>
      </c>
      <c r="D127" s="3" t="str">
        <f t="shared" si="10"/>
        <v>June</v>
      </c>
      <c r="E127" s="3" t="s">
        <v>5</v>
      </c>
      <c r="F127" s="3" t="str">
        <f t="shared" si="8"/>
        <v>Total hari kerja</v>
      </c>
      <c r="G127" s="12" t="s">
        <v>161</v>
      </c>
      <c r="H127" s="12">
        <v>2</v>
      </c>
    </row>
    <row r="128" spans="1:8" x14ac:dyDescent="0.35">
      <c r="A128" s="2">
        <v>46179</v>
      </c>
      <c r="B128" s="3" t="str">
        <f t="shared" si="11"/>
        <v>Sat</v>
      </c>
      <c r="C128" s="3">
        <f t="shared" si="9"/>
        <v>23</v>
      </c>
      <c r="D128" s="3" t="str">
        <f t="shared" si="10"/>
        <v>June</v>
      </c>
      <c r="E128" s="3" t="s">
        <v>5</v>
      </c>
      <c r="F128" s="3" t="str">
        <f t="shared" si="8"/>
        <v>Total hari kerja</v>
      </c>
      <c r="G128" s="12" t="s">
        <v>161</v>
      </c>
      <c r="H128" s="12">
        <v>3</v>
      </c>
    </row>
    <row r="129" spans="1:8" x14ac:dyDescent="0.35">
      <c r="A129" s="2">
        <v>46180</v>
      </c>
      <c r="B129" s="3" t="str">
        <f t="shared" si="11"/>
        <v>Sun</v>
      </c>
      <c r="C129" s="3">
        <f t="shared" si="9"/>
        <v>24</v>
      </c>
      <c r="D129" s="3" t="str">
        <f t="shared" si="10"/>
        <v>June</v>
      </c>
      <c r="E129" s="3"/>
      <c r="F129" s="3" t="str">
        <f t="shared" si="8"/>
        <v xml:space="preserve"> </v>
      </c>
      <c r="G129" s="12" t="s">
        <v>161</v>
      </c>
      <c r="H129" s="12"/>
    </row>
    <row r="130" spans="1:8" x14ac:dyDescent="0.35">
      <c r="A130" s="2">
        <v>46181</v>
      </c>
      <c r="B130" s="3" t="str">
        <f t="shared" si="11"/>
        <v>Mon</v>
      </c>
      <c r="C130" s="3">
        <f t="shared" si="9"/>
        <v>24</v>
      </c>
      <c r="D130" s="3" t="str">
        <f t="shared" si="10"/>
        <v>June</v>
      </c>
      <c r="E130" s="3" t="s">
        <v>5</v>
      </c>
      <c r="F130" s="3" t="str">
        <f t="shared" si="8"/>
        <v>Total hari kerja</v>
      </c>
      <c r="G130" s="12" t="s">
        <v>161</v>
      </c>
      <c r="H130" s="12">
        <v>4.5</v>
      </c>
    </row>
    <row r="131" spans="1:8" x14ac:dyDescent="0.35">
      <c r="A131" s="2">
        <v>46182</v>
      </c>
      <c r="B131" s="3" t="str">
        <f t="shared" si="11"/>
        <v>Tue</v>
      </c>
      <c r="C131" s="3">
        <f t="shared" si="9"/>
        <v>24</v>
      </c>
      <c r="D131" s="3" t="str">
        <f t="shared" si="10"/>
        <v>June</v>
      </c>
      <c r="E131" s="3" t="s">
        <v>5</v>
      </c>
      <c r="F131" s="3" t="str">
        <f t="shared" ref="F131:F194" si="12">IF(E131="J1",$L$3,IF(E131="J2",$L$4,IF(E131="J3",$L$5,IF(E131="J4",$L$6,IF(E131="J5",$L$7," ")))))</f>
        <v>Total hari kerja</v>
      </c>
      <c r="G131" s="12" t="s">
        <v>161</v>
      </c>
      <c r="H131" s="12">
        <v>3</v>
      </c>
    </row>
    <row r="132" spans="1:8" x14ac:dyDescent="0.35">
      <c r="A132" s="2">
        <v>46183</v>
      </c>
      <c r="B132" s="3" t="str">
        <f t="shared" si="11"/>
        <v>Wed</v>
      </c>
      <c r="C132" s="3">
        <f t="shared" si="9"/>
        <v>24</v>
      </c>
      <c r="D132" s="3" t="str">
        <f t="shared" si="10"/>
        <v>June</v>
      </c>
      <c r="E132" s="3" t="s">
        <v>5</v>
      </c>
      <c r="F132" s="3" t="str">
        <f t="shared" si="12"/>
        <v>Total hari kerja</v>
      </c>
      <c r="G132" s="12" t="s">
        <v>161</v>
      </c>
      <c r="H132" s="12">
        <v>1</v>
      </c>
    </row>
    <row r="133" spans="1:8" x14ac:dyDescent="0.35">
      <c r="A133" s="2">
        <v>46184</v>
      </c>
      <c r="B133" s="3" t="str">
        <f t="shared" si="11"/>
        <v>Thu</v>
      </c>
      <c r="C133" s="3">
        <f t="shared" si="9"/>
        <v>24</v>
      </c>
      <c r="D133" s="3" t="str">
        <f t="shared" si="10"/>
        <v>June</v>
      </c>
      <c r="E133" s="3" t="s">
        <v>5</v>
      </c>
      <c r="F133" s="3" t="str">
        <f t="shared" si="12"/>
        <v>Total hari kerja</v>
      </c>
      <c r="G133" s="12" t="s">
        <v>161</v>
      </c>
      <c r="H133" s="12">
        <v>2</v>
      </c>
    </row>
    <row r="134" spans="1:8" x14ac:dyDescent="0.35">
      <c r="A134" s="2">
        <v>46185</v>
      </c>
      <c r="B134" s="3" t="str">
        <f t="shared" si="11"/>
        <v>Fri</v>
      </c>
      <c r="C134" s="3">
        <f t="shared" si="9"/>
        <v>24</v>
      </c>
      <c r="D134" s="3" t="str">
        <f t="shared" si="10"/>
        <v>June</v>
      </c>
      <c r="E134" s="3" t="s">
        <v>5</v>
      </c>
      <c r="F134" s="3" t="str">
        <f t="shared" si="12"/>
        <v>Total hari kerja</v>
      </c>
      <c r="G134" s="12" t="s">
        <v>161</v>
      </c>
      <c r="H134" s="12">
        <v>4</v>
      </c>
    </row>
    <row r="135" spans="1:8" x14ac:dyDescent="0.35">
      <c r="A135" s="2">
        <v>46186</v>
      </c>
      <c r="B135" s="3" t="str">
        <f t="shared" si="11"/>
        <v>Sat</v>
      </c>
      <c r="C135" s="3">
        <f t="shared" si="9"/>
        <v>24</v>
      </c>
      <c r="D135" s="3" t="str">
        <f t="shared" si="10"/>
        <v>June</v>
      </c>
      <c r="E135" s="3" t="s">
        <v>5</v>
      </c>
      <c r="F135" s="3" t="str">
        <f t="shared" si="12"/>
        <v>Total hari kerja</v>
      </c>
      <c r="G135" s="12" t="s">
        <v>161</v>
      </c>
      <c r="H135" s="12">
        <v>1.5</v>
      </c>
    </row>
    <row r="136" spans="1:8" x14ac:dyDescent="0.35">
      <c r="A136" s="2">
        <v>46187</v>
      </c>
      <c r="B136" s="3" t="str">
        <f t="shared" si="11"/>
        <v>Sun</v>
      </c>
      <c r="C136" s="3">
        <f t="shared" si="9"/>
        <v>25</v>
      </c>
      <c r="D136" s="3" t="str">
        <f t="shared" si="10"/>
        <v>June</v>
      </c>
      <c r="E136" s="3"/>
      <c r="F136" s="3" t="str">
        <f t="shared" si="12"/>
        <v xml:space="preserve"> </v>
      </c>
      <c r="G136" s="12" t="s">
        <v>161</v>
      </c>
      <c r="H136" s="12"/>
    </row>
    <row r="137" spans="1:8" x14ac:dyDescent="0.35">
      <c r="A137" s="2">
        <v>46188</v>
      </c>
      <c r="B137" s="3" t="str">
        <f t="shared" si="11"/>
        <v>Mon</v>
      </c>
      <c r="C137" s="3">
        <f t="shared" si="9"/>
        <v>25</v>
      </c>
      <c r="D137" s="3" t="str">
        <f t="shared" si="10"/>
        <v>June</v>
      </c>
      <c r="E137" s="3" t="s">
        <v>135</v>
      </c>
      <c r="F137" s="3" t="str">
        <f t="shared" si="12"/>
        <v>Total hari kerja</v>
      </c>
      <c r="G137" s="12" t="s">
        <v>161</v>
      </c>
      <c r="H137" s="12">
        <v>3.5</v>
      </c>
    </row>
    <row r="138" spans="1:8" x14ac:dyDescent="0.35">
      <c r="A138" s="2">
        <v>46189</v>
      </c>
      <c r="B138" s="3" t="str">
        <f t="shared" si="11"/>
        <v>Tue</v>
      </c>
      <c r="C138" s="3">
        <f t="shared" si="9"/>
        <v>25</v>
      </c>
      <c r="D138" s="3" t="str">
        <f t="shared" si="10"/>
        <v>June</v>
      </c>
      <c r="E138" s="3" t="s">
        <v>135</v>
      </c>
      <c r="F138" s="3" t="str">
        <f t="shared" si="12"/>
        <v>Total hari kerja</v>
      </c>
      <c r="G138" s="12" t="s">
        <v>161</v>
      </c>
      <c r="H138" s="12">
        <v>1</v>
      </c>
    </row>
    <row r="139" spans="1:8" x14ac:dyDescent="0.35">
      <c r="A139" s="2">
        <v>46190</v>
      </c>
      <c r="B139" s="3" t="str">
        <f t="shared" si="11"/>
        <v>Wed</v>
      </c>
      <c r="C139" s="3">
        <f t="shared" si="9"/>
        <v>25</v>
      </c>
      <c r="D139" s="3" t="str">
        <f t="shared" si="10"/>
        <v>June</v>
      </c>
      <c r="E139" s="3" t="s">
        <v>135</v>
      </c>
      <c r="F139" s="3" t="str">
        <f t="shared" si="12"/>
        <v>Total hari kerja</v>
      </c>
      <c r="G139" s="12" t="s">
        <v>161</v>
      </c>
      <c r="H139" s="12">
        <v>0</v>
      </c>
    </row>
    <row r="140" spans="1:8" x14ac:dyDescent="0.35">
      <c r="A140" s="2">
        <v>46191</v>
      </c>
      <c r="B140" s="3" t="str">
        <f t="shared" si="11"/>
        <v>Thu</v>
      </c>
      <c r="C140" s="3">
        <f t="shared" si="9"/>
        <v>25</v>
      </c>
      <c r="D140" s="3" t="str">
        <f t="shared" si="10"/>
        <v>June</v>
      </c>
      <c r="E140" s="3" t="s">
        <v>135</v>
      </c>
      <c r="F140" s="3" t="str">
        <f t="shared" si="12"/>
        <v>Total hari kerja</v>
      </c>
      <c r="G140" s="12" t="s">
        <v>161</v>
      </c>
      <c r="H140" s="12">
        <v>1</v>
      </c>
    </row>
    <row r="141" spans="1:8" x14ac:dyDescent="0.35">
      <c r="A141" s="2">
        <v>46192</v>
      </c>
      <c r="B141" s="3" t="str">
        <f t="shared" si="11"/>
        <v>Fri</v>
      </c>
      <c r="C141" s="3">
        <f t="shared" si="9"/>
        <v>25</v>
      </c>
      <c r="D141" s="3" t="str">
        <f t="shared" si="10"/>
        <v>June</v>
      </c>
      <c r="E141" s="3" t="s">
        <v>135</v>
      </c>
      <c r="F141" s="3" t="str">
        <f t="shared" si="12"/>
        <v>Total hari kerja</v>
      </c>
      <c r="G141" s="12" t="s">
        <v>161</v>
      </c>
      <c r="H141" s="12">
        <v>1</v>
      </c>
    </row>
    <row r="142" spans="1:8" x14ac:dyDescent="0.35">
      <c r="A142" s="2">
        <v>46193</v>
      </c>
      <c r="B142" s="3" t="str">
        <f t="shared" si="11"/>
        <v>Sat</v>
      </c>
      <c r="C142" s="3">
        <f t="shared" si="9"/>
        <v>25</v>
      </c>
      <c r="D142" s="3" t="str">
        <f t="shared" si="10"/>
        <v>June</v>
      </c>
      <c r="E142" s="3" t="s">
        <v>135</v>
      </c>
      <c r="F142" s="3" t="str">
        <f t="shared" si="12"/>
        <v>Total hari kerja</v>
      </c>
      <c r="G142" s="12" t="s">
        <v>161</v>
      </c>
      <c r="H142" s="12">
        <v>1.5</v>
      </c>
    </row>
    <row r="143" spans="1:8" x14ac:dyDescent="0.35">
      <c r="A143" s="2">
        <v>46194</v>
      </c>
      <c r="B143" s="3" t="str">
        <f t="shared" si="11"/>
        <v>Sun</v>
      </c>
      <c r="C143" s="3">
        <f t="shared" si="9"/>
        <v>26</v>
      </c>
      <c r="D143" s="3" t="str">
        <f t="shared" si="10"/>
        <v>June</v>
      </c>
      <c r="E143" s="3"/>
      <c r="F143" s="3" t="str">
        <f t="shared" si="12"/>
        <v xml:space="preserve"> </v>
      </c>
      <c r="G143" s="12" t="s">
        <v>161</v>
      </c>
      <c r="H143" s="12"/>
    </row>
    <row r="144" spans="1:8" x14ac:dyDescent="0.35">
      <c r="A144" s="2">
        <v>46195</v>
      </c>
      <c r="B144" s="3" t="str">
        <f t="shared" si="11"/>
        <v>Mon</v>
      </c>
      <c r="C144" s="3">
        <f t="shared" si="9"/>
        <v>26</v>
      </c>
      <c r="D144" s="3" t="str">
        <f t="shared" si="10"/>
        <v>June</v>
      </c>
      <c r="E144" s="3" t="s">
        <v>135</v>
      </c>
      <c r="F144" s="3" t="str">
        <f t="shared" si="12"/>
        <v>Total hari kerja</v>
      </c>
      <c r="G144" s="12" t="s">
        <v>161</v>
      </c>
      <c r="H144" s="12">
        <v>1</v>
      </c>
    </row>
    <row r="145" spans="1:8" x14ac:dyDescent="0.35">
      <c r="A145" s="2">
        <v>46196</v>
      </c>
      <c r="B145" s="3" t="str">
        <f t="shared" si="11"/>
        <v>Tue</v>
      </c>
      <c r="C145" s="3">
        <f t="shared" si="9"/>
        <v>26</v>
      </c>
      <c r="D145" s="3" t="str">
        <f t="shared" si="10"/>
        <v>June</v>
      </c>
      <c r="E145" s="3" t="s">
        <v>135</v>
      </c>
      <c r="F145" s="3" t="str">
        <f t="shared" si="12"/>
        <v>Total hari kerja</v>
      </c>
      <c r="G145" s="12" t="s">
        <v>161</v>
      </c>
      <c r="H145" s="12">
        <v>1.5</v>
      </c>
    </row>
    <row r="146" spans="1:8" x14ac:dyDescent="0.35">
      <c r="A146" s="2">
        <v>46197</v>
      </c>
      <c r="B146" s="3" t="str">
        <f t="shared" si="11"/>
        <v>Wed</v>
      </c>
      <c r="C146" s="3">
        <f t="shared" si="9"/>
        <v>26</v>
      </c>
      <c r="D146" s="3" t="str">
        <f t="shared" si="10"/>
        <v>June</v>
      </c>
      <c r="E146" s="3" t="s">
        <v>135</v>
      </c>
      <c r="F146" s="3" t="str">
        <f t="shared" si="12"/>
        <v>Total hari kerja</v>
      </c>
      <c r="G146" s="12" t="s">
        <v>161</v>
      </c>
      <c r="H146" s="12">
        <v>0</v>
      </c>
    </row>
    <row r="147" spans="1:8" x14ac:dyDescent="0.35">
      <c r="A147" s="2">
        <v>46198</v>
      </c>
      <c r="B147" s="3" t="str">
        <f t="shared" si="11"/>
        <v>Thu</v>
      </c>
      <c r="C147" s="3">
        <f t="shared" si="9"/>
        <v>26</v>
      </c>
      <c r="D147" s="3" t="str">
        <f t="shared" si="10"/>
        <v>June</v>
      </c>
      <c r="E147" s="3" t="s">
        <v>135</v>
      </c>
      <c r="F147" s="3" t="str">
        <f t="shared" si="12"/>
        <v>Total hari kerja</v>
      </c>
      <c r="G147" s="12" t="s">
        <v>161</v>
      </c>
      <c r="H147" s="12">
        <v>0</v>
      </c>
    </row>
    <row r="148" spans="1:8" x14ac:dyDescent="0.35">
      <c r="A148" s="2">
        <v>46199</v>
      </c>
      <c r="B148" s="3" t="str">
        <f t="shared" si="11"/>
        <v>Fri</v>
      </c>
      <c r="C148" s="3">
        <f t="shared" si="9"/>
        <v>26</v>
      </c>
      <c r="D148" s="3" t="str">
        <f t="shared" si="10"/>
        <v>June</v>
      </c>
      <c r="E148" s="3" t="s">
        <v>135</v>
      </c>
      <c r="F148" s="3" t="str">
        <f t="shared" si="12"/>
        <v>Total hari kerja</v>
      </c>
      <c r="G148" s="12" t="s">
        <v>161</v>
      </c>
      <c r="H148" s="12">
        <v>0</v>
      </c>
    </row>
    <row r="149" spans="1:8" x14ac:dyDescent="0.35">
      <c r="A149" s="2">
        <v>46200</v>
      </c>
      <c r="B149" s="3" t="str">
        <f t="shared" si="11"/>
        <v>Sat</v>
      </c>
      <c r="C149" s="3">
        <f t="shared" si="9"/>
        <v>26</v>
      </c>
      <c r="D149" s="3" t="str">
        <f t="shared" si="10"/>
        <v>June</v>
      </c>
      <c r="E149" s="3" t="s">
        <v>135</v>
      </c>
      <c r="F149" s="3" t="str">
        <f t="shared" si="12"/>
        <v>Total hari kerja</v>
      </c>
      <c r="G149" s="12" t="s">
        <v>161</v>
      </c>
      <c r="H149" s="12">
        <v>1</v>
      </c>
    </row>
    <row r="150" spans="1:8" x14ac:dyDescent="0.35">
      <c r="A150" s="2">
        <v>46201</v>
      </c>
      <c r="B150" s="3" t="str">
        <f t="shared" si="11"/>
        <v>Sun</v>
      </c>
      <c r="C150" s="3">
        <f t="shared" si="9"/>
        <v>27</v>
      </c>
      <c r="D150" s="3" t="str">
        <f t="shared" si="10"/>
        <v>June</v>
      </c>
      <c r="E150" s="3"/>
      <c r="F150" s="3" t="str">
        <f t="shared" si="12"/>
        <v xml:space="preserve"> </v>
      </c>
      <c r="G150" s="12" t="s">
        <v>161</v>
      </c>
      <c r="H150" s="12">
        <v>0</v>
      </c>
    </row>
    <row r="151" spans="1:8" x14ac:dyDescent="0.35">
      <c r="A151" s="2">
        <v>46202</v>
      </c>
      <c r="B151" s="3" t="str">
        <f t="shared" si="11"/>
        <v>Mon</v>
      </c>
      <c r="C151" s="3">
        <f t="shared" si="9"/>
        <v>27</v>
      </c>
      <c r="D151" s="3" t="str">
        <f t="shared" si="10"/>
        <v>June</v>
      </c>
      <c r="E151" s="3" t="s">
        <v>135</v>
      </c>
      <c r="F151" s="3" t="str">
        <f t="shared" si="12"/>
        <v>Total hari kerja</v>
      </c>
      <c r="G151" s="12" t="s">
        <v>161</v>
      </c>
      <c r="H151" s="12">
        <v>1</v>
      </c>
    </row>
    <row r="152" spans="1:8" x14ac:dyDescent="0.35">
      <c r="A152" s="2">
        <v>46203</v>
      </c>
      <c r="B152" s="3" t="str">
        <f t="shared" si="11"/>
        <v>Tue</v>
      </c>
      <c r="C152" s="3">
        <f t="shared" si="9"/>
        <v>27</v>
      </c>
      <c r="D152" s="3" t="str">
        <f t="shared" si="10"/>
        <v>June</v>
      </c>
      <c r="E152" s="3" t="s">
        <v>135</v>
      </c>
      <c r="F152" s="3" t="str">
        <f t="shared" si="12"/>
        <v>Total hari kerja</v>
      </c>
      <c r="G152" s="12" t="s">
        <v>161</v>
      </c>
      <c r="H152" s="12">
        <v>1</v>
      </c>
    </row>
    <row r="153" spans="1:8" x14ac:dyDescent="0.35">
      <c r="A153" s="2">
        <v>46204</v>
      </c>
      <c r="B153" s="3" t="str">
        <f t="shared" si="11"/>
        <v>Wed</v>
      </c>
      <c r="C153" s="3">
        <f t="shared" si="9"/>
        <v>27</v>
      </c>
      <c r="D153" s="3" t="str">
        <f t="shared" si="10"/>
        <v>July</v>
      </c>
      <c r="E153" s="3" t="s">
        <v>135</v>
      </c>
      <c r="F153" s="3" t="str">
        <f t="shared" si="12"/>
        <v>Total hari kerja</v>
      </c>
      <c r="G153" s="12" t="s">
        <v>161</v>
      </c>
      <c r="H153" s="12"/>
    </row>
    <row r="154" spans="1:8" x14ac:dyDescent="0.35">
      <c r="A154" s="2">
        <v>46205</v>
      </c>
      <c r="B154" s="3" t="str">
        <f t="shared" si="11"/>
        <v>Thu</v>
      </c>
      <c r="C154" s="3">
        <f t="shared" si="9"/>
        <v>27</v>
      </c>
      <c r="D154" s="3" t="str">
        <f t="shared" si="10"/>
        <v>July</v>
      </c>
      <c r="E154" s="3" t="s">
        <v>135</v>
      </c>
      <c r="F154" s="3" t="str">
        <f t="shared" si="12"/>
        <v>Total hari kerja</v>
      </c>
      <c r="G154" s="12" t="s">
        <v>161</v>
      </c>
      <c r="H154" s="12"/>
    </row>
    <row r="155" spans="1:8" x14ac:dyDescent="0.35">
      <c r="A155" s="2">
        <v>46206</v>
      </c>
      <c r="B155" s="3" t="str">
        <f t="shared" si="11"/>
        <v>Fri</v>
      </c>
      <c r="C155" s="3">
        <f t="shared" si="9"/>
        <v>27</v>
      </c>
      <c r="D155" s="3" t="str">
        <f t="shared" si="10"/>
        <v>July</v>
      </c>
      <c r="E155" s="3" t="s">
        <v>135</v>
      </c>
      <c r="F155" s="3" t="str">
        <f t="shared" si="12"/>
        <v>Total hari kerja</v>
      </c>
      <c r="G155" s="12" t="s">
        <v>161</v>
      </c>
      <c r="H155" s="12"/>
    </row>
    <row r="156" spans="1:8" x14ac:dyDescent="0.35">
      <c r="A156" s="2">
        <v>46207</v>
      </c>
      <c r="B156" s="3" t="str">
        <f t="shared" si="11"/>
        <v>Sat</v>
      </c>
      <c r="C156" s="3">
        <f t="shared" si="9"/>
        <v>27</v>
      </c>
      <c r="D156" s="3" t="str">
        <f t="shared" si="10"/>
        <v>July</v>
      </c>
      <c r="E156" s="3" t="s">
        <v>135</v>
      </c>
      <c r="F156" s="3" t="str">
        <f t="shared" si="12"/>
        <v>Total hari kerja</v>
      </c>
      <c r="G156" s="12" t="s">
        <v>161</v>
      </c>
      <c r="H156" s="12">
        <v>1</v>
      </c>
    </row>
    <row r="157" spans="1:8" x14ac:dyDescent="0.35">
      <c r="A157" s="2">
        <v>46208</v>
      </c>
      <c r="B157" s="3" t="str">
        <f t="shared" si="11"/>
        <v>Sun</v>
      </c>
      <c r="C157" s="3">
        <f t="shared" si="9"/>
        <v>28</v>
      </c>
      <c r="D157" s="3" t="str">
        <f t="shared" si="10"/>
        <v>July</v>
      </c>
      <c r="E157" s="3"/>
      <c r="F157" s="3" t="str">
        <f t="shared" si="12"/>
        <v xml:space="preserve"> </v>
      </c>
      <c r="G157" s="12" t="s">
        <v>161</v>
      </c>
      <c r="H157" s="12"/>
    </row>
    <row r="158" spans="1:8" x14ac:dyDescent="0.35">
      <c r="A158" s="2">
        <v>46209</v>
      </c>
      <c r="B158" s="3" t="str">
        <f t="shared" si="11"/>
        <v>Mon</v>
      </c>
      <c r="C158" s="3">
        <f t="shared" si="9"/>
        <v>28</v>
      </c>
      <c r="D158" s="3" t="str">
        <f t="shared" si="10"/>
        <v>July</v>
      </c>
      <c r="E158" s="3" t="s">
        <v>135</v>
      </c>
      <c r="F158" s="3" t="str">
        <f t="shared" si="12"/>
        <v>Total hari kerja</v>
      </c>
      <c r="G158" s="12" t="s">
        <v>161</v>
      </c>
      <c r="H158" s="12">
        <v>1</v>
      </c>
    </row>
    <row r="159" spans="1:8" x14ac:dyDescent="0.35">
      <c r="A159" s="2">
        <v>46210</v>
      </c>
      <c r="B159" s="3" t="str">
        <f t="shared" si="11"/>
        <v>Tue</v>
      </c>
      <c r="C159" s="3">
        <f t="shared" si="9"/>
        <v>28</v>
      </c>
      <c r="D159" s="3" t="str">
        <f t="shared" si="10"/>
        <v>July</v>
      </c>
      <c r="E159" s="3" t="s">
        <v>135</v>
      </c>
      <c r="F159" s="3" t="str">
        <f t="shared" si="12"/>
        <v>Total hari kerja</v>
      </c>
      <c r="G159" s="12" t="s">
        <v>161</v>
      </c>
      <c r="H159" s="12"/>
    </row>
    <row r="160" spans="1:8" x14ac:dyDescent="0.35">
      <c r="A160" s="2">
        <v>46211</v>
      </c>
      <c r="B160" s="3" t="str">
        <f t="shared" si="11"/>
        <v>Wed</v>
      </c>
      <c r="C160" s="3">
        <f t="shared" si="9"/>
        <v>28</v>
      </c>
      <c r="D160" s="3" t="str">
        <f t="shared" si="10"/>
        <v>July</v>
      </c>
      <c r="E160" s="3" t="s">
        <v>135</v>
      </c>
      <c r="F160" s="3" t="str">
        <f t="shared" si="12"/>
        <v>Total hari kerja</v>
      </c>
      <c r="G160" s="12" t="s">
        <v>161</v>
      </c>
      <c r="H160" s="12"/>
    </row>
    <row r="161" spans="1:8" x14ac:dyDescent="0.35">
      <c r="A161" s="2">
        <v>46212</v>
      </c>
      <c r="B161" s="3" t="str">
        <f t="shared" si="11"/>
        <v>Thu</v>
      </c>
      <c r="C161" s="3">
        <f t="shared" si="9"/>
        <v>28</v>
      </c>
      <c r="D161" s="3" t="str">
        <f t="shared" si="10"/>
        <v>July</v>
      </c>
      <c r="E161" s="3" t="s">
        <v>135</v>
      </c>
      <c r="F161" s="3" t="str">
        <f t="shared" si="12"/>
        <v>Total hari kerja</v>
      </c>
      <c r="G161" s="12" t="s">
        <v>161</v>
      </c>
      <c r="H161" s="12"/>
    </row>
    <row r="162" spans="1:8" x14ac:dyDescent="0.35">
      <c r="A162" s="2">
        <v>46213</v>
      </c>
      <c r="B162" s="3" t="str">
        <f t="shared" si="11"/>
        <v>Fri</v>
      </c>
      <c r="C162" s="3">
        <f t="shared" si="9"/>
        <v>28</v>
      </c>
      <c r="D162" s="3" t="str">
        <f t="shared" si="10"/>
        <v>July</v>
      </c>
      <c r="E162" s="3" t="s">
        <v>135</v>
      </c>
      <c r="F162" s="3" t="str">
        <f t="shared" si="12"/>
        <v>Total hari kerja</v>
      </c>
      <c r="G162" s="12" t="s">
        <v>161</v>
      </c>
      <c r="H162" s="12"/>
    </row>
    <row r="163" spans="1:8" x14ac:dyDescent="0.35">
      <c r="A163" s="2">
        <v>46214</v>
      </c>
      <c r="B163" s="3" t="str">
        <f t="shared" si="11"/>
        <v>Sat</v>
      </c>
      <c r="C163" s="3">
        <f t="shared" si="9"/>
        <v>28</v>
      </c>
      <c r="D163" s="3" t="str">
        <f t="shared" si="10"/>
        <v>July</v>
      </c>
      <c r="E163" s="3" t="s">
        <v>135</v>
      </c>
      <c r="F163" s="3" t="str">
        <f t="shared" si="12"/>
        <v>Total hari kerja</v>
      </c>
      <c r="G163" s="12" t="s">
        <v>161</v>
      </c>
      <c r="H163" s="12"/>
    </row>
    <row r="164" spans="1:8" x14ac:dyDescent="0.35">
      <c r="A164" s="2">
        <v>46215</v>
      </c>
      <c r="B164" s="3" t="str">
        <f t="shared" si="11"/>
        <v>Sun</v>
      </c>
      <c r="C164" s="3">
        <f t="shared" si="9"/>
        <v>29</v>
      </c>
      <c r="D164" s="3" t="str">
        <f t="shared" si="10"/>
        <v>July</v>
      </c>
      <c r="E164" s="3"/>
      <c r="F164" s="3" t="str">
        <f t="shared" si="12"/>
        <v xml:space="preserve"> </v>
      </c>
      <c r="G164" s="12" t="s">
        <v>161</v>
      </c>
      <c r="H164" s="12"/>
    </row>
    <row r="165" spans="1:8" x14ac:dyDescent="0.35">
      <c r="A165" s="2">
        <v>46216</v>
      </c>
      <c r="B165" s="3" t="str">
        <f t="shared" si="11"/>
        <v>Mon</v>
      </c>
      <c r="C165" s="3">
        <f t="shared" si="9"/>
        <v>29</v>
      </c>
      <c r="D165" s="3" t="str">
        <f t="shared" si="10"/>
        <v>July</v>
      </c>
      <c r="E165" s="3" t="s">
        <v>135</v>
      </c>
      <c r="F165" s="3" t="str">
        <f t="shared" si="12"/>
        <v>Total hari kerja</v>
      </c>
      <c r="G165" s="12" t="s">
        <v>161</v>
      </c>
      <c r="H165" s="12">
        <v>1</v>
      </c>
    </row>
    <row r="166" spans="1:8" x14ac:dyDescent="0.35">
      <c r="A166" s="2">
        <v>46217</v>
      </c>
      <c r="B166" s="3" t="str">
        <f t="shared" si="11"/>
        <v>Tue</v>
      </c>
      <c r="C166" s="3">
        <f t="shared" ref="C166:C229" si="13">WEEKNUM(A166)</f>
        <v>29</v>
      </c>
      <c r="D166" s="3" t="str">
        <f t="shared" ref="D166:D229" si="14">TEXT(A166,"mmmm")</f>
        <v>July</v>
      </c>
      <c r="E166" s="3" t="s">
        <v>135</v>
      </c>
      <c r="F166" s="3" t="str">
        <f t="shared" si="12"/>
        <v>Total hari kerja</v>
      </c>
      <c r="G166" s="12" t="s">
        <v>161</v>
      </c>
      <c r="H166" s="12"/>
    </row>
    <row r="167" spans="1:8" x14ac:dyDescent="0.35">
      <c r="A167" s="2">
        <v>46218</v>
      </c>
      <c r="B167" s="3" t="str">
        <f t="shared" ref="B167:B230" si="15">TEXT(A167,"DDD")</f>
        <v>Wed</v>
      </c>
      <c r="C167" s="3">
        <f t="shared" si="13"/>
        <v>29</v>
      </c>
      <c r="D167" s="3" t="str">
        <f t="shared" si="14"/>
        <v>July</v>
      </c>
      <c r="E167" s="3" t="s">
        <v>135</v>
      </c>
      <c r="F167" s="3" t="str">
        <f t="shared" si="12"/>
        <v>Total hari kerja</v>
      </c>
      <c r="G167" s="12" t="s">
        <v>161</v>
      </c>
      <c r="H167" s="12">
        <v>1</v>
      </c>
    </row>
    <row r="168" spans="1:8" x14ac:dyDescent="0.35">
      <c r="A168" s="2">
        <v>46219</v>
      </c>
      <c r="B168" s="3" t="str">
        <f t="shared" si="15"/>
        <v>Thu</v>
      </c>
      <c r="C168" s="3">
        <f t="shared" si="13"/>
        <v>29</v>
      </c>
      <c r="D168" s="3" t="str">
        <f t="shared" si="14"/>
        <v>July</v>
      </c>
      <c r="E168" s="3" t="s">
        <v>135</v>
      </c>
      <c r="F168" s="3" t="str">
        <f t="shared" si="12"/>
        <v>Total hari kerja</v>
      </c>
      <c r="G168" s="12" t="s">
        <v>161</v>
      </c>
      <c r="H168" s="12">
        <v>1</v>
      </c>
    </row>
    <row r="169" spans="1:8" x14ac:dyDescent="0.35">
      <c r="A169" s="2">
        <v>46220</v>
      </c>
      <c r="B169" s="3" t="str">
        <f t="shared" si="15"/>
        <v>Fri</v>
      </c>
      <c r="C169" s="3">
        <f t="shared" si="13"/>
        <v>29</v>
      </c>
      <c r="D169" s="3" t="str">
        <f t="shared" si="14"/>
        <v>July</v>
      </c>
      <c r="E169" s="3" t="s">
        <v>135</v>
      </c>
      <c r="F169" s="3" t="str">
        <f t="shared" si="12"/>
        <v>Total hari kerja</v>
      </c>
      <c r="G169" s="12" t="s">
        <v>161</v>
      </c>
      <c r="H169" s="12">
        <v>1</v>
      </c>
    </row>
    <row r="170" spans="1:8" x14ac:dyDescent="0.35">
      <c r="A170" s="2">
        <v>46221</v>
      </c>
      <c r="B170" s="3" t="str">
        <f t="shared" si="15"/>
        <v>Sat</v>
      </c>
      <c r="C170" s="3">
        <f t="shared" si="13"/>
        <v>29</v>
      </c>
      <c r="D170" s="3" t="str">
        <f t="shared" si="14"/>
        <v>July</v>
      </c>
      <c r="E170" s="3" t="s">
        <v>135</v>
      </c>
      <c r="F170" s="3" t="str">
        <f t="shared" si="12"/>
        <v>Total hari kerja</v>
      </c>
      <c r="G170" s="12" t="s">
        <v>161</v>
      </c>
      <c r="H170" s="12">
        <v>2</v>
      </c>
    </row>
    <row r="171" spans="1:8" x14ac:dyDescent="0.35">
      <c r="A171" s="2">
        <v>46222</v>
      </c>
      <c r="B171" s="3" t="str">
        <f t="shared" si="15"/>
        <v>Sun</v>
      </c>
      <c r="C171" s="3">
        <f t="shared" si="13"/>
        <v>30</v>
      </c>
      <c r="D171" s="3" t="str">
        <f t="shared" si="14"/>
        <v>July</v>
      </c>
      <c r="E171" s="3"/>
      <c r="F171" s="3" t="str">
        <f t="shared" si="12"/>
        <v xml:space="preserve"> </v>
      </c>
      <c r="G171" s="12" t="s">
        <v>161</v>
      </c>
      <c r="H171" s="12"/>
    </row>
    <row r="172" spans="1:8" x14ac:dyDescent="0.35">
      <c r="A172" s="2">
        <v>46223</v>
      </c>
      <c r="B172" s="3" t="str">
        <f t="shared" si="15"/>
        <v>Mon</v>
      </c>
      <c r="C172" s="3">
        <f t="shared" si="13"/>
        <v>30</v>
      </c>
      <c r="D172" s="3" t="str">
        <f t="shared" si="14"/>
        <v>July</v>
      </c>
      <c r="E172" s="3" t="s">
        <v>135</v>
      </c>
      <c r="F172" s="3" t="str">
        <f t="shared" si="12"/>
        <v>Total hari kerja</v>
      </c>
      <c r="G172" s="12" t="s">
        <v>161</v>
      </c>
      <c r="H172" s="12">
        <v>2</v>
      </c>
    </row>
    <row r="173" spans="1:8" x14ac:dyDescent="0.35">
      <c r="A173" s="2">
        <v>46224</v>
      </c>
      <c r="B173" s="3" t="str">
        <f t="shared" si="15"/>
        <v>Tue</v>
      </c>
      <c r="C173" s="3">
        <f t="shared" si="13"/>
        <v>30</v>
      </c>
      <c r="D173" s="3" t="str">
        <f t="shared" si="14"/>
        <v>July</v>
      </c>
      <c r="E173" s="3" t="s">
        <v>135</v>
      </c>
      <c r="F173" s="3" t="str">
        <f t="shared" si="12"/>
        <v>Total hari kerja</v>
      </c>
      <c r="G173" s="12" t="s">
        <v>161</v>
      </c>
      <c r="H173" s="12">
        <v>1</v>
      </c>
    </row>
    <row r="174" spans="1:8" x14ac:dyDescent="0.35">
      <c r="A174" s="2">
        <v>46225</v>
      </c>
      <c r="B174" s="3" t="str">
        <f t="shared" si="15"/>
        <v>Wed</v>
      </c>
      <c r="C174" s="3">
        <f t="shared" si="13"/>
        <v>30</v>
      </c>
      <c r="D174" s="3" t="str">
        <f t="shared" si="14"/>
        <v>July</v>
      </c>
      <c r="E174" s="3" t="s">
        <v>135</v>
      </c>
      <c r="F174" s="3" t="str">
        <f t="shared" si="12"/>
        <v>Total hari kerja</v>
      </c>
      <c r="G174" s="12" t="s">
        <v>161</v>
      </c>
      <c r="H174" s="12">
        <v>1</v>
      </c>
    </row>
    <row r="175" spans="1:8" x14ac:dyDescent="0.35">
      <c r="A175" s="2">
        <v>46226</v>
      </c>
      <c r="B175" s="3" t="str">
        <f t="shared" si="15"/>
        <v>Thu</v>
      </c>
      <c r="C175" s="3">
        <f t="shared" si="13"/>
        <v>30</v>
      </c>
      <c r="D175" s="3" t="str">
        <f t="shared" si="14"/>
        <v>July</v>
      </c>
      <c r="E175" s="3" t="s">
        <v>135</v>
      </c>
      <c r="F175" s="3" t="str">
        <f t="shared" si="12"/>
        <v>Total hari kerja</v>
      </c>
      <c r="G175" s="12" t="s">
        <v>161</v>
      </c>
      <c r="H175" s="12">
        <v>1</v>
      </c>
    </row>
    <row r="176" spans="1:8" x14ac:dyDescent="0.35">
      <c r="A176" s="2">
        <v>46227</v>
      </c>
      <c r="B176" s="3" t="str">
        <f t="shared" si="15"/>
        <v>Fri</v>
      </c>
      <c r="C176" s="3">
        <f t="shared" si="13"/>
        <v>30</v>
      </c>
      <c r="D176" s="3" t="str">
        <f t="shared" si="14"/>
        <v>July</v>
      </c>
      <c r="E176" s="3" t="s">
        <v>135</v>
      </c>
      <c r="F176" s="3" t="str">
        <f t="shared" si="12"/>
        <v>Total hari kerja</v>
      </c>
      <c r="G176" s="12" t="s">
        <v>161</v>
      </c>
      <c r="H176" s="12"/>
    </row>
    <row r="177" spans="1:8" x14ac:dyDescent="0.35">
      <c r="A177" s="2">
        <v>46228</v>
      </c>
      <c r="B177" s="3" t="str">
        <f t="shared" si="15"/>
        <v>Sat</v>
      </c>
      <c r="C177" s="3">
        <f t="shared" si="13"/>
        <v>30</v>
      </c>
      <c r="D177" s="3" t="str">
        <f t="shared" si="14"/>
        <v>July</v>
      </c>
      <c r="E177" s="3" t="s">
        <v>135</v>
      </c>
      <c r="F177" s="3" t="str">
        <f t="shared" si="12"/>
        <v>Total hari kerja</v>
      </c>
      <c r="G177" s="12" t="s">
        <v>161</v>
      </c>
      <c r="H177" s="12"/>
    </row>
    <row r="178" spans="1:8" x14ac:dyDescent="0.35">
      <c r="A178" s="2">
        <v>46229</v>
      </c>
      <c r="B178" s="3" t="str">
        <f t="shared" si="15"/>
        <v>Sun</v>
      </c>
      <c r="C178" s="3">
        <f t="shared" si="13"/>
        <v>31</v>
      </c>
      <c r="D178" s="3" t="str">
        <f t="shared" si="14"/>
        <v>July</v>
      </c>
      <c r="E178" s="3"/>
      <c r="F178" s="3" t="str">
        <f t="shared" si="12"/>
        <v xml:space="preserve"> </v>
      </c>
      <c r="G178" s="12" t="s">
        <v>161</v>
      </c>
      <c r="H178" s="12"/>
    </row>
    <row r="179" spans="1:8" x14ac:dyDescent="0.35">
      <c r="A179" s="2">
        <v>46230</v>
      </c>
      <c r="B179" s="3" t="str">
        <f t="shared" si="15"/>
        <v>Mon</v>
      </c>
      <c r="C179" s="3">
        <f t="shared" si="13"/>
        <v>31</v>
      </c>
      <c r="D179" s="3" t="str">
        <f t="shared" si="14"/>
        <v>July</v>
      </c>
      <c r="E179" s="3" t="s">
        <v>135</v>
      </c>
      <c r="F179" s="3" t="str">
        <f t="shared" si="12"/>
        <v>Total hari kerja</v>
      </c>
      <c r="G179" s="12" t="s">
        <v>161</v>
      </c>
      <c r="H179" s="12"/>
    </row>
    <row r="180" spans="1:8" x14ac:dyDescent="0.35">
      <c r="A180" s="2">
        <v>46231</v>
      </c>
      <c r="B180" s="3" t="str">
        <f t="shared" si="15"/>
        <v>Tue</v>
      </c>
      <c r="C180" s="3">
        <f t="shared" si="13"/>
        <v>31</v>
      </c>
      <c r="D180" s="3" t="str">
        <f t="shared" si="14"/>
        <v>July</v>
      </c>
      <c r="E180" s="3" t="s">
        <v>135</v>
      </c>
      <c r="F180" s="3" t="str">
        <f t="shared" si="12"/>
        <v>Total hari kerja</v>
      </c>
      <c r="G180" s="12" t="s">
        <v>161</v>
      </c>
      <c r="H180" s="12"/>
    </row>
    <row r="181" spans="1:8" x14ac:dyDescent="0.35">
      <c r="A181" s="2">
        <v>46232</v>
      </c>
      <c r="B181" s="3" t="str">
        <f t="shared" si="15"/>
        <v>Wed</v>
      </c>
      <c r="C181" s="3">
        <f t="shared" si="13"/>
        <v>31</v>
      </c>
      <c r="D181" s="3" t="str">
        <f t="shared" si="14"/>
        <v>July</v>
      </c>
      <c r="E181" s="3" t="s">
        <v>135</v>
      </c>
      <c r="F181" s="3" t="str">
        <f t="shared" si="12"/>
        <v>Total hari kerja</v>
      </c>
      <c r="G181" s="12" t="s">
        <v>161</v>
      </c>
      <c r="H181" s="12"/>
    </row>
    <row r="182" spans="1:8" x14ac:dyDescent="0.35">
      <c r="A182" s="2">
        <v>46233</v>
      </c>
      <c r="B182" s="3" t="str">
        <f t="shared" si="15"/>
        <v>Thu</v>
      </c>
      <c r="C182" s="3">
        <f t="shared" si="13"/>
        <v>31</v>
      </c>
      <c r="D182" s="3" t="str">
        <f t="shared" si="14"/>
        <v>July</v>
      </c>
      <c r="E182" s="3" t="s">
        <v>135</v>
      </c>
      <c r="F182" s="3" t="str">
        <f t="shared" si="12"/>
        <v>Total hari kerja</v>
      </c>
      <c r="G182" s="12" t="s">
        <v>161</v>
      </c>
      <c r="H182" s="12"/>
    </row>
    <row r="183" spans="1:8" x14ac:dyDescent="0.35">
      <c r="A183" s="2">
        <v>46234</v>
      </c>
      <c r="B183" s="3" t="str">
        <f t="shared" si="15"/>
        <v>Fri</v>
      </c>
      <c r="C183" s="3">
        <f t="shared" si="13"/>
        <v>31</v>
      </c>
      <c r="D183" s="3" t="str">
        <f t="shared" si="14"/>
        <v>July</v>
      </c>
      <c r="E183" s="3" t="s">
        <v>135</v>
      </c>
      <c r="F183" s="3" t="str">
        <f t="shared" si="12"/>
        <v>Total hari kerja</v>
      </c>
      <c r="G183" s="12" t="s">
        <v>161</v>
      </c>
      <c r="H183" s="12"/>
    </row>
    <row r="184" spans="1:8" x14ac:dyDescent="0.35">
      <c r="A184" s="2">
        <v>46235</v>
      </c>
      <c r="B184" s="3" t="str">
        <f t="shared" si="15"/>
        <v>Sat</v>
      </c>
      <c r="C184" s="3">
        <f t="shared" si="13"/>
        <v>31</v>
      </c>
      <c r="D184" s="3" t="str">
        <f t="shared" si="14"/>
        <v>August</v>
      </c>
      <c r="E184" s="3" t="s">
        <v>135</v>
      </c>
      <c r="F184" s="3" t="str">
        <f t="shared" si="12"/>
        <v>Total hari kerja</v>
      </c>
      <c r="G184" s="12" t="s">
        <v>161</v>
      </c>
      <c r="H184" s="12">
        <v>1.5</v>
      </c>
    </row>
    <row r="185" spans="1:8" x14ac:dyDescent="0.35">
      <c r="A185" s="2">
        <v>46236</v>
      </c>
      <c r="B185" s="3" t="str">
        <f t="shared" si="15"/>
        <v>Sun</v>
      </c>
      <c r="C185" s="3">
        <f t="shared" si="13"/>
        <v>32</v>
      </c>
      <c r="D185" s="3" t="str">
        <f t="shared" si="14"/>
        <v>August</v>
      </c>
      <c r="E185" s="3"/>
      <c r="F185" s="3" t="str">
        <f t="shared" si="12"/>
        <v xml:space="preserve"> </v>
      </c>
      <c r="G185" s="12" t="s">
        <v>161</v>
      </c>
      <c r="H185" s="12"/>
    </row>
    <row r="186" spans="1:8" x14ac:dyDescent="0.35">
      <c r="A186" s="2">
        <v>46237</v>
      </c>
      <c r="B186" s="3" t="str">
        <f t="shared" si="15"/>
        <v>Mon</v>
      </c>
      <c r="C186" s="3">
        <f t="shared" si="13"/>
        <v>32</v>
      </c>
      <c r="D186" s="3" t="str">
        <f t="shared" si="14"/>
        <v>August</v>
      </c>
      <c r="E186" s="3" t="s">
        <v>135</v>
      </c>
      <c r="F186" s="3" t="str">
        <f t="shared" si="12"/>
        <v>Total hari kerja</v>
      </c>
      <c r="G186" s="12" t="s">
        <v>161</v>
      </c>
      <c r="H186" s="12">
        <v>2.5</v>
      </c>
    </row>
    <row r="187" spans="1:8" x14ac:dyDescent="0.35">
      <c r="A187" s="2">
        <v>46238</v>
      </c>
      <c r="B187" s="3" t="str">
        <f t="shared" si="15"/>
        <v>Tue</v>
      </c>
      <c r="C187" s="3">
        <f t="shared" si="13"/>
        <v>32</v>
      </c>
      <c r="D187" s="3" t="str">
        <f t="shared" si="14"/>
        <v>August</v>
      </c>
      <c r="E187" s="3" t="s">
        <v>135</v>
      </c>
      <c r="F187" s="3" t="str">
        <f t="shared" si="12"/>
        <v>Total hari kerja</v>
      </c>
      <c r="G187" s="12" t="s">
        <v>161</v>
      </c>
      <c r="H187" s="12">
        <v>2.5</v>
      </c>
    </row>
    <row r="188" spans="1:8" x14ac:dyDescent="0.35">
      <c r="A188" s="2">
        <v>46239</v>
      </c>
      <c r="B188" s="3" t="str">
        <f t="shared" si="15"/>
        <v>Wed</v>
      </c>
      <c r="C188" s="3">
        <f t="shared" si="13"/>
        <v>32</v>
      </c>
      <c r="D188" s="3" t="str">
        <f t="shared" si="14"/>
        <v>August</v>
      </c>
      <c r="E188" s="3" t="s">
        <v>135</v>
      </c>
      <c r="F188" s="3" t="str">
        <f t="shared" si="12"/>
        <v>Total hari kerja</v>
      </c>
      <c r="G188" s="12" t="s">
        <v>161</v>
      </c>
      <c r="H188" s="12">
        <v>1</v>
      </c>
    </row>
    <row r="189" spans="1:8" x14ac:dyDescent="0.35">
      <c r="A189" s="2">
        <v>46240</v>
      </c>
      <c r="B189" s="3" t="str">
        <f t="shared" si="15"/>
        <v>Thu</v>
      </c>
      <c r="C189" s="3">
        <f t="shared" si="13"/>
        <v>32</v>
      </c>
      <c r="D189" s="3" t="str">
        <f t="shared" si="14"/>
        <v>August</v>
      </c>
      <c r="E189" s="3" t="s">
        <v>135</v>
      </c>
      <c r="F189" s="3" t="str">
        <f t="shared" si="12"/>
        <v>Total hari kerja</v>
      </c>
      <c r="G189" s="12" t="s">
        <v>161</v>
      </c>
      <c r="H189" s="12">
        <v>1</v>
      </c>
    </row>
    <row r="190" spans="1:8" x14ac:dyDescent="0.35">
      <c r="A190" s="2">
        <v>46241</v>
      </c>
      <c r="B190" s="3" t="str">
        <f t="shared" si="15"/>
        <v>Fri</v>
      </c>
      <c r="C190" s="3">
        <f t="shared" si="13"/>
        <v>32</v>
      </c>
      <c r="D190" s="3" t="str">
        <f t="shared" si="14"/>
        <v>August</v>
      </c>
      <c r="E190" s="3" t="s">
        <v>135</v>
      </c>
      <c r="F190" s="3" t="str">
        <f t="shared" si="12"/>
        <v>Total hari kerja</v>
      </c>
      <c r="G190" s="12" t="s">
        <v>161</v>
      </c>
      <c r="H190" s="12">
        <v>1.5</v>
      </c>
    </row>
    <row r="191" spans="1:8" x14ac:dyDescent="0.35">
      <c r="A191" s="2">
        <v>46242</v>
      </c>
      <c r="B191" s="3" t="str">
        <f t="shared" si="15"/>
        <v>Sat</v>
      </c>
      <c r="C191" s="3">
        <f t="shared" si="13"/>
        <v>32</v>
      </c>
      <c r="D191" s="3" t="str">
        <f t="shared" si="14"/>
        <v>August</v>
      </c>
      <c r="E191" s="3" t="s">
        <v>135</v>
      </c>
      <c r="F191" s="3" t="str">
        <f t="shared" si="12"/>
        <v>Total hari kerja</v>
      </c>
      <c r="G191" s="12" t="s">
        <v>161</v>
      </c>
      <c r="H191" s="12">
        <v>1</v>
      </c>
    </row>
    <row r="192" spans="1:8" x14ac:dyDescent="0.35">
      <c r="A192" s="2">
        <v>46243</v>
      </c>
      <c r="B192" s="3" t="str">
        <f t="shared" si="15"/>
        <v>Sun</v>
      </c>
      <c r="C192" s="3">
        <f t="shared" si="13"/>
        <v>33</v>
      </c>
      <c r="D192" s="3" t="str">
        <f t="shared" si="14"/>
        <v>August</v>
      </c>
      <c r="E192" s="3"/>
      <c r="F192" s="3" t="str">
        <f t="shared" si="12"/>
        <v xml:space="preserve"> </v>
      </c>
      <c r="G192" s="12" t="s">
        <v>161</v>
      </c>
      <c r="H192" s="12"/>
    </row>
    <row r="193" spans="1:8" x14ac:dyDescent="0.35">
      <c r="A193" s="2">
        <v>46244</v>
      </c>
      <c r="B193" s="3" t="str">
        <f t="shared" si="15"/>
        <v>Mon</v>
      </c>
      <c r="C193" s="3">
        <f t="shared" si="13"/>
        <v>33</v>
      </c>
      <c r="D193" s="3" t="str">
        <f t="shared" si="14"/>
        <v>August</v>
      </c>
      <c r="E193" s="3" t="s">
        <v>135</v>
      </c>
      <c r="F193" s="3" t="str">
        <f t="shared" si="12"/>
        <v>Total hari kerja</v>
      </c>
      <c r="G193" s="12" t="s">
        <v>161</v>
      </c>
      <c r="H193" s="12">
        <v>4</v>
      </c>
    </row>
    <row r="194" spans="1:8" x14ac:dyDescent="0.35">
      <c r="A194" s="2">
        <v>46245</v>
      </c>
      <c r="B194" s="3" t="str">
        <f t="shared" si="15"/>
        <v>Tue</v>
      </c>
      <c r="C194" s="3">
        <f t="shared" si="13"/>
        <v>33</v>
      </c>
      <c r="D194" s="3" t="str">
        <f t="shared" si="14"/>
        <v>August</v>
      </c>
      <c r="E194" s="3" t="s">
        <v>135</v>
      </c>
      <c r="F194" s="3" t="str">
        <f t="shared" si="12"/>
        <v>Total hari kerja</v>
      </c>
      <c r="G194" s="12" t="s">
        <v>161</v>
      </c>
      <c r="H194" s="12">
        <v>2</v>
      </c>
    </row>
    <row r="195" spans="1:8" x14ac:dyDescent="0.35">
      <c r="A195" s="2">
        <v>46246</v>
      </c>
      <c r="B195" s="3" t="str">
        <f t="shared" si="15"/>
        <v>Wed</v>
      </c>
      <c r="C195" s="3">
        <f t="shared" si="13"/>
        <v>33</v>
      </c>
      <c r="D195" s="3" t="str">
        <f t="shared" si="14"/>
        <v>August</v>
      </c>
      <c r="E195" s="3" t="s">
        <v>135</v>
      </c>
      <c r="F195" s="3" t="str">
        <f t="shared" ref="F195:F258" si="16">IF(E195="J1",$L$3,IF(E195="J2",$L$4,IF(E195="J3",$L$5,IF(E195="J4",$L$6,IF(E195="J5",$L$7," ")))))</f>
        <v>Total hari kerja</v>
      </c>
      <c r="G195" s="12" t="s">
        <v>161</v>
      </c>
      <c r="H195" s="12">
        <v>2</v>
      </c>
    </row>
    <row r="196" spans="1:8" x14ac:dyDescent="0.35">
      <c r="A196" s="2">
        <v>46247</v>
      </c>
      <c r="B196" s="3" t="str">
        <f t="shared" si="15"/>
        <v>Thu</v>
      </c>
      <c r="C196" s="3">
        <f t="shared" si="13"/>
        <v>33</v>
      </c>
      <c r="D196" s="3" t="str">
        <f t="shared" si="14"/>
        <v>August</v>
      </c>
      <c r="E196" s="3" t="s">
        <v>135</v>
      </c>
      <c r="F196" s="3" t="str">
        <f t="shared" si="16"/>
        <v>Total hari kerja</v>
      </c>
      <c r="G196" s="12" t="s">
        <v>161</v>
      </c>
      <c r="H196" s="12">
        <v>2</v>
      </c>
    </row>
    <row r="197" spans="1:8" x14ac:dyDescent="0.35">
      <c r="A197" s="2">
        <v>46248</v>
      </c>
      <c r="B197" s="3" t="str">
        <f t="shared" si="15"/>
        <v>Fri</v>
      </c>
      <c r="C197" s="3">
        <f t="shared" si="13"/>
        <v>33</v>
      </c>
      <c r="D197" s="3" t="str">
        <f t="shared" si="14"/>
        <v>August</v>
      </c>
      <c r="E197" s="3" t="s">
        <v>135</v>
      </c>
      <c r="F197" s="3" t="str">
        <f t="shared" si="16"/>
        <v>Total hari kerja</v>
      </c>
      <c r="G197" s="12" t="s">
        <v>161</v>
      </c>
      <c r="H197" s="12">
        <v>1.5</v>
      </c>
    </row>
    <row r="198" spans="1:8" x14ac:dyDescent="0.35">
      <c r="A198" s="2">
        <v>46249</v>
      </c>
      <c r="B198" s="3" t="str">
        <f t="shared" si="15"/>
        <v>Sat</v>
      </c>
      <c r="C198" s="3">
        <f t="shared" si="13"/>
        <v>33</v>
      </c>
      <c r="D198" s="3" t="str">
        <f t="shared" si="14"/>
        <v>August</v>
      </c>
      <c r="E198" s="3" t="s">
        <v>135</v>
      </c>
      <c r="F198" s="3" t="str">
        <f t="shared" si="16"/>
        <v>Total hari kerja</v>
      </c>
      <c r="G198" s="12" t="s">
        <v>161</v>
      </c>
      <c r="H198" s="12">
        <v>1</v>
      </c>
    </row>
    <row r="199" spans="1:8" x14ac:dyDescent="0.35">
      <c r="A199" s="2">
        <v>46250</v>
      </c>
      <c r="B199" s="3" t="str">
        <f t="shared" si="15"/>
        <v>Sun</v>
      </c>
      <c r="C199" s="3">
        <f t="shared" si="13"/>
        <v>34</v>
      </c>
      <c r="D199" s="3" t="str">
        <f t="shared" si="14"/>
        <v>August</v>
      </c>
      <c r="E199" s="3"/>
      <c r="F199" s="3" t="str">
        <f t="shared" si="16"/>
        <v xml:space="preserve"> </v>
      </c>
      <c r="G199" s="12" t="s">
        <v>161</v>
      </c>
      <c r="H199" s="12"/>
    </row>
    <row r="200" spans="1:8" x14ac:dyDescent="0.35">
      <c r="A200" s="2">
        <v>46251</v>
      </c>
      <c r="B200" s="3" t="str">
        <f t="shared" si="15"/>
        <v>Mon</v>
      </c>
      <c r="C200" s="3">
        <f t="shared" si="13"/>
        <v>34</v>
      </c>
      <c r="D200" s="3" t="str">
        <f t="shared" si="14"/>
        <v>August</v>
      </c>
      <c r="E200" s="3" t="s">
        <v>135</v>
      </c>
      <c r="F200" s="3" t="str">
        <f t="shared" si="16"/>
        <v>Total hari kerja</v>
      </c>
      <c r="G200" s="12" t="s">
        <v>161</v>
      </c>
      <c r="H200" s="12"/>
    </row>
    <row r="201" spans="1:8" x14ac:dyDescent="0.35">
      <c r="A201" s="2">
        <v>46252</v>
      </c>
      <c r="B201" s="3" t="str">
        <f t="shared" si="15"/>
        <v>Tue</v>
      </c>
      <c r="C201" s="3">
        <f t="shared" si="13"/>
        <v>34</v>
      </c>
      <c r="D201" s="3" t="str">
        <f t="shared" si="14"/>
        <v>August</v>
      </c>
      <c r="E201" s="3" t="s">
        <v>135</v>
      </c>
      <c r="F201" s="3" t="str">
        <f t="shared" si="16"/>
        <v>Total hari kerja</v>
      </c>
      <c r="G201" s="12" t="s">
        <v>161</v>
      </c>
      <c r="H201" s="12">
        <v>2.5</v>
      </c>
    </row>
    <row r="202" spans="1:8" x14ac:dyDescent="0.35">
      <c r="A202" s="2">
        <v>46253</v>
      </c>
      <c r="B202" s="3" t="str">
        <f t="shared" si="15"/>
        <v>Wed</v>
      </c>
      <c r="C202" s="3">
        <f t="shared" si="13"/>
        <v>34</v>
      </c>
      <c r="D202" s="3" t="str">
        <f t="shared" si="14"/>
        <v>August</v>
      </c>
      <c r="E202" s="3" t="s">
        <v>135</v>
      </c>
      <c r="F202" s="3" t="str">
        <f t="shared" si="16"/>
        <v>Total hari kerja</v>
      </c>
      <c r="G202" s="12" t="s">
        <v>161</v>
      </c>
      <c r="H202" s="12">
        <v>1</v>
      </c>
    </row>
    <row r="203" spans="1:8" x14ac:dyDescent="0.35">
      <c r="A203" s="2">
        <v>46254</v>
      </c>
      <c r="B203" s="3" t="str">
        <f t="shared" si="15"/>
        <v>Thu</v>
      </c>
      <c r="C203" s="3">
        <f t="shared" si="13"/>
        <v>34</v>
      </c>
      <c r="D203" s="3" t="str">
        <f t="shared" si="14"/>
        <v>August</v>
      </c>
      <c r="E203" s="3" t="s">
        <v>135</v>
      </c>
      <c r="F203" s="3" t="str">
        <f t="shared" si="16"/>
        <v>Total hari kerja</v>
      </c>
      <c r="G203" s="12" t="s">
        <v>161</v>
      </c>
      <c r="H203" s="12">
        <v>1</v>
      </c>
    </row>
    <row r="204" spans="1:8" x14ac:dyDescent="0.35">
      <c r="A204" s="2">
        <v>46255</v>
      </c>
      <c r="B204" s="3" t="str">
        <f t="shared" si="15"/>
        <v>Fri</v>
      </c>
      <c r="C204" s="3">
        <f t="shared" si="13"/>
        <v>34</v>
      </c>
      <c r="D204" s="3" t="str">
        <f t="shared" si="14"/>
        <v>August</v>
      </c>
      <c r="E204" s="3" t="s">
        <v>135</v>
      </c>
      <c r="F204" s="3" t="str">
        <f t="shared" si="16"/>
        <v>Total hari kerja</v>
      </c>
      <c r="G204" s="12" t="s">
        <v>161</v>
      </c>
      <c r="H204" s="12">
        <v>1.5</v>
      </c>
    </row>
    <row r="205" spans="1:8" x14ac:dyDescent="0.35">
      <c r="A205" s="2">
        <v>46256</v>
      </c>
      <c r="B205" s="3" t="str">
        <f t="shared" si="15"/>
        <v>Sat</v>
      </c>
      <c r="C205" s="3">
        <f t="shared" si="13"/>
        <v>34</v>
      </c>
      <c r="D205" s="3" t="str">
        <f t="shared" si="14"/>
        <v>August</v>
      </c>
      <c r="E205" s="3" t="s">
        <v>135</v>
      </c>
      <c r="F205" s="3" t="str">
        <f t="shared" si="16"/>
        <v>Total hari kerja</v>
      </c>
      <c r="G205" s="12" t="s">
        <v>161</v>
      </c>
      <c r="H205" s="12">
        <v>1</v>
      </c>
    </row>
    <row r="206" spans="1:8" x14ac:dyDescent="0.35">
      <c r="A206" s="2">
        <v>46257</v>
      </c>
      <c r="B206" s="3" t="str">
        <f t="shared" si="15"/>
        <v>Sun</v>
      </c>
      <c r="C206" s="3">
        <f t="shared" si="13"/>
        <v>35</v>
      </c>
      <c r="D206" s="3" t="str">
        <f t="shared" si="14"/>
        <v>August</v>
      </c>
      <c r="E206" s="3"/>
      <c r="F206" s="3" t="str">
        <f t="shared" si="16"/>
        <v xml:space="preserve"> </v>
      </c>
      <c r="G206" s="12" t="s">
        <v>161</v>
      </c>
      <c r="H206" s="12"/>
    </row>
    <row r="207" spans="1:8" x14ac:dyDescent="0.35">
      <c r="A207" s="2">
        <v>46258</v>
      </c>
      <c r="B207" s="3" t="str">
        <f t="shared" si="15"/>
        <v>Mon</v>
      </c>
      <c r="C207" s="3">
        <f t="shared" si="13"/>
        <v>35</v>
      </c>
      <c r="D207" s="3" t="str">
        <f t="shared" si="14"/>
        <v>August</v>
      </c>
      <c r="E207" s="3" t="s">
        <v>135</v>
      </c>
      <c r="F207" s="3" t="str">
        <f t="shared" si="16"/>
        <v>Total hari kerja</v>
      </c>
      <c r="G207" s="12" t="s">
        <v>161</v>
      </c>
      <c r="H207" s="12">
        <v>1.5</v>
      </c>
    </row>
    <row r="208" spans="1:8" x14ac:dyDescent="0.35">
      <c r="A208" s="2">
        <v>46259</v>
      </c>
      <c r="B208" s="3" t="str">
        <f t="shared" si="15"/>
        <v>Tue</v>
      </c>
      <c r="C208" s="3">
        <f t="shared" si="13"/>
        <v>35</v>
      </c>
      <c r="D208" s="3" t="str">
        <f t="shared" si="14"/>
        <v>August</v>
      </c>
      <c r="E208" s="3" t="s">
        <v>135</v>
      </c>
      <c r="F208" s="3" t="str">
        <f t="shared" si="16"/>
        <v>Total hari kerja</v>
      </c>
      <c r="G208" s="12" t="s">
        <v>161</v>
      </c>
      <c r="H208" s="12">
        <v>1.5</v>
      </c>
    </row>
    <row r="209" spans="1:8" x14ac:dyDescent="0.35">
      <c r="A209" s="2">
        <v>46260</v>
      </c>
      <c r="B209" s="3" t="str">
        <f t="shared" si="15"/>
        <v>Wed</v>
      </c>
      <c r="C209" s="3">
        <f t="shared" si="13"/>
        <v>35</v>
      </c>
      <c r="D209" s="3" t="str">
        <f t="shared" si="14"/>
        <v>August</v>
      </c>
      <c r="E209" s="3" t="s">
        <v>135</v>
      </c>
      <c r="F209" s="3" t="str">
        <f t="shared" si="16"/>
        <v>Total hari kerja</v>
      </c>
      <c r="G209" s="12" t="s">
        <v>161</v>
      </c>
      <c r="H209" s="12">
        <v>1</v>
      </c>
    </row>
    <row r="210" spans="1:8" x14ac:dyDescent="0.35">
      <c r="A210" s="2">
        <v>46261</v>
      </c>
      <c r="B210" s="3" t="str">
        <f t="shared" si="15"/>
        <v>Thu</v>
      </c>
      <c r="C210" s="3">
        <f t="shared" si="13"/>
        <v>35</v>
      </c>
      <c r="D210" s="3" t="str">
        <f t="shared" si="14"/>
        <v>August</v>
      </c>
      <c r="E210" s="3" t="s">
        <v>135</v>
      </c>
      <c r="F210" s="3" t="str">
        <f t="shared" si="16"/>
        <v>Total hari kerja</v>
      </c>
      <c r="G210" s="12" t="s">
        <v>161</v>
      </c>
      <c r="H210" s="12">
        <v>2.5</v>
      </c>
    </row>
    <row r="211" spans="1:8" x14ac:dyDescent="0.35">
      <c r="A211" s="2">
        <v>46262</v>
      </c>
      <c r="B211" s="3" t="str">
        <f t="shared" si="15"/>
        <v>Fri</v>
      </c>
      <c r="C211" s="3">
        <f t="shared" si="13"/>
        <v>35</v>
      </c>
      <c r="D211" s="3" t="str">
        <f t="shared" si="14"/>
        <v>August</v>
      </c>
      <c r="E211" s="3" t="s">
        <v>135</v>
      </c>
      <c r="F211" s="3" t="str">
        <f t="shared" si="16"/>
        <v>Total hari kerja</v>
      </c>
      <c r="G211" s="12" t="s">
        <v>161</v>
      </c>
      <c r="H211" s="12"/>
    </row>
    <row r="212" spans="1:8" x14ac:dyDescent="0.35">
      <c r="A212" s="2">
        <v>46263</v>
      </c>
      <c r="B212" s="3" t="str">
        <f t="shared" si="15"/>
        <v>Sat</v>
      </c>
      <c r="C212" s="3">
        <f t="shared" si="13"/>
        <v>35</v>
      </c>
      <c r="D212" s="3" t="str">
        <f t="shared" si="14"/>
        <v>August</v>
      </c>
      <c r="E212" s="3" t="s">
        <v>135</v>
      </c>
      <c r="F212" s="3" t="str">
        <f t="shared" si="16"/>
        <v>Total hari kerja</v>
      </c>
      <c r="G212" s="12" t="s">
        <v>161</v>
      </c>
      <c r="H212" s="12"/>
    </row>
    <row r="213" spans="1:8" x14ac:dyDescent="0.35">
      <c r="A213" s="2">
        <v>46264</v>
      </c>
      <c r="B213" s="3" t="str">
        <f t="shared" si="15"/>
        <v>Sun</v>
      </c>
      <c r="C213" s="3">
        <f t="shared" si="13"/>
        <v>36</v>
      </c>
      <c r="D213" s="3" t="str">
        <f t="shared" si="14"/>
        <v>August</v>
      </c>
      <c r="E213" s="3"/>
      <c r="F213" s="3" t="str">
        <f t="shared" si="16"/>
        <v xml:space="preserve"> </v>
      </c>
      <c r="G213" s="12" t="s">
        <v>161</v>
      </c>
      <c r="H213" s="12"/>
    </row>
    <row r="214" spans="1:8" x14ac:dyDescent="0.35">
      <c r="A214" s="2">
        <v>46265</v>
      </c>
      <c r="B214" s="3" t="str">
        <f t="shared" si="15"/>
        <v>Mon</v>
      </c>
      <c r="C214" s="3">
        <f t="shared" si="13"/>
        <v>36</v>
      </c>
      <c r="D214" s="3" t="str">
        <f t="shared" si="14"/>
        <v>August</v>
      </c>
      <c r="E214" s="3" t="s">
        <v>135</v>
      </c>
      <c r="F214" s="3" t="str">
        <f t="shared" si="16"/>
        <v>Total hari kerja</v>
      </c>
      <c r="G214" s="12" t="s">
        <v>161</v>
      </c>
      <c r="H214" s="12">
        <v>2</v>
      </c>
    </row>
    <row r="215" spans="1:8" x14ac:dyDescent="0.35">
      <c r="A215" s="2">
        <v>46266</v>
      </c>
      <c r="B215" s="3" t="str">
        <f t="shared" si="15"/>
        <v>Tue</v>
      </c>
      <c r="C215" s="3">
        <f t="shared" si="13"/>
        <v>36</v>
      </c>
      <c r="D215" s="3" t="str">
        <f t="shared" si="14"/>
        <v>September</v>
      </c>
      <c r="E215" s="3" t="s">
        <v>135</v>
      </c>
      <c r="F215" s="3" t="str">
        <f t="shared" si="16"/>
        <v>Total hari kerja</v>
      </c>
      <c r="G215" s="12" t="s">
        <v>161</v>
      </c>
      <c r="H215" s="12">
        <v>1</v>
      </c>
    </row>
    <row r="216" spans="1:8" x14ac:dyDescent="0.35">
      <c r="A216" s="2">
        <v>46267</v>
      </c>
      <c r="B216" s="3" t="str">
        <f t="shared" si="15"/>
        <v>Wed</v>
      </c>
      <c r="C216" s="3">
        <f t="shared" si="13"/>
        <v>36</v>
      </c>
      <c r="D216" s="3" t="str">
        <f t="shared" si="14"/>
        <v>September</v>
      </c>
      <c r="E216" s="3" t="s">
        <v>135</v>
      </c>
      <c r="F216" s="3" t="str">
        <f t="shared" si="16"/>
        <v>Total hari kerja</v>
      </c>
      <c r="G216" s="12" t="s">
        <v>161</v>
      </c>
      <c r="H216" s="12">
        <v>2</v>
      </c>
    </row>
    <row r="217" spans="1:8" x14ac:dyDescent="0.35">
      <c r="A217" s="2">
        <v>46268</v>
      </c>
      <c r="B217" s="3" t="str">
        <f t="shared" si="15"/>
        <v>Thu</v>
      </c>
      <c r="C217" s="3">
        <f t="shared" si="13"/>
        <v>36</v>
      </c>
      <c r="D217" s="3" t="str">
        <f t="shared" si="14"/>
        <v>September</v>
      </c>
      <c r="E217" s="3" t="s">
        <v>135</v>
      </c>
      <c r="F217" s="3" t="str">
        <f t="shared" si="16"/>
        <v>Total hari kerja</v>
      </c>
      <c r="G217" s="12" t="s">
        <v>161</v>
      </c>
      <c r="H217" s="12"/>
    </row>
    <row r="218" spans="1:8" x14ac:dyDescent="0.35">
      <c r="A218" s="2">
        <v>46269</v>
      </c>
      <c r="B218" s="3" t="str">
        <f t="shared" si="15"/>
        <v>Fri</v>
      </c>
      <c r="C218" s="3">
        <f t="shared" si="13"/>
        <v>36</v>
      </c>
      <c r="D218" s="3" t="str">
        <f t="shared" si="14"/>
        <v>September</v>
      </c>
      <c r="E218" s="3" t="s">
        <v>135</v>
      </c>
      <c r="F218" s="3" t="str">
        <f t="shared" si="16"/>
        <v>Total hari kerja</v>
      </c>
      <c r="G218" s="12" t="s">
        <v>161</v>
      </c>
      <c r="H218" s="12">
        <v>1.5</v>
      </c>
    </row>
    <row r="219" spans="1:8" x14ac:dyDescent="0.35">
      <c r="A219" s="2">
        <v>46270</v>
      </c>
      <c r="B219" s="3" t="str">
        <f t="shared" si="15"/>
        <v>Sat</v>
      </c>
      <c r="C219" s="3">
        <f t="shared" si="13"/>
        <v>36</v>
      </c>
      <c r="D219" s="3" t="str">
        <f t="shared" si="14"/>
        <v>September</v>
      </c>
      <c r="E219" s="3" t="s">
        <v>135</v>
      </c>
      <c r="F219" s="3" t="str">
        <f t="shared" si="16"/>
        <v>Total hari kerja</v>
      </c>
      <c r="G219" s="12" t="s">
        <v>161</v>
      </c>
      <c r="H219" s="12">
        <v>1</v>
      </c>
    </row>
    <row r="220" spans="1:8" x14ac:dyDescent="0.35">
      <c r="A220" s="2">
        <v>46271</v>
      </c>
      <c r="B220" s="3" t="str">
        <f t="shared" si="15"/>
        <v>Sun</v>
      </c>
      <c r="C220" s="3">
        <f t="shared" si="13"/>
        <v>37</v>
      </c>
      <c r="D220" s="3" t="str">
        <f t="shared" si="14"/>
        <v>September</v>
      </c>
      <c r="E220" s="3"/>
      <c r="F220" s="3" t="str">
        <f t="shared" si="16"/>
        <v xml:space="preserve"> </v>
      </c>
      <c r="G220" s="12" t="s">
        <v>161</v>
      </c>
      <c r="H220" s="12"/>
    </row>
    <row r="221" spans="1:8" x14ac:dyDescent="0.35">
      <c r="A221" s="2">
        <v>46272</v>
      </c>
      <c r="B221" s="3" t="str">
        <f t="shared" si="15"/>
        <v>Mon</v>
      </c>
      <c r="C221" s="3">
        <f t="shared" si="13"/>
        <v>37</v>
      </c>
      <c r="D221" s="3" t="str">
        <f t="shared" si="14"/>
        <v>September</v>
      </c>
      <c r="E221" s="3" t="s">
        <v>135</v>
      </c>
      <c r="F221" s="3" t="str">
        <f t="shared" si="16"/>
        <v>Total hari kerja</v>
      </c>
      <c r="G221" s="12" t="s">
        <v>161</v>
      </c>
      <c r="H221" s="12">
        <v>1</v>
      </c>
    </row>
    <row r="222" spans="1:8" x14ac:dyDescent="0.35">
      <c r="A222" s="2">
        <v>46273</v>
      </c>
      <c r="B222" s="3" t="str">
        <f t="shared" si="15"/>
        <v>Tue</v>
      </c>
      <c r="C222" s="3">
        <f t="shared" si="13"/>
        <v>37</v>
      </c>
      <c r="D222" s="3" t="str">
        <f t="shared" si="14"/>
        <v>September</v>
      </c>
      <c r="E222" s="3" t="s">
        <v>135</v>
      </c>
      <c r="F222" s="3" t="str">
        <f t="shared" si="16"/>
        <v>Total hari kerja</v>
      </c>
      <c r="G222" s="12" t="s">
        <v>161</v>
      </c>
      <c r="H222" s="12">
        <v>1</v>
      </c>
    </row>
    <row r="223" spans="1:8" x14ac:dyDescent="0.35">
      <c r="A223" s="2">
        <v>46274</v>
      </c>
      <c r="B223" s="3" t="str">
        <f t="shared" si="15"/>
        <v>Wed</v>
      </c>
      <c r="C223" s="3">
        <f t="shared" si="13"/>
        <v>37</v>
      </c>
      <c r="D223" s="3" t="str">
        <f t="shared" si="14"/>
        <v>September</v>
      </c>
      <c r="E223" s="3" t="s">
        <v>135</v>
      </c>
      <c r="F223" s="3" t="str">
        <f t="shared" si="16"/>
        <v>Total hari kerja</v>
      </c>
      <c r="G223" s="12" t="s">
        <v>161</v>
      </c>
      <c r="H223" s="12">
        <v>2</v>
      </c>
    </row>
    <row r="224" spans="1:8" x14ac:dyDescent="0.35">
      <c r="A224" s="2">
        <v>46275</v>
      </c>
      <c r="B224" s="3" t="str">
        <f t="shared" si="15"/>
        <v>Thu</v>
      </c>
      <c r="C224" s="3">
        <f t="shared" si="13"/>
        <v>37</v>
      </c>
      <c r="D224" s="3" t="str">
        <f t="shared" si="14"/>
        <v>September</v>
      </c>
      <c r="E224" s="3" t="s">
        <v>135</v>
      </c>
      <c r="F224" s="3" t="str">
        <f t="shared" si="16"/>
        <v>Total hari kerja</v>
      </c>
      <c r="G224" s="12" t="s">
        <v>161</v>
      </c>
      <c r="H224" s="12">
        <v>1</v>
      </c>
    </row>
    <row r="225" spans="1:9" x14ac:dyDescent="0.35">
      <c r="A225" s="2">
        <v>46276</v>
      </c>
      <c r="B225" s="3" t="str">
        <f t="shared" si="15"/>
        <v>Fri</v>
      </c>
      <c r="C225" s="3">
        <f t="shared" si="13"/>
        <v>37</v>
      </c>
      <c r="D225" s="3" t="str">
        <f t="shared" si="14"/>
        <v>September</v>
      </c>
      <c r="E225" s="3" t="s">
        <v>135</v>
      </c>
      <c r="F225" s="3" t="str">
        <f t="shared" si="16"/>
        <v>Total hari kerja</v>
      </c>
      <c r="G225" s="12" t="s">
        <v>161</v>
      </c>
      <c r="H225" s="12">
        <v>2</v>
      </c>
    </row>
    <row r="226" spans="1:9" x14ac:dyDescent="0.35">
      <c r="A226" s="2">
        <v>46277</v>
      </c>
      <c r="B226" s="3" t="str">
        <f t="shared" si="15"/>
        <v>Sat</v>
      </c>
      <c r="C226" s="3">
        <f t="shared" si="13"/>
        <v>37</v>
      </c>
      <c r="D226" s="3" t="str">
        <f t="shared" si="14"/>
        <v>September</v>
      </c>
      <c r="E226" s="3" t="s">
        <v>135</v>
      </c>
      <c r="F226" s="3" t="str">
        <f t="shared" si="16"/>
        <v>Total hari kerja</v>
      </c>
      <c r="G226" s="12" t="s">
        <v>161</v>
      </c>
      <c r="H226" s="12">
        <v>1</v>
      </c>
    </row>
    <row r="227" spans="1:9" x14ac:dyDescent="0.35">
      <c r="A227" s="2">
        <v>46278</v>
      </c>
      <c r="B227" s="3" t="str">
        <f t="shared" si="15"/>
        <v>Sun</v>
      </c>
      <c r="C227" s="3">
        <f t="shared" si="13"/>
        <v>38</v>
      </c>
      <c r="D227" s="3" t="str">
        <f t="shared" si="14"/>
        <v>September</v>
      </c>
      <c r="E227" s="3"/>
      <c r="F227" s="3" t="str">
        <f t="shared" si="16"/>
        <v xml:space="preserve"> </v>
      </c>
      <c r="G227" s="12" t="s">
        <v>161</v>
      </c>
      <c r="H227" s="12"/>
    </row>
    <row r="228" spans="1:9" x14ac:dyDescent="0.35">
      <c r="A228" s="2">
        <v>46279</v>
      </c>
      <c r="B228" s="3" t="str">
        <f t="shared" si="15"/>
        <v>Mon</v>
      </c>
      <c r="C228" s="3">
        <f t="shared" si="13"/>
        <v>38</v>
      </c>
      <c r="D228" s="3" t="str">
        <f t="shared" si="14"/>
        <v>September</v>
      </c>
      <c r="E228" s="3" t="s">
        <v>135</v>
      </c>
      <c r="F228" s="3" t="str">
        <f t="shared" si="16"/>
        <v>Total hari kerja</v>
      </c>
      <c r="G228" s="12" t="s">
        <v>161</v>
      </c>
      <c r="H228" s="12">
        <v>2</v>
      </c>
      <c r="I228" s="64"/>
    </row>
    <row r="229" spans="1:9" x14ac:dyDescent="0.35">
      <c r="A229" s="2">
        <v>46280</v>
      </c>
      <c r="B229" s="3" t="str">
        <f t="shared" si="15"/>
        <v>Tue</v>
      </c>
      <c r="C229" s="3">
        <f t="shared" si="13"/>
        <v>38</v>
      </c>
      <c r="D229" s="3" t="str">
        <f t="shared" si="14"/>
        <v>September</v>
      </c>
      <c r="E229" s="3" t="s">
        <v>135</v>
      </c>
      <c r="F229" s="3" t="str">
        <f t="shared" si="16"/>
        <v>Total hari kerja</v>
      </c>
      <c r="G229" s="12" t="s">
        <v>161</v>
      </c>
      <c r="H229" s="12"/>
    </row>
    <row r="230" spans="1:9" x14ac:dyDescent="0.35">
      <c r="A230" s="2">
        <v>46281</v>
      </c>
      <c r="B230" s="3" t="str">
        <f t="shared" si="15"/>
        <v>Wed</v>
      </c>
      <c r="C230" s="3">
        <f t="shared" ref="C230:C289" si="17">WEEKNUM(A230)</f>
        <v>38</v>
      </c>
      <c r="D230" s="3" t="str">
        <f t="shared" ref="D230:D289" si="18">TEXT(A230,"mmmm")</f>
        <v>September</v>
      </c>
      <c r="E230" s="3" t="s">
        <v>135</v>
      </c>
      <c r="F230" s="3" t="str">
        <f t="shared" si="16"/>
        <v>Total hari kerja</v>
      </c>
      <c r="G230" s="12" t="s">
        <v>161</v>
      </c>
      <c r="H230" s="12">
        <v>1</v>
      </c>
    </row>
    <row r="231" spans="1:9" x14ac:dyDescent="0.35">
      <c r="A231" s="2">
        <v>46282</v>
      </c>
      <c r="B231" s="3" t="str">
        <f t="shared" ref="B231:B289" si="19">TEXT(A231,"DDD")</f>
        <v>Thu</v>
      </c>
      <c r="C231" s="3">
        <f t="shared" si="17"/>
        <v>38</v>
      </c>
      <c r="D231" s="3" t="str">
        <f t="shared" si="18"/>
        <v>September</v>
      </c>
      <c r="E231" s="3" t="s">
        <v>135</v>
      </c>
      <c r="F231" s="3" t="str">
        <f t="shared" si="16"/>
        <v>Total hari kerja</v>
      </c>
      <c r="G231" s="12" t="s">
        <v>161</v>
      </c>
      <c r="H231" s="12">
        <v>2</v>
      </c>
    </row>
    <row r="232" spans="1:9" x14ac:dyDescent="0.35">
      <c r="A232" s="2">
        <v>46283</v>
      </c>
      <c r="B232" s="3" t="str">
        <f t="shared" si="19"/>
        <v>Fri</v>
      </c>
      <c r="C232" s="3">
        <f t="shared" si="17"/>
        <v>38</v>
      </c>
      <c r="D232" s="3" t="str">
        <f t="shared" si="18"/>
        <v>September</v>
      </c>
      <c r="E232" s="3" t="s">
        <v>135</v>
      </c>
      <c r="F232" s="3" t="str">
        <f t="shared" si="16"/>
        <v>Total hari kerja</v>
      </c>
      <c r="G232" s="12" t="s">
        <v>161</v>
      </c>
      <c r="H232" s="12"/>
    </row>
    <row r="233" spans="1:9" x14ac:dyDescent="0.35">
      <c r="A233" s="2">
        <v>46284</v>
      </c>
      <c r="B233" s="3" t="str">
        <f t="shared" si="19"/>
        <v>Sat</v>
      </c>
      <c r="C233" s="3">
        <f t="shared" si="17"/>
        <v>38</v>
      </c>
      <c r="D233" s="3" t="str">
        <f t="shared" si="18"/>
        <v>September</v>
      </c>
      <c r="E233" s="3" t="s">
        <v>135</v>
      </c>
      <c r="F233" s="3" t="str">
        <f t="shared" si="16"/>
        <v>Total hari kerja</v>
      </c>
      <c r="G233" s="12" t="s">
        <v>161</v>
      </c>
      <c r="H233" s="12">
        <v>1</v>
      </c>
    </row>
    <row r="234" spans="1:9" x14ac:dyDescent="0.35">
      <c r="A234" s="2">
        <v>46285</v>
      </c>
      <c r="B234" s="3" t="str">
        <f t="shared" si="19"/>
        <v>Sun</v>
      </c>
      <c r="C234" s="3">
        <f t="shared" si="17"/>
        <v>39</v>
      </c>
      <c r="D234" s="3" t="str">
        <f t="shared" si="18"/>
        <v>September</v>
      </c>
      <c r="E234" s="3"/>
      <c r="F234" s="3" t="str">
        <f t="shared" si="16"/>
        <v xml:space="preserve"> </v>
      </c>
      <c r="G234" s="12" t="s">
        <v>161</v>
      </c>
      <c r="H234" s="12"/>
    </row>
    <row r="235" spans="1:9" x14ac:dyDescent="0.35">
      <c r="A235" s="2">
        <v>46286</v>
      </c>
      <c r="B235" s="3" t="str">
        <f t="shared" si="19"/>
        <v>Mon</v>
      </c>
      <c r="C235" s="3">
        <f t="shared" si="17"/>
        <v>39</v>
      </c>
      <c r="D235" s="3" t="str">
        <f t="shared" si="18"/>
        <v>September</v>
      </c>
      <c r="E235" s="3" t="s">
        <v>135</v>
      </c>
      <c r="F235" s="3" t="str">
        <f t="shared" si="16"/>
        <v>Total hari kerja</v>
      </c>
      <c r="G235" s="12" t="s">
        <v>161</v>
      </c>
      <c r="H235" s="12">
        <v>2</v>
      </c>
    </row>
    <row r="236" spans="1:9" x14ac:dyDescent="0.35">
      <c r="A236" s="2">
        <v>46287</v>
      </c>
      <c r="B236" s="3" t="str">
        <f t="shared" si="19"/>
        <v>Tue</v>
      </c>
      <c r="C236" s="3">
        <f t="shared" si="17"/>
        <v>39</v>
      </c>
      <c r="D236" s="3" t="str">
        <f t="shared" si="18"/>
        <v>September</v>
      </c>
      <c r="E236" s="3" t="s">
        <v>135</v>
      </c>
      <c r="F236" s="3" t="str">
        <f t="shared" si="16"/>
        <v>Total hari kerja</v>
      </c>
      <c r="G236" s="12" t="s">
        <v>161</v>
      </c>
      <c r="H236" s="12">
        <v>1</v>
      </c>
    </row>
    <row r="237" spans="1:9" x14ac:dyDescent="0.35">
      <c r="A237" s="2">
        <v>46288</v>
      </c>
      <c r="B237" s="3" t="str">
        <f t="shared" si="19"/>
        <v>Wed</v>
      </c>
      <c r="C237" s="3">
        <f t="shared" si="17"/>
        <v>39</v>
      </c>
      <c r="D237" s="3" t="str">
        <f t="shared" si="18"/>
        <v>September</v>
      </c>
      <c r="E237" s="3" t="s">
        <v>135</v>
      </c>
      <c r="F237" s="3" t="str">
        <f t="shared" si="16"/>
        <v>Total hari kerja</v>
      </c>
      <c r="G237" s="12" t="s">
        <v>161</v>
      </c>
      <c r="H237" s="12">
        <v>1</v>
      </c>
    </row>
    <row r="238" spans="1:9" x14ac:dyDescent="0.35">
      <c r="A238" s="2">
        <v>46289</v>
      </c>
      <c r="B238" s="3" t="str">
        <f t="shared" si="19"/>
        <v>Thu</v>
      </c>
      <c r="C238" s="3">
        <f t="shared" si="17"/>
        <v>39</v>
      </c>
      <c r="D238" s="3" t="str">
        <f t="shared" si="18"/>
        <v>September</v>
      </c>
      <c r="E238" s="3" t="s">
        <v>135</v>
      </c>
      <c r="F238" s="3" t="str">
        <f t="shared" si="16"/>
        <v>Total hari kerja</v>
      </c>
      <c r="G238" s="12" t="s">
        <v>161</v>
      </c>
      <c r="H238" s="12">
        <v>1</v>
      </c>
    </row>
    <row r="239" spans="1:9" x14ac:dyDescent="0.35">
      <c r="A239" s="2">
        <v>46290</v>
      </c>
      <c r="B239" s="3" t="str">
        <f t="shared" si="19"/>
        <v>Fri</v>
      </c>
      <c r="C239" s="3">
        <f t="shared" si="17"/>
        <v>39</v>
      </c>
      <c r="D239" s="3" t="str">
        <f t="shared" si="18"/>
        <v>September</v>
      </c>
      <c r="E239" s="3" t="s">
        <v>135</v>
      </c>
      <c r="F239" s="3" t="str">
        <f t="shared" si="16"/>
        <v>Total hari kerja</v>
      </c>
      <c r="G239" s="12" t="s">
        <v>161</v>
      </c>
      <c r="H239" s="12">
        <v>2</v>
      </c>
    </row>
    <row r="240" spans="1:9" x14ac:dyDescent="0.35">
      <c r="A240" s="2">
        <v>46291</v>
      </c>
      <c r="B240" s="3" t="str">
        <f t="shared" si="19"/>
        <v>Sat</v>
      </c>
      <c r="C240" s="3">
        <f t="shared" si="17"/>
        <v>39</v>
      </c>
      <c r="D240" s="3" t="str">
        <f t="shared" si="18"/>
        <v>September</v>
      </c>
      <c r="E240" s="3" t="s">
        <v>135</v>
      </c>
      <c r="F240" s="3" t="str">
        <f t="shared" si="16"/>
        <v>Total hari kerja</v>
      </c>
      <c r="G240" s="12" t="s">
        <v>161</v>
      </c>
      <c r="H240" s="12"/>
    </row>
    <row r="241" spans="1:8" x14ac:dyDescent="0.35">
      <c r="A241" s="2">
        <v>46292</v>
      </c>
      <c r="B241" s="3" t="str">
        <f t="shared" si="19"/>
        <v>Sun</v>
      </c>
      <c r="C241" s="3">
        <f t="shared" si="17"/>
        <v>40</v>
      </c>
      <c r="D241" s="3" t="str">
        <f t="shared" si="18"/>
        <v>September</v>
      </c>
      <c r="E241" s="3"/>
      <c r="F241" s="3" t="str">
        <f t="shared" si="16"/>
        <v xml:space="preserve"> </v>
      </c>
      <c r="G241" s="12" t="s">
        <v>161</v>
      </c>
      <c r="H241" s="12"/>
    </row>
    <row r="242" spans="1:8" x14ac:dyDescent="0.35">
      <c r="A242" s="2">
        <v>46293</v>
      </c>
      <c r="B242" s="3" t="str">
        <f t="shared" si="19"/>
        <v>Mon</v>
      </c>
      <c r="C242" s="3">
        <f t="shared" si="17"/>
        <v>40</v>
      </c>
      <c r="D242" s="3" t="str">
        <f t="shared" si="18"/>
        <v>September</v>
      </c>
      <c r="E242" s="3" t="s">
        <v>135</v>
      </c>
      <c r="F242" s="3" t="str">
        <f t="shared" si="16"/>
        <v>Total hari kerja</v>
      </c>
      <c r="G242" s="12" t="s">
        <v>161</v>
      </c>
      <c r="H242" s="12">
        <v>2</v>
      </c>
    </row>
    <row r="243" spans="1:8" x14ac:dyDescent="0.35">
      <c r="A243" s="2">
        <v>46294</v>
      </c>
      <c r="B243" s="3" t="str">
        <f t="shared" si="19"/>
        <v>Tue</v>
      </c>
      <c r="C243" s="3">
        <f t="shared" si="17"/>
        <v>40</v>
      </c>
      <c r="D243" s="3" t="str">
        <f t="shared" si="18"/>
        <v>September</v>
      </c>
      <c r="E243" s="3" t="s">
        <v>135</v>
      </c>
      <c r="F243" s="3" t="str">
        <f t="shared" si="16"/>
        <v>Total hari kerja</v>
      </c>
      <c r="G243" s="12" t="s">
        <v>161</v>
      </c>
      <c r="H243" s="12"/>
    </row>
    <row r="244" spans="1:8" x14ac:dyDescent="0.35">
      <c r="A244" s="2">
        <v>46295</v>
      </c>
      <c r="B244" s="3" t="str">
        <f t="shared" si="19"/>
        <v>Wed</v>
      </c>
      <c r="C244" s="3">
        <f t="shared" si="17"/>
        <v>40</v>
      </c>
      <c r="D244" s="3" t="str">
        <f t="shared" si="18"/>
        <v>September</v>
      </c>
      <c r="E244" s="3" t="s">
        <v>135</v>
      </c>
      <c r="F244" s="3" t="str">
        <f t="shared" si="16"/>
        <v>Total hari kerja</v>
      </c>
      <c r="G244" s="12" t="s">
        <v>161</v>
      </c>
      <c r="H244" s="12"/>
    </row>
    <row r="245" spans="1:8" x14ac:dyDescent="0.35">
      <c r="A245" s="2">
        <v>46296</v>
      </c>
      <c r="B245" s="3" t="str">
        <f t="shared" si="19"/>
        <v>Thu</v>
      </c>
      <c r="C245" s="3">
        <f t="shared" si="17"/>
        <v>40</v>
      </c>
      <c r="D245" s="3" t="str">
        <f t="shared" si="18"/>
        <v>October</v>
      </c>
      <c r="E245" s="3"/>
      <c r="F245" s="3" t="str">
        <f t="shared" si="16"/>
        <v xml:space="preserve"> </v>
      </c>
      <c r="G245" s="12" t="s">
        <v>161</v>
      </c>
      <c r="H245" s="12"/>
    </row>
    <row r="246" spans="1:8" x14ac:dyDescent="0.35">
      <c r="A246" s="2">
        <v>46297</v>
      </c>
      <c r="B246" s="3" t="str">
        <f t="shared" si="19"/>
        <v>Fri</v>
      </c>
      <c r="C246" s="3">
        <f t="shared" si="17"/>
        <v>40</v>
      </c>
      <c r="D246" s="3" t="str">
        <f t="shared" si="18"/>
        <v>October</v>
      </c>
      <c r="E246" s="3"/>
      <c r="F246" s="3" t="str">
        <f t="shared" si="16"/>
        <v xml:space="preserve"> </v>
      </c>
      <c r="G246" s="12" t="s">
        <v>161</v>
      </c>
      <c r="H246" s="12"/>
    </row>
    <row r="247" spans="1:8" x14ac:dyDescent="0.35">
      <c r="A247" s="2">
        <v>46298</v>
      </c>
      <c r="B247" s="3" t="str">
        <f t="shared" si="19"/>
        <v>Sat</v>
      </c>
      <c r="C247" s="3">
        <f t="shared" si="17"/>
        <v>40</v>
      </c>
      <c r="D247" s="3" t="str">
        <f t="shared" si="18"/>
        <v>October</v>
      </c>
      <c r="E247" s="3"/>
      <c r="F247" s="3" t="str">
        <f t="shared" si="16"/>
        <v xml:space="preserve"> </v>
      </c>
      <c r="G247" s="12" t="s">
        <v>161</v>
      </c>
      <c r="H247" s="12"/>
    </row>
    <row r="248" spans="1:8" x14ac:dyDescent="0.35">
      <c r="A248" s="2">
        <v>46299</v>
      </c>
      <c r="B248" s="3" t="str">
        <f t="shared" si="19"/>
        <v>Sun</v>
      </c>
      <c r="C248" s="3">
        <f t="shared" si="17"/>
        <v>41</v>
      </c>
      <c r="D248" s="3" t="str">
        <f t="shared" si="18"/>
        <v>October</v>
      </c>
      <c r="E248" s="3"/>
      <c r="F248" s="3" t="str">
        <f t="shared" si="16"/>
        <v xml:space="preserve"> </v>
      </c>
      <c r="G248" s="12" t="s">
        <v>161</v>
      </c>
      <c r="H248" s="12"/>
    </row>
    <row r="249" spans="1:8" x14ac:dyDescent="0.35">
      <c r="A249" s="2">
        <v>46300</v>
      </c>
      <c r="B249" s="3" t="str">
        <f t="shared" si="19"/>
        <v>Mon</v>
      </c>
      <c r="C249" s="3">
        <f t="shared" si="17"/>
        <v>41</v>
      </c>
      <c r="D249" s="3" t="str">
        <f t="shared" si="18"/>
        <v>October</v>
      </c>
      <c r="E249" s="3"/>
      <c r="F249" s="3" t="str">
        <f t="shared" si="16"/>
        <v xml:space="preserve"> </v>
      </c>
      <c r="G249" s="12" t="s">
        <v>161</v>
      </c>
      <c r="H249" s="12"/>
    </row>
    <row r="250" spans="1:8" x14ac:dyDescent="0.35">
      <c r="A250" s="2">
        <v>46301</v>
      </c>
      <c r="B250" s="3" t="str">
        <f t="shared" si="19"/>
        <v>Tue</v>
      </c>
      <c r="C250" s="3">
        <f t="shared" si="17"/>
        <v>41</v>
      </c>
      <c r="D250" s="3" t="str">
        <f t="shared" si="18"/>
        <v>October</v>
      </c>
      <c r="E250" s="3"/>
      <c r="F250" s="3" t="str">
        <f t="shared" si="16"/>
        <v xml:space="preserve"> </v>
      </c>
      <c r="G250" s="12" t="s">
        <v>161</v>
      </c>
      <c r="H250" s="12"/>
    </row>
    <row r="251" spans="1:8" x14ac:dyDescent="0.35">
      <c r="A251" s="2">
        <v>46302</v>
      </c>
      <c r="B251" s="3" t="str">
        <f t="shared" si="19"/>
        <v>Wed</v>
      </c>
      <c r="C251" s="3">
        <f t="shared" si="17"/>
        <v>41</v>
      </c>
      <c r="D251" s="3" t="str">
        <f t="shared" si="18"/>
        <v>October</v>
      </c>
      <c r="E251" s="3"/>
      <c r="F251" s="3" t="str">
        <f t="shared" si="16"/>
        <v xml:space="preserve"> </v>
      </c>
      <c r="G251" s="12" t="s">
        <v>161</v>
      </c>
      <c r="H251" s="12"/>
    </row>
    <row r="252" spans="1:8" x14ac:dyDescent="0.35">
      <c r="A252" s="2">
        <v>46303</v>
      </c>
      <c r="B252" s="3" t="str">
        <f t="shared" si="19"/>
        <v>Thu</v>
      </c>
      <c r="C252" s="3">
        <f t="shared" si="17"/>
        <v>41</v>
      </c>
      <c r="D252" s="3" t="str">
        <f t="shared" si="18"/>
        <v>October</v>
      </c>
      <c r="E252" s="3"/>
      <c r="F252" s="3" t="str">
        <f t="shared" si="16"/>
        <v xml:space="preserve"> </v>
      </c>
      <c r="G252" s="12" t="s">
        <v>161</v>
      </c>
      <c r="H252" s="12"/>
    </row>
    <row r="253" spans="1:8" x14ac:dyDescent="0.35">
      <c r="A253" s="2">
        <v>46304</v>
      </c>
      <c r="B253" s="3" t="str">
        <f t="shared" si="19"/>
        <v>Fri</v>
      </c>
      <c r="C253" s="3">
        <f t="shared" si="17"/>
        <v>41</v>
      </c>
      <c r="D253" s="3" t="str">
        <f t="shared" si="18"/>
        <v>October</v>
      </c>
      <c r="E253" s="3"/>
      <c r="F253" s="3" t="str">
        <f t="shared" si="16"/>
        <v xml:space="preserve"> </v>
      </c>
      <c r="G253" s="12" t="s">
        <v>161</v>
      </c>
      <c r="H253" s="12"/>
    </row>
    <row r="254" spans="1:8" x14ac:dyDescent="0.35">
      <c r="A254" s="2">
        <v>46305</v>
      </c>
      <c r="B254" s="3" t="str">
        <f t="shared" si="19"/>
        <v>Sat</v>
      </c>
      <c r="C254" s="3">
        <f t="shared" si="17"/>
        <v>41</v>
      </c>
      <c r="D254" s="3" t="str">
        <f t="shared" si="18"/>
        <v>October</v>
      </c>
      <c r="E254" s="3"/>
      <c r="F254" s="3" t="str">
        <f t="shared" si="16"/>
        <v xml:space="preserve"> </v>
      </c>
      <c r="G254" s="12" t="s">
        <v>161</v>
      </c>
      <c r="H254" s="12"/>
    </row>
    <row r="255" spans="1:8" x14ac:dyDescent="0.35">
      <c r="A255" s="2">
        <v>46306</v>
      </c>
      <c r="B255" s="3" t="str">
        <f t="shared" si="19"/>
        <v>Sun</v>
      </c>
      <c r="C255" s="3">
        <f t="shared" si="17"/>
        <v>42</v>
      </c>
      <c r="D255" s="3" t="str">
        <f t="shared" si="18"/>
        <v>October</v>
      </c>
      <c r="E255" s="3"/>
      <c r="F255" s="3" t="str">
        <f t="shared" si="16"/>
        <v xml:space="preserve"> </v>
      </c>
      <c r="G255" s="12" t="s">
        <v>161</v>
      </c>
      <c r="H255" s="12"/>
    </row>
    <row r="256" spans="1:8" x14ac:dyDescent="0.35">
      <c r="A256" s="2">
        <v>46307</v>
      </c>
      <c r="B256" s="3" t="str">
        <f t="shared" si="19"/>
        <v>Mon</v>
      </c>
      <c r="C256" s="3">
        <f t="shared" si="17"/>
        <v>42</v>
      </c>
      <c r="D256" s="3" t="str">
        <f t="shared" si="18"/>
        <v>October</v>
      </c>
      <c r="E256" s="3"/>
      <c r="F256" s="3" t="str">
        <f t="shared" si="16"/>
        <v xml:space="preserve"> </v>
      </c>
      <c r="G256" s="12" t="s">
        <v>161</v>
      </c>
      <c r="H256" s="12"/>
    </row>
    <row r="257" spans="1:8" x14ac:dyDescent="0.35">
      <c r="A257" s="2">
        <v>46308</v>
      </c>
      <c r="B257" s="3" t="str">
        <f t="shared" si="19"/>
        <v>Tue</v>
      </c>
      <c r="C257" s="3">
        <f t="shared" si="17"/>
        <v>42</v>
      </c>
      <c r="D257" s="3" t="str">
        <f t="shared" si="18"/>
        <v>October</v>
      </c>
      <c r="E257" s="3"/>
      <c r="F257" s="3" t="str">
        <f t="shared" si="16"/>
        <v xml:space="preserve"> </v>
      </c>
      <c r="G257" s="12" t="s">
        <v>161</v>
      </c>
      <c r="H257" s="12"/>
    </row>
    <row r="258" spans="1:8" x14ac:dyDescent="0.35">
      <c r="A258" s="2">
        <v>46309</v>
      </c>
      <c r="B258" s="3" t="str">
        <f t="shared" si="19"/>
        <v>Wed</v>
      </c>
      <c r="C258" s="3">
        <f t="shared" si="17"/>
        <v>42</v>
      </c>
      <c r="D258" s="3" t="str">
        <f t="shared" si="18"/>
        <v>October</v>
      </c>
      <c r="E258" s="3"/>
      <c r="F258" s="3" t="str">
        <f t="shared" si="16"/>
        <v xml:space="preserve"> </v>
      </c>
      <c r="G258" s="12" t="s">
        <v>161</v>
      </c>
      <c r="H258" s="12"/>
    </row>
    <row r="259" spans="1:8" x14ac:dyDescent="0.35">
      <c r="A259" s="2">
        <v>46310</v>
      </c>
      <c r="B259" s="3" t="str">
        <f t="shared" si="19"/>
        <v>Thu</v>
      </c>
      <c r="C259" s="3">
        <f t="shared" si="17"/>
        <v>42</v>
      </c>
      <c r="D259" s="3" t="str">
        <f t="shared" si="18"/>
        <v>October</v>
      </c>
      <c r="E259" s="3"/>
      <c r="F259" s="3" t="str">
        <f t="shared" ref="F259:F289" si="20">IF(E259="J1",$L$3,IF(E259="J2",$L$4,IF(E259="J3",$L$5,IF(E259="J4",$L$6,IF(E259="J5",$L$7," ")))))</f>
        <v xml:space="preserve"> </v>
      </c>
      <c r="G259" s="12" t="s">
        <v>161</v>
      </c>
      <c r="H259" s="12"/>
    </row>
    <row r="260" spans="1:8" x14ac:dyDescent="0.35">
      <c r="A260" s="2">
        <v>46311</v>
      </c>
      <c r="B260" s="3" t="str">
        <f t="shared" si="19"/>
        <v>Fri</v>
      </c>
      <c r="C260" s="3">
        <f t="shared" si="17"/>
        <v>42</v>
      </c>
      <c r="D260" s="3" t="str">
        <f t="shared" si="18"/>
        <v>October</v>
      </c>
      <c r="E260" s="3"/>
      <c r="F260" s="3" t="str">
        <f t="shared" si="20"/>
        <v xml:space="preserve"> </v>
      </c>
      <c r="G260" s="12" t="s">
        <v>161</v>
      </c>
      <c r="H260" s="12"/>
    </row>
    <row r="261" spans="1:8" x14ac:dyDescent="0.35">
      <c r="A261" s="2">
        <v>46312</v>
      </c>
      <c r="B261" s="3" t="str">
        <f t="shared" si="19"/>
        <v>Sat</v>
      </c>
      <c r="C261" s="3">
        <f t="shared" si="17"/>
        <v>42</v>
      </c>
      <c r="D261" s="3" t="str">
        <f t="shared" si="18"/>
        <v>October</v>
      </c>
      <c r="E261" s="3"/>
      <c r="F261" s="3" t="str">
        <f t="shared" si="20"/>
        <v xml:space="preserve"> </v>
      </c>
      <c r="G261" s="12" t="s">
        <v>161</v>
      </c>
      <c r="H261" s="12"/>
    </row>
    <row r="262" spans="1:8" x14ac:dyDescent="0.35">
      <c r="A262" s="2">
        <v>46313</v>
      </c>
      <c r="B262" s="3" t="str">
        <f t="shared" si="19"/>
        <v>Sun</v>
      </c>
      <c r="C262" s="3">
        <f t="shared" si="17"/>
        <v>43</v>
      </c>
      <c r="D262" s="3" t="str">
        <f t="shared" si="18"/>
        <v>October</v>
      </c>
      <c r="E262" s="3"/>
      <c r="F262" s="3" t="str">
        <f t="shared" si="20"/>
        <v xml:space="preserve"> </v>
      </c>
      <c r="G262" s="12" t="s">
        <v>161</v>
      </c>
      <c r="H262" s="12"/>
    </row>
    <row r="263" spans="1:8" x14ac:dyDescent="0.35">
      <c r="A263" s="2">
        <v>46314</v>
      </c>
      <c r="B263" s="3" t="str">
        <f t="shared" si="19"/>
        <v>Mon</v>
      </c>
      <c r="C263" s="3">
        <f t="shared" si="17"/>
        <v>43</v>
      </c>
      <c r="D263" s="3" t="str">
        <f t="shared" si="18"/>
        <v>October</v>
      </c>
      <c r="E263" s="3"/>
      <c r="F263" s="3" t="str">
        <f t="shared" si="20"/>
        <v xml:space="preserve"> </v>
      </c>
      <c r="G263" s="12" t="s">
        <v>161</v>
      </c>
      <c r="H263" s="12"/>
    </row>
    <row r="264" spans="1:8" x14ac:dyDescent="0.35">
      <c r="A264" s="2">
        <v>46315</v>
      </c>
      <c r="B264" s="3" t="str">
        <f t="shared" si="19"/>
        <v>Tue</v>
      </c>
      <c r="C264" s="3">
        <f t="shared" si="17"/>
        <v>43</v>
      </c>
      <c r="D264" s="3" t="str">
        <f t="shared" si="18"/>
        <v>October</v>
      </c>
      <c r="E264" s="3"/>
      <c r="F264" s="3" t="str">
        <f t="shared" si="20"/>
        <v xml:space="preserve"> </v>
      </c>
      <c r="G264" s="12" t="s">
        <v>161</v>
      </c>
      <c r="H264" s="12"/>
    </row>
    <row r="265" spans="1:8" x14ac:dyDescent="0.35">
      <c r="A265" s="2">
        <v>46316</v>
      </c>
      <c r="B265" s="3" t="str">
        <f t="shared" si="19"/>
        <v>Wed</v>
      </c>
      <c r="C265" s="3">
        <f t="shared" si="17"/>
        <v>43</v>
      </c>
      <c r="D265" s="3" t="str">
        <f t="shared" si="18"/>
        <v>October</v>
      </c>
      <c r="E265" s="3"/>
      <c r="F265" s="3" t="str">
        <f t="shared" si="20"/>
        <v xml:space="preserve"> </v>
      </c>
      <c r="G265" s="12" t="s">
        <v>161</v>
      </c>
      <c r="H265" s="12"/>
    </row>
    <row r="266" spans="1:8" x14ac:dyDescent="0.35">
      <c r="A266" s="2">
        <v>46317</v>
      </c>
      <c r="B266" s="3" t="str">
        <f t="shared" si="19"/>
        <v>Thu</v>
      </c>
      <c r="C266" s="3">
        <f t="shared" si="17"/>
        <v>43</v>
      </c>
      <c r="D266" s="3" t="str">
        <f t="shared" si="18"/>
        <v>October</v>
      </c>
      <c r="E266" s="3"/>
      <c r="F266" s="3" t="str">
        <f t="shared" si="20"/>
        <v xml:space="preserve"> </v>
      </c>
      <c r="G266" s="12" t="s">
        <v>161</v>
      </c>
      <c r="H266" s="12"/>
    </row>
    <row r="267" spans="1:8" x14ac:dyDescent="0.35">
      <c r="A267" s="2">
        <v>46318</v>
      </c>
      <c r="B267" s="3" t="str">
        <f t="shared" si="19"/>
        <v>Fri</v>
      </c>
      <c r="C267" s="3">
        <f t="shared" si="17"/>
        <v>43</v>
      </c>
      <c r="D267" s="3" t="str">
        <f t="shared" si="18"/>
        <v>October</v>
      </c>
      <c r="E267" s="3"/>
      <c r="F267" s="3" t="str">
        <f t="shared" si="20"/>
        <v xml:space="preserve"> </v>
      </c>
      <c r="G267" s="12" t="s">
        <v>161</v>
      </c>
      <c r="H267" s="12"/>
    </row>
    <row r="268" spans="1:8" x14ac:dyDescent="0.35">
      <c r="A268" s="2">
        <v>46319</v>
      </c>
      <c r="B268" s="3" t="str">
        <f t="shared" si="19"/>
        <v>Sat</v>
      </c>
      <c r="C268" s="3">
        <f t="shared" si="17"/>
        <v>43</v>
      </c>
      <c r="D268" s="3" t="str">
        <f t="shared" si="18"/>
        <v>October</v>
      </c>
      <c r="E268" s="3"/>
      <c r="F268" s="3" t="str">
        <f t="shared" si="20"/>
        <v xml:space="preserve"> </v>
      </c>
      <c r="G268" s="12" t="s">
        <v>161</v>
      </c>
      <c r="H268" s="12"/>
    </row>
    <row r="269" spans="1:8" x14ac:dyDescent="0.35">
      <c r="A269" s="2">
        <v>46320</v>
      </c>
      <c r="B269" s="3" t="str">
        <f t="shared" si="19"/>
        <v>Sun</v>
      </c>
      <c r="C269" s="3">
        <f t="shared" si="17"/>
        <v>44</v>
      </c>
      <c r="D269" s="3" t="str">
        <f t="shared" si="18"/>
        <v>October</v>
      </c>
      <c r="E269" s="3"/>
      <c r="F269" s="3" t="str">
        <f t="shared" si="20"/>
        <v xml:space="preserve"> </v>
      </c>
      <c r="G269" s="12" t="s">
        <v>161</v>
      </c>
      <c r="H269" s="12"/>
    </row>
    <row r="270" spans="1:8" x14ac:dyDescent="0.35">
      <c r="A270" s="2">
        <v>46321</v>
      </c>
      <c r="B270" s="3" t="str">
        <f t="shared" si="19"/>
        <v>Mon</v>
      </c>
      <c r="C270" s="3">
        <f t="shared" si="17"/>
        <v>44</v>
      </c>
      <c r="D270" s="3" t="str">
        <f t="shared" si="18"/>
        <v>October</v>
      </c>
      <c r="E270" s="3"/>
      <c r="F270" s="3" t="str">
        <f t="shared" si="20"/>
        <v xml:space="preserve"> </v>
      </c>
      <c r="G270" s="12" t="s">
        <v>161</v>
      </c>
      <c r="H270" s="12"/>
    </row>
    <row r="271" spans="1:8" x14ac:dyDescent="0.35">
      <c r="A271" s="2">
        <v>46322</v>
      </c>
      <c r="B271" s="3" t="str">
        <f t="shared" si="19"/>
        <v>Tue</v>
      </c>
      <c r="C271" s="3">
        <f t="shared" si="17"/>
        <v>44</v>
      </c>
      <c r="D271" s="3" t="str">
        <f t="shared" si="18"/>
        <v>October</v>
      </c>
      <c r="E271" s="3"/>
      <c r="F271" s="3" t="str">
        <f t="shared" si="20"/>
        <v xml:space="preserve"> </v>
      </c>
      <c r="G271" s="12" t="s">
        <v>161</v>
      </c>
      <c r="H271" s="12"/>
    </row>
    <row r="272" spans="1:8" x14ac:dyDescent="0.35">
      <c r="A272" s="2">
        <v>46323</v>
      </c>
      <c r="B272" s="3" t="str">
        <f t="shared" si="19"/>
        <v>Wed</v>
      </c>
      <c r="C272" s="3">
        <f t="shared" si="17"/>
        <v>44</v>
      </c>
      <c r="D272" s="3" t="str">
        <f t="shared" si="18"/>
        <v>October</v>
      </c>
      <c r="E272" s="3"/>
      <c r="F272" s="3" t="str">
        <f t="shared" si="20"/>
        <v xml:space="preserve"> </v>
      </c>
      <c r="G272" s="12" t="s">
        <v>161</v>
      </c>
      <c r="H272" s="12"/>
    </row>
    <row r="273" spans="1:8" x14ac:dyDescent="0.35">
      <c r="A273" s="2">
        <v>46324</v>
      </c>
      <c r="B273" s="3" t="str">
        <f t="shared" si="19"/>
        <v>Thu</v>
      </c>
      <c r="C273" s="3">
        <f t="shared" si="17"/>
        <v>44</v>
      </c>
      <c r="D273" s="3" t="str">
        <f t="shared" si="18"/>
        <v>October</v>
      </c>
      <c r="E273" s="3"/>
      <c r="F273" s="3" t="str">
        <f t="shared" si="20"/>
        <v xml:space="preserve"> </v>
      </c>
      <c r="G273" s="12" t="s">
        <v>161</v>
      </c>
      <c r="H273" s="12"/>
    </row>
    <row r="274" spans="1:8" x14ac:dyDescent="0.35">
      <c r="A274" s="2">
        <v>46325</v>
      </c>
      <c r="B274" s="3" t="str">
        <f t="shared" si="19"/>
        <v>Fri</v>
      </c>
      <c r="C274" s="3">
        <f t="shared" si="17"/>
        <v>44</v>
      </c>
      <c r="D274" s="3" t="str">
        <f t="shared" si="18"/>
        <v>October</v>
      </c>
      <c r="E274" s="3"/>
      <c r="F274" s="3" t="str">
        <f t="shared" si="20"/>
        <v xml:space="preserve"> </v>
      </c>
      <c r="G274" s="12" t="s">
        <v>161</v>
      </c>
      <c r="H274" s="12"/>
    </row>
    <row r="275" spans="1:8" x14ac:dyDescent="0.35">
      <c r="A275" s="2">
        <v>46326</v>
      </c>
      <c r="B275" s="3" t="str">
        <f t="shared" si="19"/>
        <v>Sat</v>
      </c>
      <c r="C275" s="3">
        <f t="shared" si="17"/>
        <v>44</v>
      </c>
      <c r="D275" s="3" t="str">
        <f t="shared" si="18"/>
        <v>October</v>
      </c>
      <c r="E275" s="3"/>
      <c r="F275" s="3" t="str">
        <f t="shared" si="20"/>
        <v xml:space="preserve"> </v>
      </c>
      <c r="G275" s="12" t="s">
        <v>161</v>
      </c>
      <c r="H275" s="12"/>
    </row>
    <row r="276" spans="1:8" x14ac:dyDescent="0.35">
      <c r="A276" s="2">
        <v>46327</v>
      </c>
      <c r="B276" s="3" t="str">
        <f t="shared" si="19"/>
        <v>Sun</v>
      </c>
      <c r="C276" s="3">
        <f t="shared" si="17"/>
        <v>45</v>
      </c>
      <c r="D276" s="3" t="str">
        <f t="shared" si="18"/>
        <v>November</v>
      </c>
      <c r="E276" s="3"/>
      <c r="F276" s="3" t="str">
        <f t="shared" si="20"/>
        <v xml:space="preserve"> </v>
      </c>
      <c r="G276" s="12" t="s">
        <v>161</v>
      </c>
      <c r="H276" s="12"/>
    </row>
    <row r="277" spans="1:8" x14ac:dyDescent="0.35">
      <c r="A277" s="2">
        <v>46328</v>
      </c>
      <c r="B277" s="3" t="str">
        <f t="shared" si="19"/>
        <v>Mon</v>
      </c>
      <c r="C277" s="3">
        <f t="shared" si="17"/>
        <v>45</v>
      </c>
      <c r="D277" s="3" t="str">
        <f t="shared" si="18"/>
        <v>November</v>
      </c>
      <c r="E277" s="3"/>
      <c r="F277" s="3" t="str">
        <f t="shared" si="20"/>
        <v xml:space="preserve"> </v>
      </c>
      <c r="G277" s="12" t="s">
        <v>161</v>
      </c>
      <c r="H277" s="12"/>
    </row>
    <row r="278" spans="1:8" x14ac:dyDescent="0.35">
      <c r="A278" s="2">
        <v>46329</v>
      </c>
      <c r="B278" s="3" t="str">
        <f t="shared" si="19"/>
        <v>Tue</v>
      </c>
      <c r="C278" s="3">
        <f t="shared" si="17"/>
        <v>45</v>
      </c>
      <c r="D278" s="3" t="str">
        <f t="shared" si="18"/>
        <v>November</v>
      </c>
      <c r="E278" s="3"/>
      <c r="F278" s="3" t="str">
        <f t="shared" si="20"/>
        <v xml:space="preserve"> </v>
      </c>
      <c r="G278" s="12" t="s">
        <v>161</v>
      </c>
      <c r="H278" s="12"/>
    </row>
    <row r="279" spans="1:8" x14ac:dyDescent="0.35">
      <c r="A279" s="2">
        <v>46330</v>
      </c>
      <c r="B279" s="3" t="str">
        <f t="shared" si="19"/>
        <v>Wed</v>
      </c>
      <c r="C279" s="3">
        <f t="shared" si="17"/>
        <v>45</v>
      </c>
      <c r="D279" s="3" t="str">
        <f t="shared" si="18"/>
        <v>November</v>
      </c>
      <c r="E279" s="3"/>
      <c r="F279" s="3" t="str">
        <f t="shared" si="20"/>
        <v xml:space="preserve"> </v>
      </c>
      <c r="G279" s="12" t="s">
        <v>161</v>
      </c>
      <c r="H279" s="12"/>
    </row>
    <row r="280" spans="1:8" x14ac:dyDescent="0.35">
      <c r="A280" s="2">
        <v>46331</v>
      </c>
      <c r="B280" s="3" t="str">
        <f t="shared" si="19"/>
        <v>Thu</v>
      </c>
      <c r="C280" s="3">
        <f t="shared" si="17"/>
        <v>45</v>
      </c>
      <c r="D280" s="3" t="str">
        <f t="shared" si="18"/>
        <v>November</v>
      </c>
      <c r="E280" s="3"/>
      <c r="F280" s="3" t="str">
        <f t="shared" si="20"/>
        <v xml:space="preserve"> </v>
      </c>
      <c r="G280" s="12" t="s">
        <v>161</v>
      </c>
      <c r="H280" s="12"/>
    </row>
    <row r="281" spans="1:8" x14ac:dyDescent="0.35">
      <c r="A281" s="2">
        <v>46332</v>
      </c>
      <c r="B281" s="3" t="str">
        <f t="shared" si="19"/>
        <v>Fri</v>
      </c>
      <c r="C281" s="3">
        <f t="shared" si="17"/>
        <v>45</v>
      </c>
      <c r="D281" s="3" t="str">
        <f t="shared" si="18"/>
        <v>November</v>
      </c>
      <c r="E281" s="3"/>
      <c r="F281" s="3" t="str">
        <f t="shared" si="20"/>
        <v xml:space="preserve"> </v>
      </c>
      <c r="G281" s="12" t="s">
        <v>161</v>
      </c>
      <c r="H281" s="12"/>
    </row>
    <row r="282" spans="1:8" x14ac:dyDescent="0.35">
      <c r="A282" s="2">
        <v>46333</v>
      </c>
      <c r="B282" s="3" t="str">
        <f t="shared" si="19"/>
        <v>Sat</v>
      </c>
      <c r="C282" s="3">
        <f t="shared" si="17"/>
        <v>45</v>
      </c>
      <c r="D282" s="3" t="str">
        <f t="shared" si="18"/>
        <v>November</v>
      </c>
      <c r="E282" s="3"/>
      <c r="F282" s="3" t="str">
        <f t="shared" si="20"/>
        <v xml:space="preserve"> </v>
      </c>
      <c r="G282" s="12" t="s">
        <v>161</v>
      </c>
      <c r="H282" s="12"/>
    </row>
    <row r="283" spans="1:8" x14ac:dyDescent="0.35">
      <c r="A283" s="2">
        <v>46334</v>
      </c>
      <c r="B283" s="3" t="str">
        <f t="shared" si="19"/>
        <v>Sun</v>
      </c>
      <c r="C283" s="3">
        <f t="shared" si="17"/>
        <v>46</v>
      </c>
      <c r="D283" s="3" t="str">
        <f t="shared" si="18"/>
        <v>November</v>
      </c>
      <c r="E283" s="3"/>
      <c r="F283" s="3" t="str">
        <f t="shared" si="20"/>
        <v xml:space="preserve"> </v>
      </c>
      <c r="G283" s="12" t="s">
        <v>161</v>
      </c>
      <c r="H283" s="12"/>
    </row>
    <row r="284" spans="1:8" x14ac:dyDescent="0.35">
      <c r="A284" s="2">
        <v>46335</v>
      </c>
      <c r="B284" s="3" t="str">
        <f t="shared" si="19"/>
        <v>Mon</v>
      </c>
      <c r="C284" s="3">
        <f t="shared" si="17"/>
        <v>46</v>
      </c>
      <c r="D284" s="3" t="str">
        <f t="shared" si="18"/>
        <v>November</v>
      </c>
      <c r="E284" s="3"/>
      <c r="F284" s="3" t="str">
        <f t="shared" si="20"/>
        <v xml:space="preserve"> </v>
      </c>
      <c r="G284" s="12" t="s">
        <v>161</v>
      </c>
      <c r="H284" s="12"/>
    </row>
    <row r="285" spans="1:8" x14ac:dyDescent="0.35">
      <c r="A285" s="2">
        <v>46336</v>
      </c>
      <c r="B285" s="3" t="str">
        <f t="shared" si="19"/>
        <v>Tue</v>
      </c>
      <c r="C285" s="3">
        <f t="shared" si="17"/>
        <v>46</v>
      </c>
      <c r="D285" s="3" t="str">
        <f t="shared" si="18"/>
        <v>November</v>
      </c>
      <c r="E285" s="3"/>
      <c r="F285" s="3" t="str">
        <f t="shared" si="20"/>
        <v xml:space="preserve"> </v>
      </c>
      <c r="G285" s="12" t="s">
        <v>161</v>
      </c>
      <c r="H285" s="12"/>
    </row>
    <row r="286" spans="1:8" x14ac:dyDescent="0.35">
      <c r="A286" s="2">
        <v>46337</v>
      </c>
      <c r="B286" s="3" t="str">
        <f t="shared" si="19"/>
        <v>Wed</v>
      </c>
      <c r="C286" s="3">
        <f t="shared" si="17"/>
        <v>46</v>
      </c>
      <c r="D286" s="3" t="str">
        <f t="shared" si="18"/>
        <v>November</v>
      </c>
      <c r="E286" s="3"/>
      <c r="F286" s="3" t="str">
        <f t="shared" si="20"/>
        <v xml:space="preserve"> </v>
      </c>
      <c r="G286" s="12" t="s">
        <v>161</v>
      </c>
      <c r="H286" s="12"/>
    </row>
    <row r="287" spans="1:8" x14ac:dyDescent="0.35">
      <c r="A287" s="2">
        <v>46338</v>
      </c>
      <c r="B287" s="3" t="str">
        <f t="shared" si="19"/>
        <v>Thu</v>
      </c>
      <c r="C287" s="3">
        <f t="shared" si="17"/>
        <v>46</v>
      </c>
      <c r="D287" s="3" t="str">
        <f t="shared" si="18"/>
        <v>November</v>
      </c>
      <c r="E287" s="3"/>
      <c r="F287" s="3" t="str">
        <f t="shared" si="20"/>
        <v xml:space="preserve"> </v>
      </c>
      <c r="G287" s="12" t="s">
        <v>161</v>
      </c>
      <c r="H287" s="12"/>
    </row>
    <row r="288" spans="1:8" x14ac:dyDescent="0.35">
      <c r="A288" s="2">
        <v>46339</v>
      </c>
      <c r="B288" s="3" t="str">
        <f t="shared" si="19"/>
        <v>Fri</v>
      </c>
      <c r="C288" s="3">
        <f t="shared" si="17"/>
        <v>46</v>
      </c>
      <c r="D288" s="3" t="str">
        <f t="shared" si="18"/>
        <v>November</v>
      </c>
      <c r="E288" s="3"/>
      <c r="F288" s="3" t="str">
        <f t="shared" si="20"/>
        <v xml:space="preserve"> </v>
      </c>
      <c r="G288" s="12" t="s">
        <v>161</v>
      </c>
      <c r="H288" s="12"/>
    </row>
    <row r="289" spans="1:8" x14ac:dyDescent="0.35">
      <c r="A289" s="2">
        <v>46340</v>
      </c>
      <c r="B289" s="3" t="str">
        <f t="shared" si="19"/>
        <v>Sat</v>
      </c>
      <c r="C289" s="3">
        <f t="shared" si="17"/>
        <v>46</v>
      </c>
      <c r="D289" s="3" t="str">
        <f t="shared" si="18"/>
        <v>November</v>
      </c>
      <c r="E289" s="3"/>
      <c r="F289" s="3" t="str">
        <f t="shared" si="20"/>
        <v xml:space="preserve"> </v>
      </c>
      <c r="G289" s="12" t="s">
        <v>161</v>
      </c>
      <c r="H289" s="12"/>
    </row>
  </sheetData>
  <mergeCells count="1">
    <mergeCell ref="A1:F1"/>
  </mergeCells>
  <phoneticPr fontId="7" type="noConversion"/>
  <conditionalFormatting sqref="B1:B1048576">
    <cfRule type="containsText" dxfId="17" priority="9" operator="containsText" text="MGG">
      <formula>NOT(ISERROR(SEARCH("MGG",B1)))</formula>
    </cfRule>
  </conditionalFormatting>
  <conditionalFormatting sqref="B2:B1048576">
    <cfRule type="containsText" dxfId="16" priority="10" operator="containsText" text="SUN">
      <formula>NOT(ISERROR(SEARCH("SUN",B2)))</formula>
    </cfRule>
  </conditionalFormatting>
  <conditionalFormatting sqref="F1 F3:F1048576">
    <cfRule type="containsText" dxfId="15" priority="6" operator="containsText" text="IZIN">
      <formula>NOT(ISERROR(SEARCH("IZIN",F1)))</formula>
    </cfRule>
    <cfRule type="containsText" dxfId="14" priority="7" operator="containsText" text="SAKIT">
      <formula>NOT(ISERROR(SEARCH("SAKIT",F1)))</formula>
    </cfRule>
    <cfRule type="containsText" dxfId="13" priority="8" operator="containsText" text="MASUK">
      <formula>NOT(ISERROR(SEARCH("MASUK",F1)))</formula>
    </cfRule>
  </conditionalFormatting>
  <conditionalFormatting sqref="F1:F1048576">
    <cfRule type="containsText" dxfId="12" priority="1" operator="containsText" text="LEMBUR">
      <formula>NOT(ISERROR(SEARCH("LEMBUR",F1)))</formula>
    </cfRule>
    <cfRule type="containsText" dxfId="11" priority="2" operator="containsText" text="TOTAL HARI KERJA">
      <formula>NOT(ISERROR(SEARCH("TOTAL HARI KERJA",F1)))</formula>
    </cfRule>
    <cfRule type="containsText" dxfId="10" priority="3" operator="containsText" text="MERAH">
      <formula>NOT(ISERROR(SEARCH("MERAH",F1)))</formula>
    </cfRule>
  </conditionalFormatting>
  <conditionalFormatting sqref="F2:H2">
    <cfRule type="containsText" dxfId="9" priority="4" operator="containsText" text="MASUK">
      <formula>NOT(ISERROR(SEARCH("MASUK",F2)))</formula>
    </cfRule>
  </conditionalFormatting>
  <pageMargins left="0.7" right="0.7" top="0.75" bottom="0.75" header="0.3" footer="0.3"/>
  <pageSetup paperSize="256" orientation="portrait" horizontalDpi="203" verticalDpi="20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C9F5B-217F-4E9A-95CB-1CF0204B3086}">
  <dimension ref="A1:L230"/>
  <sheetViews>
    <sheetView zoomScale="85" zoomScaleNormal="85" workbookViewId="0">
      <pane ySplit="2" topLeftCell="A87" activePane="bottomLeft" state="frozen"/>
      <selection pane="bottomLeft" activeCell="E93" sqref="E93"/>
    </sheetView>
  </sheetViews>
  <sheetFormatPr defaultRowHeight="14.5" x14ac:dyDescent="0.35"/>
  <cols>
    <col min="1" max="1" width="8.81640625" bestFit="1" customWidth="1"/>
    <col min="2" max="2" width="4.54296875" bestFit="1" customWidth="1"/>
    <col min="3" max="3" width="5.90625" bestFit="1" customWidth="1"/>
    <col min="4" max="4" width="9.81640625" bestFit="1" customWidth="1"/>
    <col min="5" max="5" width="11.453125" bestFit="1" customWidth="1"/>
    <col min="6" max="6" width="13.36328125" bestFit="1" customWidth="1"/>
    <col min="7" max="7" width="21.54296875" bestFit="1" customWidth="1"/>
    <col min="8" max="8" width="8.1796875" bestFit="1" customWidth="1"/>
    <col min="366" max="366" width="9.90625" customWidth="1"/>
  </cols>
  <sheetData>
    <row r="1" spans="1:12" ht="90" customHeight="1" x14ac:dyDescent="0.35">
      <c r="A1" s="115" t="s">
        <v>162</v>
      </c>
      <c r="B1" s="115"/>
      <c r="C1" s="115"/>
      <c r="D1" s="115"/>
      <c r="E1" s="115"/>
      <c r="F1" s="115"/>
      <c r="J1" s="105" t="s">
        <v>166</v>
      </c>
    </row>
    <row r="2" spans="1:12" x14ac:dyDescent="0.35">
      <c r="A2" s="1" t="s">
        <v>1</v>
      </c>
      <c r="B2" s="1" t="s">
        <v>2</v>
      </c>
      <c r="C2" s="1" t="s">
        <v>3</v>
      </c>
      <c r="D2" s="1" t="s">
        <v>4</v>
      </c>
      <c r="E2" s="1" t="s">
        <v>25</v>
      </c>
      <c r="F2" s="1" t="s">
        <v>12</v>
      </c>
      <c r="G2" s="1" t="s">
        <v>22</v>
      </c>
      <c r="H2" s="1" t="s">
        <v>139</v>
      </c>
    </row>
    <row r="3" spans="1:12" x14ac:dyDescent="0.35">
      <c r="A3" s="2">
        <v>46113</v>
      </c>
      <c r="B3" s="3" t="str">
        <f t="shared" ref="B3:B7" si="0">TEXT(A3,"DDD")</f>
        <v>Wed</v>
      </c>
      <c r="C3" s="3">
        <f t="shared" ref="C3:C7" si="1">WEEKNUM(A3)</f>
        <v>14</v>
      </c>
      <c r="D3" s="3" t="str">
        <f t="shared" ref="D3:D7" si="2">TEXT(A3,"mmmm")</f>
        <v>April</v>
      </c>
      <c r="E3" s="3" t="s">
        <v>5</v>
      </c>
      <c r="F3" s="3" t="str">
        <f t="shared" ref="F3:F7" si="3">IF(E3="J1",$L$3,IF(E3="J2",$L$4,IF(E3="J3",$L$5,IF(E3="J4",$L$6,IF(E3="J5",$L$7," ")))))</f>
        <v>Total hari kerja</v>
      </c>
      <c r="G3" s="12" t="s">
        <v>166</v>
      </c>
      <c r="H3" s="12">
        <v>3</v>
      </c>
      <c r="K3" t="s">
        <v>5</v>
      </c>
      <c r="L3" s="11" t="s">
        <v>20</v>
      </c>
    </row>
    <row r="4" spans="1:12" x14ac:dyDescent="0.35">
      <c r="A4" s="2">
        <v>46114</v>
      </c>
      <c r="B4" s="3" t="str">
        <f t="shared" si="0"/>
        <v>Thu</v>
      </c>
      <c r="C4" s="3">
        <f t="shared" si="1"/>
        <v>14</v>
      </c>
      <c r="D4" s="3" t="str">
        <f t="shared" si="2"/>
        <v>April</v>
      </c>
      <c r="E4" s="3" t="s">
        <v>5</v>
      </c>
      <c r="F4" s="3" t="str">
        <f t="shared" si="3"/>
        <v>Total hari kerja</v>
      </c>
      <c r="G4" s="12" t="s">
        <v>166</v>
      </c>
      <c r="H4" s="12">
        <v>2</v>
      </c>
      <c r="K4" t="s">
        <v>7</v>
      </c>
      <c r="L4" s="4" t="s">
        <v>30</v>
      </c>
    </row>
    <row r="5" spans="1:12" x14ac:dyDescent="0.35">
      <c r="A5" s="2">
        <v>46115</v>
      </c>
      <c r="B5" s="3" t="str">
        <f t="shared" si="0"/>
        <v>Fri</v>
      </c>
      <c r="C5" s="3">
        <f t="shared" si="1"/>
        <v>14</v>
      </c>
      <c r="D5" s="3" t="str">
        <f t="shared" si="2"/>
        <v>April</v>
      </c>
      <c r="E5" s="3" t="s">
        <v>5</v>
      </c>
      <c r="F5" s="3" t="str">
        <f t="shared" si="3"/>
        <v>Total hari kerja</v>
      </c>
      <c r="G5" s="12" t="s">
        <v>166</v>
      </c>
      <c r="H5" s="12">
        <v>5</v>
      </c>
      <c r="K5" t="s">
        <v>9</v>
      </c>
      <c r="L5" s="10" t="s">
        <v>118</v>
      </c>
    </row>
    <row r="6" spans="1:12" x14ac:dyDescent="0.35">
      <c r="A6" s="2">
        <v>46116</v>
      </c>
      <c r="B6" s="3" t="str">
        <f t="shared" si="0"/>
        <v>Sat</v>
      </c>
      <c r="C6" s="3">
        <f t="shared" si="1"/>
        <v>14</v>
      </c>
      <c r="D6" s="3" t="str">
        <f t="shared" si="2"/>
        <v>April</v>
      </c>
      <c r="E6" s="3" t="s">
        <v>5</v>
      </c>
      <c r="F6" s="3" t="str">
        <f t="shared" si="3"/>
        <v>Total hari kerja</v>
      </c>
      <c r="G6" s="12" t="s">
        <v>166</v>
      </c>
      <c r="H6" s="12">
        <v>5</v>
      </c>
      <c r="K6" t="s">
        <v>10</v>
      </c>
      <c r="L6" s="5" t="s">
        <v>139</v>
      </c>
    </row>
    <row r="7" spans="1:12" x14ac:dyDescent="0.35">
      <c r="A7" s="2">
        <v>46117</v>
      </c>
      <c r="B7" s="3" t="str">
        <f t="shared" si="0"/>
        <v>Sun</v>
      </c>
      <c r="C7" s="3">
        <f t="shared" si="1"/>
        <v>15</v>
      </c>
      <c r="D7" s="3" t="str">
        <f t="shared" si="2"/>
        <v>April</v>
      </c>
      <c r="E7" s="3"/>
      <c r="F7" s="3" t="str">
        <f t="shared" si="3"/>
        <v xml:space="preserve"> </v>
      </c>
      <c r="G7" s="12" t="s">
        <v>166</v>
      </c>
      <c r="H7" s="12"/>
      <c r="K7" t="s">
        <v>11</v>
      </c>
      <c r="L7" s="6" t="s">
        <v>138</v>
      </c>
    </row>
    <row r="8" spans="1:12" x14ac:dyDescent="0.35">
      <c r="A8" s="2">
        <v>46118</v>
      </c>
      <c r="B8" s="3" t="str">
        <f t="shared" ref="B8:B71" si="4">TEXT(A8,"DDD")</f>
        <v>Mon</v>
      </c>
      <c r="C8" s="3">
        <f t="shared" ref="C8:C71" si="5">WEEKNUM(A8)</f>
        <v>15</v>
      </c>
      <c r="D8" s="3" t="str">
        <f t="shared" ref="D8:D71" si="6">TEXT(A8,"mmmm")</f>
        <v>April</v>
      </c>
      <c r="E8" s="3" t="s">
        <v>5</v>
      </c>
      <c r="F8" s="3" t="str">
        <f t="shared" ref="F8:F71" si="7">IF(E8="J1",$L$3,IF(E8="J2",$L$4,IF(E8="J3",$L$5,IF(E8="J4",$L$6,IF(E8="J5",$L$7," ")))))</f>
        <v>Total hari kerja</v>
      </c>
      <c r="G8" s="12" t="s">
        <v>166</v>
      </c>
      <c r="H8" s="12">
        <v>5</v>
      </c>
    </row>
    <row r="9" spans="1:12" x14ac:dyDescent="0.35">
      <c r="A9" s="2">
        <v>46119</v>
      </c>
      <c r="B9" s="3" t="str">
        <f t="shared" si="4"/>
        <v>Tue</v>
      </c>
      <c r="C9" s="3">
        <f t="shared" si="5"/>
        <v>15</v>
      </c>
      <c r="D9" s="3" t="str">
        <f t="shared" si="6"/>
        <v>April</v>
      </c>
      <c r="E9" s="3" t="s">
        <v>5</v>
      </c>
      <c r="F9" s="3" t="str">
        <f t="shared" si="7"/>
        <v>Total hari kerja</v>
      </c>
      <c r="G9" s="12" t="s">
        <v>166</v>
      </c>
      <c r="H9" s="12">
        <v>5</v>
      </c>
    </row>
    <row r="10" spans="1:12" x14ac:dyDescent="0.35">
      <c r="A10" s="2">
        <v>46120</v>
      </c>
      <c r="B10" s="3" t="str">
        <f t="shared" si="4"/>
        <v>Wed</v>
      </c>
      <c r="C10" s="3">
        <f t="shared" si="5"/>
        <v>15</v>
      </c>
      <c r="D10" s="3" t="str">
        <f t="shared" si="6"/>
        <v>April</v>
      </c>
      <c r="E10" s="3" t="s">
        <v>5</v>
      </c>
      <c r="F10" s="3" t="str">
        <f t="shared" si="7"/>
        <v>Total hari kerja</v>
      </c>
      <c r="G10" s="12" t="s">
        <v>166</v>
      </c>
      <c r="H10" s="12">
        <v>5</v>
      </c>
    </row>
    <row r="11" spans="1:12" x14ac:dyDescent="0.35">
      <c r="A11" s="2">
        <v>46121</v>
      </c>
      <c r="B11" s="3" t="str">
        <f t="shared" si="4"/>
        <v>Thu</v>
      </c>
      <c r="C11" s="3">
        <f t="shared" si="5"/>
        <v>15</v>
      </c>
      <c r="D11" s="3" t="str">
        <f t="shared" si="6"/>
        <v>April</v>
      </c>
      <c r="E11" s="3" t="s">
        <v>5</v>
      </c>
      <c r="F11" s="3" t="str">
        <f t="shared" si="7"/>
        <v>Total hari kerja</v>
      </c>
      <c r="G11" s="12" t="s">
        <v>166</v>
      </c>
      <c r="H11" s="12">
        <v>5</v>
      </c>
    </row>
    <row r="12" spans="1:12" x14ac:dyDescent="0.35">
      <c r="A12" s="2">
        <v>46122</v>
      </c>
      <c r="B12" s="3" t="str">
        <f t="shared" si="4"/>
        <v>Fri</v>
      </c>
      <c r="C12" s="3">
        <f t="shared" si="5"/>
        <v>15</v>
      </c>
      <c r="D12" s="3" t="str">
        <f t="shared" si="6"/>
        <v>April</v>
      </c>
      <c r="E12" s="3" t="s">
        <v>7</v>
      </c>
      <c r="F12" s="3" t="str">
        <f t="shared" si="7"/>
        <v>Ijin/Sakit/Alfa</v>
      </c>
      <c r="G12" s="12" t="s">
        <v>166</v>
      </c>
      <c r="H12" s="12"/>
    </row>
    <row r="13" spans="1:12" x14ac:dyDescent="0.35">
      <c r="A13" s="109">
        <v>46123</v>
      </c>
      <c r="B13" s="3" t="str">
        <f t="shared" si="4"/>
        <v>Sat</v>
      </c>
      <c r="C13" s="3">
        <f t="shared" si="5"/>
        <v>15</v>
      </c>
      <c r="D13" s="3" t="str">
        <f t="shared" si="6"/>
        <v>April</v>
      </c>
      <c r="E13" s="3" t="s">
        <v>5</v>
      </c>
      <c r="F13" s="3" t="str">
        <f t="shared" si="7"/>
        <v>Total hari kerja</v>
      </c>
      <c r="G13" s="12" t="s">
        <v>166</v>
      </c>
      <c r="H13" s="12">
        <v>4.5</v>
      </c>
    </row>
    <row r="14" spans="1:12" x14ac:dyDescent="0.35">
      <c r="A14" s="2">
        <v>46124</v>
      </c>
      <c r="B14" s="3" t="str">
        <f t="shared" si="4"/>
        <v>Sun</v>
      </c>
      <c r="C14" s="3">
        <f t="shared" si="5"/>
        <v>16</v>
      </c>
      <c r="D14" s="3" t="str">
        <f t="shared" si="6"/>
        <v>April</v>
      </c>
      <c r="E14" s="3"/>
      <c r="F14" s="3" t="str">
        <f t="shared" si="7"/>
        <v xml:space="preserve"> </v>
      </c>
      <c r="G14" s="12" t="s">
        <v>166</v>
      </c>
      <c r="H14" s="12"/>
    </row>
    <row r="15" spans="1:12" x14ac:dyDescent="0.35">
      <c r="A15" s="2">
        <v>46125</v>
      </c>
      <c r="B15" s="3" t="str">
        <f t="shared" si="4"/>
        <v>Mon</v>
      </c>
      <c r="C15" s="3">
        <f t="shared" si="5"/>
        <v>16</v>
      </c>
      <c r="D15" s="3" t="str">
        <f t="shared" si="6"/>
        <v>April</v>
      </c>
      <c r="E15" s="3" t="s">
        <v>5</v>
      </c>
      <c r="F15" s="3" t="str">
        <f t="shared" si="7"/>
        <v>Total hari kerja</v>
      </c>
      <c r="G15" s="12" t="s">
        <v>166</v>
      </c>
      <c r="H15" s="12">
        <v>5</v>
      </c>
    </row>
    <row r="16" spans="1:12" x14ac:dyDescent="0.35">
      <c r="A16" s="2">
        <v>46126</v>
      </c>
      <c r="B16" s="3" t="str">
        <f t="shared" si="4"/>
        <v>Tue</v>
      </c>
      <c r="C16" s="3">
        <f t="shared" si="5"/>
        <v>16</v>
      </c>
      <c r="D16" s="3" t="str">
        <f t="shared" si="6"/>
        <v>April</v>
      </c>
      <c r="E16" s="3" t="s">
        <v>5</v>
      </c>
      <c r="F16" s="3" t="str">
        <f t="shared" si="7"/>
        <v>Total hari kerja</v>
      </c>
      <c r="G16" s="12" t="s">
        <v>166</v>
      </c>
      <c r="H16" s="12">
        <v>5</v>
      </c>
    </row>
    <row r="17" spans="1:8" x14ac:dyDescent="0.35">
      <c r="A17" s="2">
        <v>46127</v>
      </c>
      <c r="B17" s="3" t="str">
        <f t="shared" si="4"/>
        <v>Wed</v>
      </c>
      <c r="C17" s="3">
        <f t="shared" si="5"/>
        <v>16</v>
      </c>
      <c r="D17" s="3" t="str">
        <f t="shared" si="6"/>
        <v>April</v>
      </c>
      <c r="E17" s="3" t="s">
        <v>5</v>
      </c>
      <c r="F17" s="3" t="str">
        <f t="shared" si="7"/>
        <v>Total hari kerja</v>
      </c>
      <c r="G17" s="12" t="s">
        <v>166</v>
      </c>
      <c r="H17" s="12">
        <v>5</v>
      </c>
    </row>
    <row r="18" spans="1:8" x14ac:dyDescent="0.35">
      <c r="A18" s="2">
        <v>46128</v>
      </c>
      <c r="B18" s="3" t="str">
        <f t="shared" si="4"/>
        <v>Thu</v>
      </c>
      <c r="C18" s="3">
        <f t="shared" si="5"/>
        <v>16</v>
      </c>
      <c r="D18" s="3" t="str">
        <f t="shared" si="6"/>
        <v>April</v>
      </c>
      <c r="E18" s="3" t="s">
        <v>5</v>
      </c>
      <c r="F18" s="3" t="str">
        <f t="shared" si="7"/>
        <v>Total hari kerja</v>
      </c>
      <c r="G18" s="12" t="s">
        <v>166</v>
      </c>
      <c r="H18" s="12">
        <v>5</v>
      </c>
    </row>
    <row r="19" spans="1:8" x14ac:dyDescent="0.35">
      <c r="A19" s="2">
        <v>46129</v>
      </c>
      <c r="B19" s="3" t="str">
        <f t="shared" si="4"/>
        <v>Fri</v>
      </c>
      <c r="C19" s="3">
        <f t="shared" si="5"/>
        <v>16</v>
      </c>
      <c r="D19" s="3" t="str">
        <f t="shared" si="6"/>
        <v>April</v>
      </c>
      <c r="E19" s="3" t="s">
        <v>5</v>
      </c>
      <c r="F19" s="3" t="str">
        <f t="shared" si="7"/>
        <v>Total hari kerja</v>
      </c>
      <c r="G19" s="12" t="s">
        <v>166</v>
      </c>
      <c r="H19" s="12">
        <v>4</v>
      </c>
    </row>
    <row r="20" spans="1:8" x14ac:dyDescent="0.35">
      <c r="A20" s="2">
        <v>46130</v>
      </c>
      <c r="B20" s="3" t="str">
        <f t="shared" si="4"/>
        <v>Sat</v>
      </c>
      <c r="C20" s="3">
        <f t="shared" si="5"/>
        <v>16</v>
      </c>
      <c r="D20" s="3" t="str">
        <f t="shared" si="6"/>
        <v>April</v>
      </c>
      <c r="E20" s="3" t="s">
        <v>5</v>
      </c>
      <c r="F20" s="3" t="str">
        <f t="shared" si="7"/>
        <v>Total hari kerja</v>
      </c>
      <c r="G20" s="12" t="s">
        <v>166</v>
      </c>
      <c r="H20" s="12">
        <v>3</v>
      </c>
    </row>
    <row r="21" spans="1:8" x14ac:dyDescent="0.35">
      <c r="A21" s="2">
        <v>46131</v>
      </c>
      <c r="B21" s="3" t="str">
        <f t="shared" si="4"/>
        <v>Sun</v>
      </c>
      <c r="C21" s="3">
        <f t="shared" si="5"/>
        <v>17</v>
      </c>
      <c r="D21" s="3" t="str">
        <f t="shared" si="6"/>
        <v>April</v>
      </c>
      <c r="E21" s="3"/>
      <c r="F21" s="3" t="str">
        <f t="shared" si="7"/>
        <v xml:space="preserve"> </v>
      </c>
      <c r="G21" s="12" t="s">
        <v>166</v>
      </c>
      <c r="H21" s="12"/>
    </row>
    <row r="22" spans="1:8" x14ac:dyDescent="0.35">
      <c r="A22" s="2">
        <v>46132</v>
      </c>
      <c r="B22" s="3" t="str">
        <f t="shared" si="4"/>
        <v>Mon</v>
      </c>
      <c r="C22" s="3">
        <f t="shared" si="5"/>
        <v>17</v>
      </c>
      <c r="D22" s="3" t="str">
        <f t="shared" si="6"/>
        <v>April</v>
      </c>
      <c r="E22" s="3" t="s">
        <v>5</v>
      </c>
      <c r="F22" s="3" t="str">
        <f t="shared" si="7"/>
        <v>Total hari kerja</v>
      </c>
      <c r="G22" s="12" t="s">
        <v>166</v>
      </c>
      <c r="H22" s="12">
        <v>2.5</v>
      </c>
    </row>
    <row r="23" spans="1:8" x14ac:dyDescent="0.35">
      <c r="A23" s="2">
        <v>46133</v>
      </c>
      <c r="B23" s="3" t="str">
        <f t="shared" si="4"/>
        <v>Tue</v>
      </c>
      <c r="C23" s="3">
        <f t="shared" si="5"/>
        <v>17</v>
      </c>
      <c r="D23" s="3" t="str">
        <f t="shared" si="6"/>
        <v>April</v>
      </c>
      <c r="E23" s="3" t="s">
        <v>5</v>
      </c>
      <c r="F23" s="3" t="str">
        <f t="shared" si="7"/>
        <v>Total hari kerja</v>
      </c>
      <c r="G23" s="12" t="s">
        <v>166</v>
      </c>
      <c r="H23" s="12">
        <v>2.5</v>
      </c>
    </row>
    <row r="24" spans="1:8" x14ac:dyDescent="0.35">
      <c r="A24" s="2">
        <v>46134</v>
      </c>
      <c r="B24" s="3" t="str">
        <f t="shared" si="4"/>
        <v>Wed</v>
      </c>
      <c r="C24" s="3">
        <f t="shared" si="5"/>
        <v>17</v>
      </c>
      <c r="D24" s="3" t="str">
        <f t="shared" si="6"/>
        <v>April</v>
      </c>
      <c r="E24" s="3" t="s">
        <v>5</v>
      </c>
      <c r="F24" s="3" t="str">
        <f t="shared" si="7"/>
        <v>Total hari kerja</v>
      </c>
      <c r="G24" s="12" t="s">
        <v>166</v>
      </c>
      <c r="H24" s="12">
        <v>2.5</v>
      </c>
    </row>
    <row r="25" spans="1:8" x14ac:dyDescent="0.35">
      <c r="A25" s="2">
        <v>46135</v>
      </c>
      <c r="B25" s="3" t="str">
        <f t="shared" si="4"/>
        <v>Thu</v>
      </c>
      <c r="C25" s="3">
        <f t="shared" si="5"/>
        <v>17</v>
      </c>
      <c r="D25" s="3" t="str">
        <f t="shared" si="6"/>
        <v>April</v>
      </c>
      <c r="E25" s="3" t="s">
        <v>5</v>
      </c>
      <c r="F25" s="3" t="str">
        <f t="shared" si="7"/>
        <v>Total hari kerja</v>
      </c>
      <c r="G25" s="12" t="s">
        <v>166</v>
      </c>
      <c r="H25" s="12">
        <v>2.5</v>
      </c>
    </row>
    <row r="26" spans="1:8" x14ac:dyDescent="0.35">
      <c r="A26" s="2">
        <v>46136</v>
      </c>
      <c r="B26" s="3" t="str">
        <f t="shared" si="4"/>
        <v>Fri</v>
      </c>
      <c r="C26" s="3">
        <f t="shared" si="5"/>
        <v>17</v>
      </c>
      <c r="D26" s="3" t="str">
        <f t="shared" si="6"/>
        <v>April</v>
      </c>
      <c r="E26" s="3" t="s">
        <v>5</v>
      </c>
      <c r="F26" s="3" t="str">
        <f t="shared" si="7"/>
        <v>Total hari kerja</v>
      </c>
      <c r="G26" s="12" t="s">
        <v>166</v>
      </c>
      <c r="H26" s="12">
        <v>3</v>
      </c>
    </row>
    <row r="27" spans="1:8" x14ac:dyDescent="0.35">
      <c r="A27" s="2">
        <v>46137</v>
      </c>
      <c r="B27" s="3" t="str">
        <f t="shared" si="4"/>
        <v>Sat</v>
      </c>
      <c r="C27" s="3">
        <f t="shared" si="5"/>
        <v>17</v>
      </c>
      <c r="D27" s="3" t="str">
        <f t="shared" si="6"/>
        <v>April</v>
      </c>
      <c r="E27" s="3" t="s">
        <v>5</v>
      </c>
      <c r="F27" s="3" t="str">
        <f t="shared" si="7"/>
        <v>Total hari kerja</v>
      </c>
      <c r="G27" s="12" t="s">
        <v>166</v>
      </c>
      <c r="H27" s="12">
        <v>1.5</v>
      </c>
    </row>
    <row r="28" spans="1:8" x14ac:dyDescent="0.35">
      <c r="A28" s="2">
        <v>46138</v>
      </c>
      <c r="B28" s="3" t="str">
        <f t="shared" si="4"/>
        <v>Sun</v>
      </c>
      <c r="C28" s="3">
        <f t="shared" si="5"/>
        <v>18</v>
      </c>
      <c r="D28" s="3" t="str">
        <f t="shared" si="6"/>
        <v>April</v>
      </c>
      <c r="E28" s="3"/>
      <c r="F28" s="3" t="str">
        <f t="shared" si="7"/>
        <v xml:space="preserve"> </v>
      </c>
      <c r="G28" s="12" t="s">
        <v>166</v>
      </c>
      <c r="H28" s="12"/>
    </row>
    <row r="29" spans="1:8" x14ac:dyDescent="0.35">
      <c r="A29" s="2">
        <v>46139</v>
      </c>
      <c r="B29" s="3" t="str">
        <f t="shared" si="4"/>
        <v>Mon</v>
      </c>
      <c r="C29" s="3">
        <f t="shared" si="5"/>
        <v>18</v>
      </c>
      <c r="D29" s="3" t="str">
        <f t="shared" si="6"/>
        <v>April</v>
      </c>
      <c r="E29" s="3" t="s">
        <v>5</v>
      </c>
      <c r="F29" s="3" t="str">
        <f t="shared" si="7"/>
        <v>Total hari kerja</v>
      </c>
      <c r="G29" s="12" t="s">
        <v>166</v>
      </c>
      <c r="H29" s="12">
        <v>0.5</v>
      </c>
    </row>
    <row r="30" spans="1:8" x14ac:dyDescent="0.35">
      <c r="A30" s="2">
        <v>46140</v>
      </c>
      <c r="B30" s="3" t="str">
        <f t="shared" si="4"/>
        <v>Tue</v>
      </c>
      <c r="C30" s="3">
        <f t="shared" si="5"/>
        <v>18</v>
      </c>
      <c r="D30" s="3" t="str">
        <f t="shared" si="6"/>
        <v>April</v>
      </c>
      <c r="E30" s="3" t="s">
        <v>5</v>
      </c>
      <c r="F30" s="3" t="str">
        <f t="shared" si="7"/>
        <v>Total hari kerja</v>
      </c>
      <c r="G30" s="12" t="s">
        <v>166</v>
      </c>
      <c r="H30" s="12">
        <v>1</v>
      </c>
    </row>
    <row r="31" spans="1:8" x14ac:dyDescent="0.35">
      <c r="A31" s="2">
        <v>46141</v>
      </c>
      <c r="B31" s="3" t="str">
        <f t="shared" si="4"/>
        <v>Wed</v>
      </c>
      <c r="C31" s="3">
        <f t="shared" si="5"/>
        <v>18</v>
      </c>
      <c r="D31" s="3" t="str">
        <f t="shared" si="6"/>
        <v>April</v>
      </c>
      <c r="E31" s="3" t="s">
        <v>5</v>
      </c>
      <c r="F31" s="3" t="str">
        <f t="shared" si="7"/>
        <v>Total hari kerja</v>
      </c>
      <c r="G31" s="12" t="s">
        <v>166</v>
      </c>
      <c r="H31" s="12">
        <v>1</v>
      </c>
    </row>
    <row r="32" spans="1:8" x14ac:dyDescent="0.35">
      <c r="A32" s="2">
        <v>46142</v>
      </c>
      <c r="B32" s="3" t="str">
        <f t="shared" si="4"/>
        <v>Thu</v>
      </c>
      <c r="C32" s="3">
        <f t="shared" si="5"/>
        <v>18</v>
      </c>
      <c r="D32" s="3" t="str">
        <f t="shared" si="6"/>
        <v>April</v>
      </c>
      <c r="E32" s="3" t="s">
        <v>5</v>
      </c>
      <c r="F32" s="3" t="str">
        <f t="shared" si="7"/>
        <v>Total hari kerja</v>
      </c>
      <c r="G32" s="12" t="s">
        <v>166</v>
      </c>
      <c r="H32" s="12">
        <v>2.5</v>
      </c>
    </row>
    <row r="33" spans="1:8" x14ac:dyDescent="0.35">
      <c r="A33" s="2">
        <v>46143</v>
      </c>
      <c r="B33" s="3" t="str">
        <f t="shared" si="4"/>
        <v>Fri</v>
      </c>
      <c r="C33" s="3">
        <f t="shared" si="5"/>
        <v>18</v>
      </c>
      <c r="D33" s="3" t="str">
        <f t="shared" si="6"/>
        <v>May</v>
      </c>
      <c r="E33" s="3" t="s">
        <v>5</v>
      </c>
      <c r="F33" s="3" t="str">
        <f t="shared" si="7"/>
        <v>Total hari kerja</v>
      </c>
      <c r="G33" s="12" t="s">
        <v>166</v>
      </c>
      <c r="H33" s="12">
        <v>2</v>
      </c>
    </row>
    <row r="34" spans="1:8" x14ac:dyDescent="0.35">
      <c r="A34" s="2">
        <v>46144</v>
      </c>
      <c r="B34" s="3" t="str">
        <f t="shared" si="4"/>
        <v>Sat</v>
      </c>
      <c r="C34" s="3">
        <f t="shared" si="5"/>
        <v>18</v>
      </c>
      <c r="D34" s="3" t="str">
        <f t="shared" si="6"/>
        <v>May</v>
      </c>
      <c r="E34" s="3" t="s">
        <v>5</v>
      </c>
      <c r="F34" s="3" t="str">
        <f t="shared" si="7"/>
        <v>Total hari kerja</v>
      </c>
      <c r="G34" s="12" t="s">
        <v>166</v>
      </c>
      <c r="H34" s="12">
        <v>2.5</v>
      </c>
    </row>
    <row r="35" spans="1:8" x14ac:dyDescent="0.35">
      <c r="A35" s="2">
        <v>46145</v>
      </c>
      <c r="B35" s="3" t="str">
        <f t="shared" si="4"/>
        <v>Sun</v>
      </c>
      <c r="C35" s="3">
        <f t="shared" si="5"/>
        <v>19</v>
      </c>
      <c r="D35" s="3" t="str">
        <f t="shared" si="6"/>
        <v>May</v>
      </c>
      <c r="E35" s="3"/>
      <c r="F35" s="3" t="str">
        <f t="shared" si="7"/>
        <v xml:space="preserve"> </v>
      </c>
      <c r="G35" s="12" t="s">
        <v>166</v>
      </c>
      <c r="H35" s="12"/>
    </row>
    <row r="36" spans="1:8" x14ac:dyDescent="0.35">
      <c r="A36" s="2">
        <v>46146</v>
      </c>
      <c r="B36" s="3" t="str">
        <f t="shared" si="4"/>
        <v>Mon</v>
      </c>
      <c r="C36" s="3">
        <f t="shared" si="5"/>
        <v>19</v>
      </c>
      <c r="D36" s="3" t="str">
        <f t="shared" si="6"/>
        <v>May</v>
      </c>
      <c r="E36" s="3" t="s">
        <v>5</v>
      </c>
      <c r="F36" s="3" t="str">
        <f t="shared" si="7"/>
        <v>Total hari kerja</v>
      </c>
      <c r="G36" s="12" t="s">
        <v>166</v>
      </c>
      <c r="H36" s="12">
        <v>3</v>
      </c>
    </row>
    <row r="37" spans="1:8" x14ac:dyDescent="0.35">
      <c r="A37" s="2">
        <v>46147</v>
      </c>
      <c r="B37" s="3" t="str">
        <f t="shared" si="4"/>
        <v>Tue</v>
      </c>
      <c r="C37" s="3">
        <f t="shared" si="5"/>
        <v>19</v>
      </c>
      <c r="D37" s="3" t="str">
        <f t="shared" si="6"/>
        <v>May</v>
      </c>
      <c r="E37" s="3" t="s">
        <v>5</v>
      </c>
      <c r="F37" s="3" t="str">
        <f t="shared" si="7"/>
        <v>Total hari kerja</v>
      </c>
      <c r="G37" s="12" t="s">
        <v>166</v>
      </c>
      <c r="H37" s="12">
        <v>3.5</v>
      </c>
    </row>
    <row r="38" spans="1:8" x14ac:dyDescent="0.35">
      <c r="A38" s="2">
        <v>46148</v>
      </c>
      <c r="B38" s="3" t="str">
        <f t="shared" si="4"/>
        <v>Wed</v>
      </c>
      <c r="C38" s="3">
        <f t="shared" si="5"/>
        <v>19</v>
      </c>
      <c r="D38" s="3" t="str">
        <f t="shared" si="6"/>
        <v>May</v>
      </c>
      <c r="E38" s="3" t="s">
        <v>5</v>
      </c>
      <c r="F38" s="3" t="str">
        <f t="shared" si="7"/>
        <v>Total hari kerja</v>
      </c>
      <c r="G38" s="12" t="s">
        <v>166</v>
      </c>
      <c r="H38" s="12">
        <v>2</v>
      </c>
    </row>
    <row r="39" spans="1:8" x14ac:dyDescent="0.35">
      <c r="A39" s="2">
        <v>46149</v>
      </c>
      <c r="B39" s="3" t="str">
        <f t="shared" si="4"/>
        <v>Thu</v>
      </c>
      <c r="C39" s="3">
        <f t="shared" si="5"/>
        <v>19</v>
      </c>
      <c r="D39" s="3" t="str">
        <f t="shared" si="6"/>
        <v>May</v>
      </c>
      <c r="E39" s="3" t="s">
        <v>5</v>
      </c>
      <c r="F39" s="3" t="str">
        <f t="shared" si="7"/>
        <v>Total hari kerja</v>
      </c>
      <c r="G39" s="12" t="s">
        <v>166</v>
      </c>
      <c r="H39" s="12">
        <v>2</v>
      </c>
    </row>
    <row r="40" spans="1:8" x14ac:dyDescent="0.35">
      <c r="A40" s="2">
        <v>46150</v>
      </c>
      <c r="B40" s="3" t="str">
        <f t="shared" si="4"/>
        <v>Fri</v>
      </c>
      <c r="C40" s="3">
        <f t="shared" si="5"/>
        <v>19</v>
      </c>
      <c r="D40" s="3" t="str">
        <f t="shared" si="6"/>
        <v>May</v>
      </c>
      <c r="E40" s="3" t="s">
        <v>5</v>
      </c>
      <c r="F40" s="3" t="str">
        <f t="shared" si="7"/>
        <v>Total hari kerja</v>
      </c>
      <c r="G40" s="12" t="s">
        <v>166</v>
      </c>
      <c r="H40" s="12">
        <v>1</v>
      </c>
    </row>
    <row r="41" spans="1:8" x14ac:dyDescent="0.35">
      <c r="A41" s="2">
        <v>46151</v>
      </c>
      <c r="B41" s="3" t="str">
        <f t="shared" si="4"/>
        <v>Sat</v>
      </c>
      <c r="C41" s="3">
        <f t="shared" si="5"/>
        <v>19</v>
      </c>
      <c r="D41" s="3" t="str">
        <f t="shared" si="6"/>
        <v>May</v>
      </c>
      <c r="E41" s="3" t="s">
        <v>5</v>
      </c>
      <c r="F41" s="3" t="str">
        <f t="shared" si="7"/>
        <v>Total hari kerja</v>
      </c>
      <c r="G41" s="12" t="s">
        <v>166</v>
      </c>
      <c r="H41" s="12">
        <v>2</v>
      </c>
    </row>
    <row r="42" spans="1:8" x14ac:dyDescent="0.35">
      <c r="A42" s="2">
        <v>46152</v>
      </c>
      <c r="B42" s="3" t="str">
        <f t="shared" si="4"/>
        <v>Sun</v>
      </c>
      <c r="C42" s="3">
        <f t="shared" si="5"/>
        <v>20</v>
      </c>
      <c r="D42" s="3" t="str">
        <f t="shared" si="6"/>
        <v>May</v>
      </c>
      <c r="E42" s="3"/>
      <c r="F42" s="3" t="str">
        <f t="shared" si="7"/>
        <v xml:space="preserve"> </v>
      </c>
      <c r="G42" s="12" t="s">
        <v>166</v>
      </c>
      <c r="H42" s="12"/>
    </row>
    <row r="43" spans="1:8" x14ac:dyDescent="0.35">
      <c r="A43" s="2">
        <v>46153</v>
      </c>
      <c r="B43" s="3" t="str">
        <f t="shared" si="4"/>
        <v>Mon</v>
      </c>
      <c r="C43" s="3">
        <f t="shared" si="5"/>
        <v>20</v>
      </c>
      <c r="D43" s="3" t="str">
        <f t="shared" si="6"/>
        <v>May</v>
      </c>
      <c r="E43" s="3" t="s">
        <v>5</v>
      </c>
      <c r="F43" s="3" t="str">
        <f t="shared" si="7"/>
        <v>Total hari kerja</v>
      </c>
      <c r="G43" s="12" t="s">
        <v>166</v>
      </c>
      <c r="H43" s="12">
        <v>2</v>
      </c>
    </row>
    <row r="44" spans="1:8" x14ac:dyDescent="0.35">
      <c r="A44" s="2">
        <v>46154</v>
      </c>
      <c r="B44" s="3" t="str">
        <f t="shared" si="4"/>
        <v>Tue</v>
      </c>
      <c r="C44" s="3">
        <f t="shared" si="5"/>
        <v>20</v>
      </c>
      <c r="D44" s="3" t="str">
        <f t="shared" si="6"/>
        <v>May</v>
      </c>
      <c r="E44" s="3" t="s">
        <v>5</v>
      </c>
      <c r="F44" s="3" t="str">
        <f t="shared" si="7"/>
        <v>Total hari kerja</v>
      </c>
      <c r="G44" s="12" t="s">
        <v>166</v>
      </c>
      <c r="H44" s="12">
        <v>2</v>
      </c>
    </row>
    <row r="45" spans="1:8" x14ac:dyDescent="0.35">
      <c r="A45" s="2">
        <v>46155</v>
      </c>
      <c r="B45" s="3" t="str">
        <f t="shared" si="4"/>
        <v>Wed</v>
      </c>
      <c r="C45" s="3">
        <f t="shared" si="5"/>
        <v>20</v>
      </c>
      <c r="D45" s="3" t="str">
        <f t="shared" si="6"/>
        <v>May</v>
      </c>
      <c r="E45" s="3" t="s">
        <v>5</v>
      </c>
      <c r="F45" s="3" t="str">
        <f t="shared" si="7"/>
        <v>Total hari kerja</v>
      </c>
      <c r="G45" s="12" t="s">
        <v>166</v>
      </c>
      <c r="H45" s="12">
        <v>1</v>
      </c>
    </row>
    <row r="46" spans="1:8" x14ac:dyDescent="0.35">
      <c r="A46" s="2">
        <v>46156</v>
      </c>
      <c r="B46" s="3" t="str">
        <f t="shared" si="4"/>
        <v>Thu</v>
      </c>
      <c r="C46" s="3">
        <f t="shared" si="5"/>
        <v>20</v>
      </c>
      <c r="D46" s="3" t="str">
        <f t="shared" si="6"/>
        <v>May</v>
      </c>
      <c r="E46" s="3" t="s">
        <v>5</v>
      </c>
      <c r="F46" s="3" t="str">
        <f t="shared" si="7"/>
        <v>Total hari kerja</v>
      </c>
      <c r="G46" s="12" t="s">
        <v>166</v>
      </c>
      <c r="H46" s="12">
        <v>2</v>
      </c>
    </row>
    <row r="47" spans="1:8" x14ac:dyDescent="0.35">
      <c r="A47" s="2">
        <v>46157</v>
      </c>
      <c r="B47" s="3" t="str">
        <f t="shared" si="4"/>
        <v>Fri</v>
      </c>
      <c r="C47" s="3">
        <f t="shared" si="5"/>
        <v>20</v>
      </c>
      <c r="D47" s="3" t="str">
        <f t="shared" si="6"/>
        <v>May</v>
      </c>
      <c r="E47" s="3" t="s">
        <v>5</v>
      </c>
      <c r="F47" s="3" t="str">
        <f t="shared" si="7"/>
        <v>Total hari kerja</v>
      </c>
      <c r="G47" s="12" t="s">
        <v>166</v>
      </c>
      <c r="H47" s="12">
        <v>2</v>
      </c>
    </row>
    <row r="48" spans="1:8" x14ac:dyDescent="0.35">
      <c r="A48" s="2">
        <v>46158</v>
      </c>
      <c r="B48" s="3" t="str">
        <f t="shared" si="4"/>
        <v>Sat</v>
      </c>
      <c r="C48" s="3">
        <f t="shared" si="5"/>
        <v>20</v>
      </c>
      <c r="D48" s="3" t="str">
        <f t="shared" si="6"/>
        <v>May</v>
      </c>
      <c r="E48" s="3" t="s">
        <v>135</v>
      </c>
      <c r="F48" s="3" t="str">
        <f t="shared" si="7"/>
        <v>Total hari kerja</v>
      </c>
      <c r="G48" s="12" t="s">
        <v>166</v>
      </c>
      <c r="H48" s="12">
        <v>1</v>
      </c>
    </row>
    <row r="49" spans="1:8" x14ac:dyDescent="0.35">
      <c r="A49" s="2">
        <v>46159</v>
      </c>
      <c r="B49" s="3" t="str">
        <f t="shared" si="4"/>
        <v>Sun</v>
      </c>
      <c r="C49" s="3">
        <f t="shared" si="5"/>
        <v>21</v>
      </c>
      <c r="D49" s="3" t="str">
        <f t="shared" si="6"/>
        <v>May</v>
      </c>
      <c r="E49" s="3"/>
      <c r="F49" s="3" t="str">
        <f t="shared" si="7"/>
        <v xml:space="preserve"> </v>
      </c>
      <c r="G49" s="12" t="s">
        <v>166</v>
      </c>
      <c r="H49" s="12"/>
    </row>
    <row r="50" spans="1:8" x14ac:dyDescent="0.35">
      <c r="A50" s="2">
        <v>46160</v>
      </c>
      <c r="B50" s="3" t="str">
        <f t="shared" si="4"/>
        <v>Mon</v>
      </c>
      <c r="C50" s="3">
        <f t="shared" si="5"/>
        <v>21</v>
      </c>
      <c r="D50" s="3" t="str">
        <f t="shared" si="6"/>
        <v>May</v>
      </c>
      <c r="E50" s="3" t="s">
        <v>135</v>
      </c>
      <c r="F50" s="3" t="str">
        <f t="shared" si="7"/>
        <v>Total hari kerja</v>
      </c>
      <c r="G50" s="12" t="s">
        <v>166</v>
      </c>
      <c r="H50" s="12">
        <v>2</v>
      </c>
    </row>
    <row r="51" spans="1:8" x14ac:dyDescent="0.35">
      <c r="A51" s="2">
        <v>46161</v>
      </c>
      <c r="B51" s="3" t="str">
        <f t="shared" si="4"/>
        <v>Tue</v>
      </c>
      <c r="C51" s="3">
        <f t="shared" si="5"/>
        <v>21</v>
      </c>
      <c r="D51" s="3" t="str">
        <f t="shared" si="6"/>
        <v>May</v>
      </c>
      <c r="E51" s="3" t="s">
        <v>135</v>
      </c>
      <c r="F51" s="3" t="str">
        <f t="shared" si="7"/>
        <v>Total hari kerja</v>
      </c>
      <c r="G51" s="12" t="s">
        <v>166</v>
      </c>
      <c r="H51" s="12">
        <v>2</v>
      </c>
    </row>
    <row r="52" spans="1:8" x14ac:dyDescent="0.35">
      <c r="A52" s="2">
        <v>46162</v>
      </c>
      <c r="B52" s="3" t="str">
        <f t="shared" si="4"/>
        <v>Wed</v>
      </c>
      <c r="C52" s="3">
        <f t="shared" si="5"/>
        <v>21</v>
      </c>
      <c r="D52" s="3" t="str">
        <f t="shared" si="6"/>
        <v>May</v>
      </c>
      <c r="E52" s="3" t="s">
        <v>135</v>
      </c>
      <c r="F52" s="3" t="str">
        <f t="shared" si="7"/>
        <v>Total hari kerja</v>
      </c>
      <c r="G52" s="12" t="s">
        <v>166</v>
      </c>
      <c r="H52" s="12">
        <v>1.5</v>
      </c>
    </row>
    <row r="53" spans="1:8" x14ac:dyDescent="0.35">
      <c r="A53" s="2">
        <v>46163</v>
      </c>
      <c r="B53" s="3" t="str">
        <f t="shared" si="4"/>
        <v>Thu</v>
      </c>
      <c r="C53" s="3">
        <f t="shared" si="5"/>
        <v>21</v>
      </c>
      <c r="D53" s="3" t="str">
        <f t="shared" si="6"/>
        <v>May</v>
      </c>
      <c r="E53" s="3" t="s">
        <v>135</v>
      </c>
      <c r="F53" s="3" t="str">
        <f t="shared" si="7"/>
        <v>Total hari kerja</v>
      </c>
      <c r="G53" s="12" t="s">
        <v>166</v>
      </c>
      <c r="H53" s="12">
        <v>2</v>
      </c>
    </row>
    <row r="54" spans="1:8" x14ac:dyDescent="0.35">
      <c r="A54" s="2">
        <v>46164</v>
      </c>
      <c r="B54" s="3" t="str">
        <f t="shared" si="4"/>
        <v>Fri</v>
      </c>
      <c r="C54" s="3">
        <f t="shared" si="5"/>
        <v>21</v>
      </c>
      <c r="D54" s="3" t="str">
        <f t="shared" si="6"/>
        <v>May</v>
      </c>
      <c r="E54" s="3" t="s">
        <v>135</v>
      </c>
      <c r="F54" s="3" t="str">
        <f t="shared" si="7"/>
        <v>Total hari kerja</v>
      </c>
      <c r="G54" s="12" t="s">
        <v>166</v>
      </c>
      <c r="H54" s="12">
        <v>1</v>
      </c>
    </row>
    <row r="55" spans="1:8" x14ac:dyDescent="0.35">
      <c r="A55" s="2">
        <v>46165</v>
      </c>
      <c r="B55" s="3" t="str">
        <f t="shared" si="4"/>
        <v>Sat</v>
      </c>
      <c r="C55" s="3">
        <f t="shared" si="5"/>
        <v>21</v>
      </c>
      <c r="D55" s="3" t="str">
        <f t="shared" si="6"/>
        <v>May</v>
      </c>
      <c r="E55" s="3" t="s">
        <v>135</v>
      </c>
      <c r="F55" s="3" t="str">
        <f t="shared" si="7"/>
        <v>Total hari kerja</v>
      </c>
      <c r="G55" s="12" t="s">
        <v>166</v>
      </c>
      <c r="H55" s="12">
        <v>1</v>
      </c>
    </row>
    <row r="56" spans="1:8" x14ac:dyDescent="0.35">
      <c r="A56" s="2">
        <v>46166</v>
      </c>
      <c r="B56" s="3" t="str">
        <f t="shared" si="4"/>
        <v>Sun</v>
      </c>
      <c r="C56" s="3">
        <f t="shared" si="5"/>
        <v>22</v>
      </c>
      <c r="D56" s="3" t="str">
        <f t="shared" si="6"/>
        <v>May</v>
      </c>
      <c r="E56" s="3"/>
      <c r="F56" s="3" t="str">
        <f t="shared" si="7"/>
        <v xml:space="preserve"> </v>
      </c>
      <c r="G56" s="12" t="s">
        <v>166</v>
      </c>
      <c r="H56" s="12"/>
    </row>
    <row r="57" spans="1:8" x14ac:dyDescent="0.35">
      <c r="A57" s="2">
        <v>46167</v>
      </c>
      <c r="B57" s="3" t="str">
        <f t="shared" si="4"/>
        <v>Mon</v>
      </c>
      <c r="C57" s="3">
        <f t="shared" si="5"/>
        <v>22</v>
      </c>
      <c r="D57" s="3" t="str">
        <f t="shared" si="6"/>
        <v>May</v>
      </c>
      <c r="E57" s="3" t="s">
        <v>135</v>
      </c>
      <c r="F57" s="3" t="str">
        <f t="shared" si="7"/>
        <v>Total hari kerja</v>
      </c>
      <c r="G57" s="12" t="s">
        <v>166</v>
      </c>
      <c r="H57" s="12">
        <v>3.5</v>
      </c>
    </row>
    <row r="58" spans="1:8" x14ac:dyDescent="0.35">
      <c r="A58" s="2">
        <v>46168</v>
      </c>
      <c r="B58" s="3" t="str">
        <f t="shared" si="4"/>
        <v>Tue</v>
      </c>
      <c r="C58" s="3">
        <f t="shared" si="5"/>
        <v>22</v>
      </c>
      <c r="D58" s="3" t="str">
        <f t="shared" si="6"/>
        <v>May</v>
      </c>
      <c r="E58" s="3" t="s">
        <v>135</v>
      </c>
      <c r="F58" s="3" t="str">
        <f t="shared" si="7"/>
        <v>Total hari kerja</v>
      </c>
      <c r="G58" s="12" t="s">
        <v>166</v>
      </c>
      <c r="H58" s="12">
        <v>1</v>
      </c>
    </row>
    <row r="59" spans="1:8" x14ac:dyDescent="0.35">
      <c r="A59" s="2">
        <v>46169</v>
      </c>
      <c r="B59" s="3" t="str">
        <f t="shared" si="4"/>
        <v>Wed</v>
      </c>
      <c r="C59" s="3">
        <f t="shared" si="5"/>
        <v>22</v>
      </c>
      <c r="D59" s="3" t="str">
        <f t="shared" si="6"/>
        <v>May</v>
      </c>
      <c r="E59" s="3" t="s">
        <v>140</v>
      </c>
      <c r="F59" s="3" t="str">
        <f t="shared" si="7"/>
        <v>MERAH</v>
      </c>
      <c r="G59" s="12" t="s">
        <v>166</v>
      </c>
      <c r="H59" s="12"/>
    </row>
    <row r="60" spans="1:8" x14ac:dyDescent="0.35">
      <c r="A60" s="2">
        <v>46170</v>
      </c>
      <c r="B60" s="3" t="str">
        <f t="shared" si="4"/>
        <v>Thu</v>
      </c>
      <c r="C60" s="3">
        <f t="shared" si="5"/>
        <v>22</v>
      </c>
      <c r="D60" s="3" t="str">
        <f t="shared" si="6"/>
        <v>May</v>
      </c>
      <c r="E60" s="3" t="s">
        <v>135</v>
      </c>
      <c r="F60" s="3" t="str">
        <f t="shared" si="7"/>
        <v>Total hari kerja</v>
      </c>
      <c r="G60" s="12" t="s">
        <v>166</v>
      </c>
      <c r="H60" s="12">
        <v>2</v>
      </c>
    </row>
    <row r="61" spans="1:8" x14ac:dyDescent="0.35">
      <c r="A61" s="2">
        <v>46171</v>
      </c>
      <c r="B61" s="3" t="str">
        <f t="shared" si="4"/>
        <v>Fri</v>
      </c>
      <c r="C61" s="3">
        <f t="shared" si="5"/>
        <v>22</v>
      </c>
      <c r="D61" s="3" t="str">
        <f t="shared" si="6"/>
        <v>May</v>
      </c>
      <c r="E61" s="3" t="s">
        <v>135</v>
      </c>
      <c r="F61" s="3" t="str">
        <f t="shared" si="7"/>
        <v>Total hari kerja</v>
      </c>
      <c r="G61" s="12" t="s">
        <v>166</v>
      </c>
      <c r="H61" s="12">
        <v>2</v>
      </c>
    </row>
    <row r="62" spans="1:8" x14ac:dyDescent="0.35">
      <c r="A62" s="2">
        <v>46172</v>
      </c>
      <c r="B62" s="3" t="str">
        <f t="shared" si="4"/>
        <v>Sat</v>
      </c>
      <c r="C62" s="3">
        <f t="shared" si="5"/>
        <v>22</v>
      </c>
      <c r="D62" s="3" t="str">
        <f t="shared" si="6"/>
        <v>May</v>
      </c>
      <c r="E62" s="3" t="s">
        <v>135</v>
      </c>
      <c r="F62" s="3" t="str">
        <f t="shared" si="7"/>
        <v>Total hari kerja</v>
      </c>
      <c r="G62" s="12" t="s">
        <v>166</v>
      </c>
      <c r="H62" s="12"/>
    </row>
    <row r="63" spans="1:8" x14ac:dyDescent="0.35">
      <c r="A63" s="2">
        <v>46173</v>
      </c>
      <c r="B63" s="3" t="str">
        <f t="shared" si="4"/>
        <v>Sun</v>
      </c>
      <c r="C63" s="3">
        <f t="shared" si="5"/>
        <v>23</v>
      </c>
      <c r="D63" s="3" t="str">
        <f t="shared" si="6"/>
        <v>May</v>
      </c>
      <c r="E63" s="3"/>
      <c r="F63" s="3" t="str">
        <f t="shared" si="7"/>
        <v xml:space="preserve"> </v>
      </c>
      <c r="G63" s="12" t="s">
        <v>166</v>
      </c>
      <c r="H63" s="12"/>
    </row>
    <row r="64" spans="1:8" x14ac:dyDescent="0.35">
      <c r="A64" s="2">
        <v>46174</v>
      </c>
      <c r="B64" s="3" t="str">
        <f t="shared" si="4"/>
        <v>Mon</v>
      </c>
      <c r="C64" s="3">
        <f t="shared" si="5"/>
        <v>23</v>
      </c>
      <c r="D64" s="3" t="str">
        <f t="shared" si="6"/>
        <v>June</v>
      </c>
      <c r="E64" s="3" t="s">
        <v>5</v>
      </c>
      <c r="F64" s="3" t="str">
        <f t="shared" si="7"/>
        <v>Total hari kerja</v>
      </c>
      <c r="G64" s="12" t="s">
        <v>166</v>
      </c>
      <c r="H64" s="12">
        <v>4</v>
      </c>
    </row>
    <row r="65" spans="1:8" x14ac:dyDescent="0.35">
      <c r="A65" s="2">
        <v>46175</v>
      </c>
      <c r="B65" s="3" t="str">
        <f t="shared" si="4"/>
        <v>Tue</v>
      </c>
      <c r="C65" s="3">
        <f t="shared" si="5"/>
        <v>23</v>
      </c>
      <c r="D65" s="3" t="str">
        <f t="shared" si="6"/>
        <v>June</v>
      </c>
      <c r="E65" s="3" t="s">
        <v>5</v>
      </c>
      <c r="F65" s="3" t="str">
        <f t="shared" si="7"/>
        <v>Total hari kerja</v>
      </c>
      <c r="G65" s="12" t="s">
        <v>166</v>
      </c>
      <c r="H65" s="12">
        <v>1</v>
      </c>
    </row>
    <row r="66" spans="1:8" x14ac:dyDescent="0.35">
      <c r="A66" s="2">
        <v>46176</v>
      </c>
      <c r="B66" s="3" t="str">
        <f t="shared" si="4"/>
        <v>Wed</v>
      </c>
      <c r="C66" s="3">
        <f t="shared" si="5"/>
        <v>23</v>
      </c>
      <c r="D66" s="3" t="str">
        <f t="shared" si="6"/>
        <v>June</v>
      </c>
      <c r="E66" s="3" t="s">
        <v>5</v>
      </c>
      <c r="F66" s="3" t="str">
        <f t="shared" si="7"/>
        <v>Total hari kerja</v>
      </c>
      <c r="G66" s="12" t="s">
        <v>166</v>
      </c>
      <c r="H66" s="12">
        <v>1</v>
      </c>
    </row>
    <row r="67" spans="1:8" x14ac:dyDescent="0.35">
      <c r="A67" s="2">
        <v>46177</v>
      </c>
      <c r="B67" s="3" t="str">
        <f t="shared" si="4"/>
        <v>Thu</v>
      </c>
      <c r="C67" s="3">
        <f t="shared" si="5"/>
        <v>23</v>
      </c>
      <c r="D67" s="3" t="str">
        <f t="shared" si="6"/>
        <v>June</v>
      </c>
      <c r="E67" s="3" t="s">
        <v>5</v>
      </c>
      <c r="F67" s="3" t="str">
        <f t="shared" si="7"/>
        <v>Total hari kerja</v>
      </c>
      <c r="G67" s="12" t="s">
        <v>166</v>
      </c>
      <c r="H67" s="12">
        <v>2.5</v>
      </c>
    </row>
    <row r="68" spans="1:8" x14ac:dyDescent="0.35">
      <c r="A68" s="2">
        <v>46178</v>
      </c>
      <c r="B68" s="3" t="str">
        <f t="shared" si="4"/>
        <v>Fri</v>
      </c>
      <c r="C68" s="3">
        <f t="shared" si="5"/>
        <v>23</v>
      </c>
      <c r="D68" s="3" t="str">
        <f t="shared" si="6"/>
        <v>June</v>
      </c>
      <c r="E68" s="3" t="s">
        <v>5</v>
      </c>
      <c r="F68" s="3" t="str">
        <f t="shared" si="7"/>
        <v>Total hari kerja</v>
      </c>
      <c r="G68" s="12" t="s">
        <v>166</v>
      </c>
      <c r="H68" s="12">
        <v>2</v>
      </c>
    </row>
    <row r="69" spans="1:8" x14ac:dyDescent="0.35">
      <c r="A69" s="2">
        <v>46179</v>
      </c>
      <c r="B69" s="3" t="str">
        <f t="shared" si="4"/>
        <v>Sat</v>
      </c>
      <c r="C69" s="3">
        <f t="shared" si="5"/>
        <v>23</v>
      </c>
      <c r="D69" s="3" t="str">
        <f t="shared" si="6"/>
        <v>June</v>
      </c>
      <c r="E69" s="3" t="s">
        <v>5</v>
      </c>
      <c r="F69" s="3" t="str">
        <f t="shared" si="7"/>
        <v>Total hari kerja</v>
      </c>
      <c r="G69" s="12" t="s">
        <v>166</v>
      </c>
      <c r="H69" s="12">
        <v>3</v>
      </c>
    </row>
    <row r="70" spans="1:8" x14ac:dyDescent="0.35">
      <c r="A70" s="2">
        <v>46180</v>
      </c>
      <c r="B70" s="3" t="str">
        <f t="shared" si="4"/>
        <v>Sun</v>
      </c>
      <c r="C70" s="3">
        <f t="shared" si="5"/>
        <v>24</v>
      </c>
      <c r="D70" s="3" t="str">
        <f t="shared" si="6"/>
        <v>June</v>
      </c>
      <c r="E70" s="3"/>
      <c r="F70" s="3" t="str">
        <f t="shared" si="7"/>
        <v xml:space="preserve"> </v>
      </c>
      <c r="G70" s="12" t="s">
        <v>166</v>
      </c>
      <c r="H70" s="12"/>
    </row>
    <row r="71" spans="1:8" x14ac:dyDescent="0.35">
      <c r="A71" s="2">
        <v>46181</v>
      </c>
      <c r="B71" s="3" t="str">
        <f t="shared" si="4"/>
        <v>Mon</v>
      </c>
      <c r="C71" s="3">
        <f t="shared" si="5"/>
        <v>24</v>
      </c>
      <c r="D71" s="3" t="str">
        <f t="shared" si="6"/>
        <v>June</v>
      </c>
      <c r="E71" s="3" t="s">
        <v>5</v>
      </c>
      <c r="F71" s="3" t="str">
        <f t="shared" si="7"/>
        <v>Total hari kerja</v>
      </c>
      <c r="G71" s="12" t="s">
        <v>166</v>
      </c>
      <c r="H71" s="12">
        <v>4.5</v>
      </c>
    </row>
    <row r="72" spans="1:8" x14ac:dyDescent="0.35">
      <c r="A72" s="2">
        <v>46182</v>
      </c>
      <c r="B72" s="3" t="str">
        <f t="shared" ref="B72:B135" si="8">TEXT(A72,"DDD")</f>
        <v>Tue</v>
      </c>
      <c r="C72" s="3">
        <f t="shared" ref="C72:C135" si="9">WEEKNUM(A72)</f>
        <v>24</v>
      </c>
      <c r="D72" s="3" t="str">
        <f t="shared" ref="D72:D135" si="10">TEXT(A72,"mmmm")</f>
        <v>June</v>
      </c>
      <c r="E72" s="3" t="s">
        <v>5</v>
      </c>
      <c r="F72" s="3" t="str">
        <f t="shared" ref="F72:F135" si="11">IF(E72="J1",$L$3,IF(E72="J2",$L$4,IF(E72="J3",$L$5,IF(E72="J4",$L$6,IF(E72="J5",$L$7," ")))))</f>
        <v>Total hari kerja</v>
      </c>
      <c r="G72" s="12" t="s">
        <v>166</v>
      </c>
      <c r="H72" s="12">
        <v>3</v>
      </c>
    </row>
    <row r="73" spans="1:8" x14ac:dyDescent="0.35">
      <c r="A73" s="2">
        <v>46183</v>
      </c>
      <c r="B73" s="3" t="str">
        <f t="shared" si="8"/>
        <v>Wed</v>
      </c>
      <c r="C73" s="3">
        <f t="shared" si="9"/>
        <v>24</v>
      </c>
      <c r="D73" s="3" t="str">
        <f t="shared" si="10"/>
        <v>June</v>
      </c>
      <c r="E73" s="3" t="s">
        <v>5</v>
      </c>
      <c r="F73" s="3" t="str">
        <f t="shared" si="11"/>
        <v>Total hari kerja</v>
      </c>
      <c r="G73" s="12" t="s">
        <v>166</v>
      </c>
      <c r="H73" s="12">
        <v>1</v>
      </c>
    </row>
    <row r="74" spans="1:8" x14ac:dyDescent="0.35">
      <c r="A74" s="2">
        <v>46184</v>
      </c>
      <c r="B74" s="3" t="str">
        <f t="shared" si="8"/>
        <v>Thu</v>
      </c>
      <c r="C74" s="3">
        <f t="shared" si="9"/>
        <v>24</v>
      </c>
      <c r="D74" s="3" t="str">
        <f t="shared" si="10"/>
        <v>June</v>
      </c>
      <c r="E74" s="3" t="s">
        <v>5</v>
      </c>
      <c r="F74" s="3" t="str">
        <f t="shared" si="11"/>
        <v>Total hari kerja</v>
      </c>
      <c r="G74" s="12" t="s">
        <v>166</v>
      </c>
      <c r="H74" s="12">
        <v>2</v>
      </c>
    </row>
    <row r="75" spans="1:8" x14ac:dyDescent="0.35">
      <c r="A75" s="2">
        <v>46185</v>
      </c>
      <c r="B75" s="3" t="str">
        <f t="shared" si="8"/>
        <v>Fri</v>
      </c>
      <c r="C75" s="3">
        <f t="shared" si="9"/>
        <v>24</v>
      </c>
      <c r="D75" s="3" t="str">
        <f t="shared" si="10"/>
        <v>June</v>
      </c>
      <c r="E75" s="3" t="s">
        <v>5</v>
      </c>
      <c r="F75" s="3" t="str">
        <f t="shared" si="11"/>
        <v>Total hari kerja</v>
      </c>
      <c r="G75" s="12" t="s">
        <v>166</v>
      </c>
      <c r="H75" s="12">
        <v>4</v>
      </c>
    </row>
    <row r="76" spans="1:8" x14ac:dyDescent="0.35">
      <c r="A76" s="2">
        <v>46186</v>
      </c>
      <c r="B76" s="3" t="str">
        <f t="shared" si="8"/>
        <v>Sat</v>
      </c>
      <c r="C76" s="3">
        <f t="shared" si="9"/>
        <v>24</v>
      </c>
      <c r="D76" s="3" t="str">
        <f t="shared" si="10"/>
        <v>June</v>
      </c>
      <c r="E76" s="3" t="s">
        <v>5</v>
      </c>
      <c r="F76" s="3" t="str">
        <f t="shared" si="11"/>
        <v>Total hari kerja</v>
      </c>
      <c r="G76" s="12" t="s">
        <v>166</v>
      </c>
      <c r="H76" s="12">
        <v>1.5</v>
      </c>
    </row>
    <row r="77" spans="1:8" x14ac:dyDescent="0.35">
      <c r="A77" s="2">
        <v>46187</v>
      </c>
      <c r="B77" s="3" t="str">
        <f t="shared" si="8"/>
        <v>Sun</v>
      </c>
      <c r="C77" s="3">
        <f t="shared" si="9"/>
        <v>25</v>
      </c>
      <c r="D77" s="3" t="str">
        <f t="shared" si="10"/>
        <v>June</v>
      </c>
      <c r="E77" s="3"/>
      <c r="F77" s="3" t="str">
        <f t="shared" si="11"/>
        <v xml:space="preserve"> </v>
      </c>
      <c r="G77" s="12" t="s">
        <v>166</v>
      </c>
      <c r="H77" s="12"/>
    </row>
    <row r="78" spans="1:8" x14ac:dyDescent="0.35">
      <c r="A78" s="2">
        <v>46188</v>
      </c>
      <c r="B78" s="3" t="str">
        <f t="shared" si="8"/>
        <v>Mon</v>
      </c>
      <c r="C78" s="3">
        <f t="shared" si="9"/>
        <v>25</v>
      </c>
      <c r="D78" s="3" t="str">
        <f t="shared" si="10"/>
        <v>June</v>
      </c>
      <c r="E78" s="3" t="s">
        <v>5</v>
      </c>
      <c r="F78" s="3" t="str">
        <f t="shared" si="11"/>
        <v>Total hari kerja</v>
      </c>
      <c r="G78" s="12" t="s">
        <v>166</v>
      </c>
      <c r="H78" s="12">
        <v>3.5</v>
      </c>
    </row>
    <row r="79" spans="1:8" x14ac:dyDescent="0.35">
      <c r="A79" s="2">
        <v>46189</v>
      </c>
      <c r="B79" s="3" t="str">
        <f t="shared" si="8"/>
        <v>Tue</v>
      </c>
      <c r="C79" s="3">
        <f t="shared" si="9"/>
        <v>25</v>
      </c>
      <c r="D79" s="3" t="str">
        <f t="shared" si="10"/>
        <v>June</v>
      </c>
      <c r="E79" s="3" t="s">
        <v>135</v>
      </c>
      <c r="F79" s="3" t="str">
        <f t="shared" si="11"/>
        <v>Total hari kerja</v>
      </c>
      <c r="G79" s="12" t="s">
        <v>166</v>
      </c>
      <c r="H79" s="12">
        <v>1</v>
      </c>
    </row>
    <row r="80" spans="1:8" x14ac:dyDescent="0.35">
      <c r="A80" s="2">
        <v>46190</v>
      </c>
      <c r="B80" s="3" t="str">
        <f t="shared" si="8"/>
        <v>Wed</v>
      </c>
      <c r="C80" s="3">
        <f t="shared" si="9"/>
        <v>25</v>
      </c>
      <c r="D80" s="3" t="str">
        <f t="shared" si="10"/>
        <v>June</v>
      </c>
      <c r="E80" s="3" t="s">
        <v>135</v>
      </c>
      <c r="F80" s="3" t="str">
        <f t="shared" si="11"/>
        <v>Total hari kerja</v>
      </c>
      <c r="G80" s="12" t="s">
        <v>166</v>
      </c>
      <c r="H80" s="12">
        <v>0</v>
      </c>
    </row>
    <row r="81" spans="1:9" x14ac:dyDescent="0.35">
      <c r="A81" s="2">
        <v>46191</v>
      </c>
      <c r="B81" s="3" t="str">
        <f t="shared" si="8"/>
        <v>Thu</v>
      </c>
      <c r="C81" s="3">
        <f t="shared" si="9"/>
        <v>25</v>
      </c>
      <c r="D81" s="3" t="str">
        <f t="shared" si="10"/>
        <v>June</v>
      </c>
      <c r="E81" s="3" t="s">
        <v>135</v>
      </c>
      <c r="F81" s="3" t="str">
        <f t="shared" si="11"/>
        <v>Total hari kerja</v>
      </c>
      <c r="G81" s="12" t="s">
        <v>166</v>
      </c>
      <c r="H81" s="12">
        <v>1</v>
      </c>
    </row>
    <row r="82" spans="1:9" x14ac:dyDescent="0.35">
      <c r="A82" s="2">
        <v>46192</v>
      </c>
      <c r="B82" s="3" t="str">
        <f t="shared" si="8"/>
        <v>Fri</v>
      </c>
      <c r="C82" s="3">
        <f t="shared" si="9"/>
        <v>25</v>
      </c>
      <c r="D82" s="3" t="str">
        <f t="shared" si="10"/>
        <v>June</v>
      </c>
      <c r="E82" s="3" t="s">
        <v>135</v>
      </c>
      <c r="F82" s="3" t="str">
        <f t="shared" si="11"/>
        <v>Total hari kerja</v>
      </c>
      <c r="G82" s="12" t="s">
        <v>166</v>
      </c>
      <c r="H82" s="12">
        <v>1</v>
      </c>
    </row>
    <row r="83" spans="1:9" x14ac:dyDescent="0.35">
      <c r="A83" s="2">
        <v>46193</v>
      </c>
      <c r="B83" s="3" t="str">
        <f t="shared" si="8"/>
        <v>Sat</v>
      </c>
      <c r="C83" s="3">
        <f t="shared" si="9"/>
        <v>25</v>
      </c>
      <c r="D83" s="3" t="str">
        <f t="shared" si="10"/>
        <v>June</v>
      </c>
      <c r="E83" s="3" t="s">
        <v>135</v>
      </c>
      <c r="F83" s="3" t="str">
        <f t="shared" si="11"/>
        <v>Total hari kerja</v>
      </c>
      <c r="G83" s="12" t="s">
        <v>166</v>
      </c>
      <c r="H83" s="12">
        <v>1.5</v>
      </c>
    </row>
    <row r="84" spans="1:9" x14ac:dyDescent="0.35">
      <c r="A84" s="2">
        <v>46194</v>
      </c>
      <c r="B84" s="3" t="str">
        <f t="shared" si="8"/>
        <v>Sun</v>
      </c>
      <c r="C84" s="3">
        <f t="shared" si="9"/>
        <v>26</v>
      </c>
      <c r="D84" s="3" t="str">
        <f t="shared" si="10"/>
        <v>June</v>
      </c>
      <c r="E84" s="3"/>
      <c r="F84" s="3" t="str">
        <f t="shared" si="11"/>
        <v xml:space="preserve"> </v>
      </c>
      <c r="G84" s="12" t="s">
        <v>166</v>
      </c>
      <c r="H84" s="12"/>
    </row>
    <row r="85" spans="1:9" x14ac:dyDescent="0.35">
      <c r="A85" s="2">
        <v>46195</v>
      </c>
      <c r="B85" s="3" t="str">
        <f t="shared" si="8"/>
        <v>Mon</v>
      </c>
      <c r="C85" s="3">
        <f t="shared" si="9"/>
        <v>26</v>
      </c>
      <c r="D85" s="3" t="str">
        <f t="shared" si="10"/>
        <v>June</v>
      </c>
      <c r="E85" s="3" t="s">
        <v>135</v>
      </c>
      <c r="F85" s="3" t="str">
        <f t="shared" si="11"/>
        <v>Total hari kerja</v>
      </c>
      <c r="G85" s="12" t="s">
        <v>166</v>
      </c>
      <c r="H85" s="12">
        <v>1</v>
      </c>
    </row>
    <row r="86" spans="1:9" x14ac:dyDescent="0.35">
      <c r="A86" s="2">
        <v>46196</v>
      </c>
      <c r="B86" s="3" t="str">
        <f t="shared" si="8"/>
        <v>Tue</v>
      </c>
      <c r="C86" s="3">
        <f t="shared" si="9"/>
        <v>26</v>
      </c>
      <c r="D86" s="3" t="str">
        <f t="shared" si="10"/>
        <v>June</v>
      </c>
      <c r="E86" s="3" t="s">
        <v>135</v>
      </c>
      <c r="F86" s="3" t="str">
        <f t="shared" si="11"/>
        <v>Total hari kerja</v>
      </c>
      <c r="G86" s="12" t="s">
        <v>166</v>
      </c>
      <c r="H86" s="12">
        <v>1.5</v>
      </c>
    </row>
    <row r="87" spans="1:9" x14ac:dyDescent="0.35">
      <c r="A87" s="2">
        <v>46197</v>
      </c>
      <c r="B87" s="3" t="str">
        <f t="shared" si="8"/>
        <v>Wed</v>
      </c>
      <c r="C87" s="3">
        <f t="shared" si="9"/>
        <v>26</v>
      </c>
      <c r="D87" s="3" t="str">
        <f t="shared" si="10"/>
        <v>June</v>
      </c>
      <c r="E87" s="3" t="s">
        <v>135</v>
      </c>
      <c r="F87" s="3" t="str">
        <f t="shared" si="11"/>
        <v>Total hari kerja</v>
      </c>
      <c r="G87" s="12" t="s">
        <v>166</v>
      </c>
      <c r="H87" s="12">
        <v>0</v>
      </c>
    </row>
    <row r="88" spans="1:9" x14ac:dyDescent="0.35">
      <c r="A88" s="2">
        <v>46198</v>
      </c>
      <c r="B88" s="3" t="str">
        <f t="shared" si="8"/>
        <v>Thu</v>
      </c>
      <c r="C88" s="3">
        <f t="shared" si="9"/>
        <v>26</v>
      </c>
      <c r="D88" s="3" t="str">
        <f t="shared" si="10"/>
        <v>June</v>
      </c>
      <c r="E88" s="3" t="s">
        <v>135</v>
      </c>
      <c r="F88" s="3" t="str">
        <f t="shared" si="11"/>
        <v>Total hari kerja</v>
      </c>
      <c r="G88" s="12" t="s">
        <v>166</v>
      </c>
      <c r="H88" s="12">
        <v>0</v>
      </c>
    </row>
    <row r="89" spans="1:9" x14ac:dyDescent="0.35">
      <c r="A89" s="2">
        <v>46199</v>
      </c>
      <c r="B89" s="3" t="str">
        <f t="shared" si="8"/>
        <v>Fri</v>
      </c>
      <c r="C89" s="3">
        <f t="shared" si="9"/>
        <v>26</v>
      </c>
      <c r="D89" s="3" t="str">
        <f t="shared" si="10"/>
        <v>June</v>
      </c>
      <c r="E89" s="3" t="s">
        <v>135</v>
      </c>
      <c r="F89" s="3" t="str">
        <f t="shared" si="11"/>
        <v>Total hari kerja</v>
      </c>
      <c r="G89" s="12" t="s">
        <v>166</v>
      </c>
      <c r="H89" s="12">
        <v>0</v>
      </c>
    </row>
    <row r="90" spans="1:9" x14ac:dyDescent="0.35">
      <c r="A90" s="2">
        <v>46200</v>
      </c>
      <c r="B90" s="3" t="str">
        <f t="shared" si="8"/>
        <v>Sat</v>
      </c>
      <c r="C90" s="3">
        <f t="shared" si="9"/>
        <v>26</v>
      </c>
      <c r="D90" s="3" t="str">
        <f t="shared" si="10"/>
        <v>June</v>
      </c>
      <c r="E90" s="3" t="s">
        <v>135</v>
      </c>
      <c r="F90" s="3" t="str">
        <f t="shared" si="11"/>
        <v>Total hari kerja</v>
      </c>
      <c r="G90" s="12" t="s">
        <v>166</v>
      </c>
      <c r="H90" s="12">
        <v>1</v>
      </c>
      <c r="I90" t="s">
        <v>170</v>
      </c>
    </row>
    <row r="91" spans="1:9" x14ac:dyDescent="0.35">
      <c r="A91" s="2">
        <v>46201</v>
      </c>
      <c r="B91" s="3" t="str">
        <f t="shared" si="8"/>
        <v>Sun</v>
      </c>
      <c r="C91" s="3">
        <f t="shared" si="9"/>
        <v>27</v>
      </c>
      <c r="D91" s="3" t="str">
        <f t="shared" si="10"/>
        <v>June</v>
      </c>
      <c r="E91" s="3"/>
      <c r="F91" s="3" t="str">
        <f t="shared" si="11"/>
        <v xml:space="preserve"> </v>
      </c>
      <c r="G91" s="12" t="s">
        <v>166</v>
      </c>
      <c r="H91" s="12">
        <v>0</v>
      </c>
    </row>
    <row r="92" spans="1:9" x14ac:dyDescent="0.35">
      <c r="A92" s="2">
        <v>46202</v>
      </c>
      <c r="B92" s="3" t="str">
        <f t="shared" si="8"/>
        <v>Mon</v>
      </c>
      <c r="C92" s="3">
        <f t="shared" si="9"/>
        <v>27</v>
      </c>
      <c r="D92" s="3" t="str">
        <f t="shared" si="10"/>
        <v>June</v>
      </c>
      <c r="E92" s="3" t="s">
        <v>135</v>
      </c>
      <c r="F92" s="3" t="str">
        <f t="shared" si="11"/>
        <v>Total hari kerja</v>
      </c>
      <c r="G92" s="12" t="s">
        <v>166</v>
      </c>
      <c r="H92" s="12">
        <v>1</v>
      </c>
    </row>
    <row r="93" spans="1:9" x14ac:dyDescent="0.35">
      <c r="A93" s="2">
        <v>46203</v>
      </c>
      <c r="B93" s="3" t="str">
        <f t="shared" si="8"/>
        <v>Tue</v>
      </c>
      <c r="C93" s="3">
        <f t="shared" si="9"/>
        <v>27</v>
      </c>
      <c r="D93" s="3" t="str">
        <f t="shared" si="10"/>
        <v>June</v>
      </c>
      <c r="E93" s="3" t="s">
        <v>135</v>
      </c>
      <c r="F93" s="3" t="str">
        <f t="shared" si="11"/>
        <v>Total hari kerja</v>
      </c>
      <c r="G93" s="12" t="s">
        <v>166</v>
      </c>
      <c r="H93" s="12"/>
    </row>
    <row r="94" spans="1:9" x14ac:dyDescent="0.35">
      <c r="A94" s="2">
        <v>46204</v>
      </c>
      <c r="B94" s="3" t="str">
        <f t="shared" si="8"/>
        <v>Wed</v>
      </c>
      <c r="C94" s="3">
        <f t="shared" si="9"/>
        <v>27</v>
      </c>
      <c r="D94" s="3" t="str">
        <f t="shared" si="10"/>
        <v>July</v>
      </c>
      <c r="E94" s="3"/>
      <c r="F94" s="3" t="str">
        <f t="shared" si="11"/>
        <v xml:space="preserve"> </v>
      </c>
      <c r="G94" s="12" t="s">
        <v>166</v>
      </c>
      <c r="H94" s="12"/>
    </row>
    <row r="95" spans="1:9" x14ac:dyDescent="0.35">
      <c r="A95" s="2">
        <v>46205</v>
      </c>
      <c r="B95" s="3" t="str">
        <f t="shared" si="8"/>
        <v>Thu</v>
      </c>
      <c r="C95" s="3">
        <f t="shared" si="9"/>
        <v>27</v>
      </c>
      <c r="D95" s="3" t="str">
        <f t="shared" si="10"/>
        <v>July</v>
      </c>
      <c r="E95" s="3"/>
      <c r="F95" s="3" t="str">
        <f t="shared" si="11"/>
        <v xml:space="preserve"> </v>
      </c>
      <c r="G95" s="12" t="s">
        <v>166</v>
      </c>
      <c r="H95" s="12"/>
    </row>
    <row r="96" spans="1:9" x14ac:dyDescent="0.35">
      <c r="A96" s="2">
        <v>46206</v>
      </c>
      <c r="B96" s="3" t="str">
        <f t="shared" si="8"/>
        <v>Fri</v>
      </c>
      <c r="C96" s="3">
        <f t="shared" si="9"/>
        <v>27</v>
      </c>
      <c r="D96" s="3" t="str">
        <f t="shared" si="10"/>
        <v>July</v>
      </c>
      <c r="E96" s="3"/>
      <c r="F96" s="3" t="str">
        <f t="shared" si="11"/>
        <v xml:space="preserve"> </v>
      </c>
      <c r="G96" s="12" t="s">
        <v>166</v>
      </c>
      <c r="H96" s="12"/>
    </row>
    <row r="97" spans="1:8" x14ac:dyDescent="0.35">
      <c r="A97" s="2">
        <v>46207</v>
      </c>
      <c r="B97" s="3" t="str">
        <f t="shared" si="8"/>
        <v>Sat</v>
      </c>
      <c r="C97" s="3">
        <f t="shared" si="9"/>
        <v>27</v>
      </c>
      <c r="D97" s="3" t="str">
        <f t="shared" si="10"/>
        <v>July</v>
      </c>
      <c r="E97" s="3"/>
      <c r="F97" s="3" t="str">
        <f t="shared" si="11"/>
        <v xml:space="preserve"> </v>
      </c>
      <c r="G97" s="12" t="s">
        <v>166</v>
      </c>
      <c r="H97" s="12"/>
    </row>
    <row r="98" spans="1:8" x14ac:dyDescent="0.35">
      <c r="A98" s="2">
        <v>46208</v>
      </c>
      <c r="B98" s="3" t="str">
        <f t="shared" si="8"/>
        <v>Sun</v>
      </c>
      <c r="C98" s="3">
        <f t="shared" si="9"/>
        <v>28</v>
      </c>
      <c r="D98" s="3" t="str">
        <f t="shared" si="10"/>
        <v>July</v>
      </c>
      <c r="E98" s="3"/>
      <c r="F98" s="3" t="str">
        <f t="shared" si="11"/>
        <v xml:space="preserve"> </v>
      </c>
      <c r="G98" s="12" t="s">
        <v>166</v>
      </c>
      <c r="H98" s="12"/>
    </row>
    <row r="99" spans="1:8" x14ac:dyDescent="0.35">
      <c r="A99" s="2">
        <v>46209</v>
      </c>
      <c r="B99" s="3" t="str">
        <f t="shared" si="8"/>
        <v>Mon</v>
      </c>
      <c r="C99" s="3">
        <f t="shared" si="9"/>
        <v>28</v>
      </c>
      <c r="D99" s="3" t="str">
        <f t="shared" si="10"/>
        <v>July</v>
      </c>
      <c r="E99" s="3"/>
      <c r="F99" s="3" t="str">
        <f t="shared" si="11"/>
        <v xml:space="preserve"> </v>
      </c>
      <c r="G99" s="12" t="s">
        <v>166</v>
      </c>
      <c r="H99" s="12"/>
    </row>
    <row r="100" spans="1:8" x14ac:dyDescent="0.35">
      <c r="A100" s="2">
        <v>46210</v>
      </c>
      <c r="B100" s="3" t="str">
        <f t="shared" si="8"/>
        <v>Tue</v>
      </c>
      <c r="C100" s="3">
        <f t="shared" si="9"/>
        <v>28</v>
      </c>
      <c r="D100" s="3" t="str">
        <f t="shared" si="10"/>
        <v>July</v>
      </c>
      <c r="E100" s="3"/>
      <c r="F100" s="3" t="str">
        <f t="shared" si="11"/>
        <v xml:space="preserve"> </v>
      </c>
      <c r="G100" s="12" t="s">
        <v>166</v>
      </c>
      <c r="H100" s="12"/>
    </row>
    <row r="101" spans="1:8" x14ac:dyDescent="0.35">
      <c r="A101" s="2">
        <v>46211</v>
      </c>
      <c r="B101" s="3" t="str">
        <f t="shared" si="8"/>
        <v>Wed</v>
      </c>
      <c r="C101" s="3">
        <f t="shared" si="9"/>
        <v>28</v>
      </c>
      <c r="D101" s="3" t="str">
        <f t="shared" si="10"/>
        <v>July</v>
      </c>
      <c r="E101" s="3"/>
      <c r="F101" s="3" t="str">
        <f t="shared" si="11"/>
        <v xml:space="preserve"> </v>
      </c>
      <c r="G101" s="12" t="s">
        <v>166</v>
      </c>
      <c r="H101" s="12"/>
    </row>
    <row r="102" spans="1:8" x14ac:dyDescent="0.35">
      <c r="A102" s="2">
        <v>46212</v>
      </c>
      <c r="B102" s="3" t="str">
        <f t="shared" si="8"/>
        <v>Thu</v>
      </c>
      <c r="C102" s="3">
        <f t="shared" si="9"/>
        <v>28</v>
      </c>
      <c r="D102" s="3" t="str">
        <f t="shared" si="10"/>
        <v>July</v>
      </c>
      <c r="E102" s="3"/>
      <c r="F102" s="3" t="str">
        <f t="shared" si="11"/>
        <v xml:space="preserve"> </v>
      </c>
      <c r="G102" s="12" t="s">
        <v>166</v>
      </c>
      <c r="H102" s="12"/>
    </row>
    <row r="103" spans="1:8" x14ac:dyDescent="0.35">
      <c r="A103" s="2">
        <v>46213</v>
      </c>
      <c r="B103" s="3" t="str">
        <f t="shared" si="8"/>
        <v>Fri</v>
      </c>
      <c r="C103" s="3">
        <f t="shared" si="9"/>
        <v>28</v>
      </c>
      <c r="D103" s="3" t="str">
        <f t="shared" si="10"/>
        <v>July</v>
      </c>
      <c r="E103" s="3"/>
      <c r="F103" s="3" t="str">
        <f t="shared" si="11"/>
        <v xml:space="preserve"> </v>
      </c>
      <c r="G103" s="12" t="s">
        <v>166</v>
      </c>
      <c r="H103" s="12"/>
    </row>
    <row r="104" spans="1:8" x14ac:dyDescent="0.35">
      <c r="A104" s="2">
        <v>46214</v>
      </c>
      <c r="B104" s="3" t="str">
        <f t="shared" si="8"/>
        <v>Sat</v>
      </c>
      <c r="C104" s="3">
        <f t="shared" si="9"/>
        <v>28</v>
      </c>
      <c r="D104" s="3" t="str">
        <f t="shared" si="10"/>
        <v>July</v>
      </c>
      <c r="E104" s="3"/>
      <c r="F104" s="3" t="str">
        <f t="shared" si="11"/>
        <v xml:space="preserve"> </v>
      </c>
      <c r="G104" s="12" t="s">
        <v>166</v>
      </c>
      <c r="H104" s="12"/>
    </row>
    <row r="105" spans="1:8" x14ac:dyDescent="0.35">
      <c r="A105" s="2">
        <v>46215</v>
      </c>
      <c r="B105" s="3" t="str">
        <f t="shared" si="8"/>
        <v>Sun</v>
      </c>
      <c r="C105" s="3">
        <f t="shared" si="9"/>
        <v>29</v>
      </c>
      <c r="D105" s="3" t="str">
        <f t="shared" si="10"/>
        <v>July</v>
      </c>
      <c r="E105" s="3"/>
      <c r="F105" s="3" t="str">
        <f t="shared" si="11"/>
        <v xml:space="preserve"> </v>
      </c>
      <c r="G105" s="12" t="s">
        <v>166</v>
      </c>
      <c r="H105" s="12"/>
    </row>
    <row r="106" spans="1:8" x14ac:dyDescent="0.35">
      <c r="A106" s="2">
        <v>46216</v>
      </c>
      <c r="B106" s="3" t="str">
        <f t="shared" si="8"/>
        <v>Mon</v>
      </c>
      <c r="C106" s="3">
        <f t="shared" si="9"/>
        <v>29</v>
      </c>
      <c r="D106" s="3" t="str">
        <f t="shared" si="10"/>
        <v>July</v>
      </c>
      <c r="E106" s="3"/>
      <c r="F106" s="3" t="str">
        <f t="shared" si="11"/>
        <v xml:space="preserve"> </v>
      </c>
      <c r="G106" s="12" t="s">
        <v>166</v>
      </c>
      <c r="H106" s="12"/>
    </row>
    <row r="107" spans="1:8" x14ac:dyDescent="0.35">
      <c r="A107" s="2">
        <v>46217</v>
      </c>
      <c r="B107" s="3" t="str">
        <f t="shared" si="8"/>
        <v>Tue</v>
      </c>
      <c r="C107" s="3">
        <f t="shared" si="9"/>
        <v>29</v>
      </c>
      <c r="D107" s="3" t="str">
        <f t="shared" si="10"/>
        <v>July</v>
      </c>
      <c r="E107" s="3"/>
      <c r="F107" s="3" t="str">
        <f t="shared" si="11"/>
        <v xml:space="preserve"> </v>
      </c>
      <c r="G107" s="12" t="s">
        <v>166</v>
      </c>
      <c r="H107" s="12"/>
    </row>
    <row r="108" spans="1:8" x14ac:dyDescent="0.35">
      <c r="A108" s="2">
        <v>46218</v>
      </c>
      <c r="B108" s="3" t="str">
        <f t="shared" si="8"/>
        <v>Wed</v>
      </c>
      <c r="C108" s="3">
        <f t="shared" si="9"/>
        <v>29</v>
      </c>
      <c r="D108" s="3" t="str">
        <f t="shared" si="10"/>
        <v>July</v>
      </c>
      <c r="E108" s="3"/>
      <c r="F108" s="3" t="str">
        <f t="shared" si="11"/>
        <v xml:space="preserve"> </v>
      </c>
      <c r="G108" s="12" t="s">
        <v>166</v>
      </c>
      <c r="H108" s="12"/>
    </row>
    <row r="109" spans="1:8" x14ac:dyDescent="0.35">
      <c r="A109" s="2">
        <v>46219</v>
      </c>
      <c r="B109" s="3" t="str">
        <f t="shared" si="8"/>
        <v>Thu</v>
      </c>
      <c r="C109" s="3">
        <f t="shared" si="9"/>
        <v>29</v>
      </c>
      <c r="D109" s="3" t="str">
        <f t="shared" si="10"/>
        <v>July</v>
      </c>
      <c r="E109" s="3"/>
      <c r="F109" s="3" t="str">
        <f t="shared" si="11"/>
        <v xml:space="preserve"> </v>
      </c>
      <c r="G109" s="12" t="s">
        <v>166</v>
      </c>
      <c r="H109" s="12"/>
    </row>
    <row r="110" spans="1:8" x14ac:dyDescent="0.35">
      <c r="A110" s="2">
        <v>46220</v>
      </c>
      <c r="B110" s="3" t="str">
        <f t="shared" si="8"/>
        <v>Fri</v>
      </c>
      <c r="C110" s="3">
        <f t="shared" si="9"/>
        <v>29</v>
      </c>
      <c r="D110" s="3" t="str">
        <f t="shared" si="10"/>
        <v>July</v>
      </c>
      <c r="E110" s="3"/>
      <c r="F110" s="3" t="str">
        <f t="shared" si="11"/>
        <v xml:space="preserve"> </v>
      </c>
      <c r="G110" s="12" t="s">
        <v>166</v>
      </c>
      <c r="H110" s="12"/>
    </row>
    <row r="111" spans="1:8" x14ac:dyDescent="0.35">
      <c r="A111" s="2">
        <v>46221</v>
      </c>
      <c r="B111" s="3" t="str">
        <f t="shared" si="8"/>
        <v>Sat</v>
      </c>
      <c r="C111" s="3">
        <f t="shared" si="9"/>
        <v>29</v>
      </c>
      <c r="D111" s="3" t="str">
        <f t="shared" si="10"/>
        <v>July</v>
      </c>
      <c r="E111" s="3"/>
      <c r="F111" s="3" t="str">
        <f t="shared" si="11"/>
        <v xml:space="preserve"> </v>
      </c>
      <c r="G111" s="12" t="s">
        <v>166</v>
      </c>
      <c r="H111" s="12"/>
    </row>
    <row r="112" spans="1:8" x14ac:dyDescent="0.35">
      <c r="A112" s="2">
        <v>46222</v>
      </c>
      <c r="B112" s="3" t="str">
        <f t="shared" si="8"/>
        <v>Sun</v>
      </c>
      <c r="C112" s="3">
        <f t="shared" si="9"/>
        <v>30</v>
      </c>
      <c r="D112" s="3" t="str">
        <f t="shared" si="10"/>
        <v>July</v>
      </c>
      <c r="E112" s="3"/>
      <c r="F112" s="3" t="str">
        <f t="shared" si="11"/>
        <v xml:space="preserve"> </v>
      </c>
      <c r="G112" s="12" t="s">
        <v>166</v>
      </c>
      <c r="H112" s="12"/>
    </row>
    <row r="113" spans="1:8" x14ac:dyDescent="0.35">
      <c r="A113" s="2">
        <v>46223</v>
      </c>
      <c r="B113" s="3" t="str">
        <f t="shared" si="8"/>
        <v>Mon</v>
      </c>
      <c r="C113" s="3">
        <f t="shared" si="9"/>
        <v>30</v>
      </c>
      <c r="D113" s="3" t="str">
        <f t="shared" si="10"/>
        <v>July</v>
      </c>
      <c r="E113" s="3"/>
      <c r="F113" s="3" t="str">
        <f t="shared" si="11"/>
        <v xml:space="preserve"> </v>
      </c>
      <c r="G113" s="12" t="s">
        <v>166</v>
      </c>
      <c r="H113" s="12"/>
    </row>
    <row r="114" spans="1:8" x14ac:dyDescent="0.35">
      <c r="A114" s="2">
        <v>46224</v>
      </c>
      <c r="B114" s="3" t="str">
        <f t="shared" si="8"/>
        <v>Tue</v>
      </c>
      <c r="C114" s="3">
        <f t="shared" si="9"/>
        <v>30</v>
      </c>
      <c r="D114" s="3" t="str">
        <f t="shared" si="10"/>
        <v>July</v>
      </c>
      <c r="E114" s="3"/>
      <c r="F114" s="3" t="str">
        <f t="shared" si="11"/>
        <v xml:space="preserve"> </v>
      </c>
      <c r="G114" s="12" t="s">
        <v>166</v>
      </c>
      <c r="H114" s="12"/>
    </row>
    <row r="115" spans="1:8" x14ac:dyDescent="0.35">
      <c r="A115" s="2">
        <v>46225</v>
      </c>
      <c r="B115" s="3" t="str">
        <f t="shared" si="8"/>
        <v>Wed</v>
      </c>
      <c r="C115" s="3">
        <f t="shared" si="9"/>
        <v>30</v>
      </c>
      <c r="D115" s="3" t="str">
        <f t="shared" si="10"/>
        <v>July</v>
      </c>
      <c r="E115" s="3"/>
      <c r="F115" s="3" t="str">
        <f t="shared" si="11"/>
        <v xml:space="preserve"> </v>
      </c>
      <c r="G115" s="12" t="s">
        <v>166</v>
      </c>
      <c r="H115" s="12"/>
    </row>
    <row r="116" spans="1:8" x14ac:dyDescent="0.35">
      <c r="A116" s="2">
        <v>46226</v>
      </c>
      <c r="B116" s="3" t="str">
        <f t="shared" si="8"/>
        <v>Thu</v>
      </c>
      <c r="C116" s="3">
        <f t="shared" si="9"/>
        <v>30</v>
      </c>
      <c r="D116" s="3" t="str">
        <f t="shared" si="10"/>
        <v>July</v>
      </c>
      <c r="E116" s="3"/>
      <c r="F116" s="3" t="str">
        <f t="shared" si="11"/>
        <v xml:space="preserve"> </v>
      </c>
      <c r="G116" s="12" t="s">
        <v>166</v>
      </c>
      <c r="H116" s="12"/>
    </row>
    <row r="117" spans="1:8" x14ac:dyDescent="0.35">
      <c r="A117" s="2">
        <v>46227</v>
      </c>
      <c r="B117" s="3" t="str">
        <f t="shared" si="8"/>
        <v>Fri</v>
      </c>
      <c r="C117" s="3">
        <f t="shared" si="9"/>
        <v>30</v>
      </c>
      <c r="D117" s="3" t="str">
        <f t="shared" si="10"/>
        <v>July</v>
      </c>
      <c r="E117" s="3"/>
      <c r="F117" s="3" t="str">
        <f t="shared" si="11"/>
        <v xml:space="preserve"> </v>
      </c>
      <c r="G117" s="12" t="s">
        <v>166</v>
      </c>
      <c r="H117" s="12"/>
    </row>
    <row r="118" spans="1:8" x14ac:dyDescent="0.35">
      <c r="A118" s="2">
        <v>46228</v>
      </c>
      <c r="B118" s="3" t="str">
        <f t="shared" si="8"/>
        <v>Sat</v>
      </c>
      <c r="C118" s="3">
        <f t="shared" si="9"/>
        <v>30</v>
      </c>
      <c r="D118" s="3" t="str">
        <f t="shared" si="10"/>
        <v>July</v>
      </c>
      <c r="E118" s="3"/>
      <c r="F118" s="3" t="str">
        <f t="shared" si="11"/>
        <v xml:space="preserve"> </v>
      </c>
      <c r="G118" s="12" t="s">
        <v>166</v>
      </c>
      <c r="H118" s="12"/>
    </row>
    <row r="119" spans="1:8" x14ac:dyDescent="0.35">
      <c r="A119" s="2">
        <v>46229</v>
      </c>
      <c r="B119" s="3" t="str">
        <f t="shared" si="8"/>
        <v>Sun</v>
      </c>
      <c r="C119" s="3">
        <f t="shared" si="9"/>
        <v>31</v>
      </c>
      <c r="D119" s="3" t="str">
        <f t="shared" si="10"/>
        <v>July</v>
      </c>
      <c r="E119" s="3"/>
      <c r="F119" s="3" t="str">
        <f t="shared" si="11"/>
        <v xml:space="preserve"> </v>
      </c>
      <c r="G119" s="12" t="s">
        <v>166</v>
      </c>
      <c r="H119" s="12"/>
    </row>
    <row r="120" spans="1:8" x14ac:dyDescent="0.35">
      <c r="A120" s="2">
        <v>46230</v>
      </c>
      <c r="B120" s="3" t="str">
        <f t="shared" si="8"/>
        <v>Mon</v>
      </c>
      <c r="C120" s="3">
        <f t="shared" si="9"/>
        <v>31</v>
      </c>
      <c r="D120" s="3" t="str">
        <f t="shared" si="10"/>
        <v>July</v>
      </c>
      <c r="E120" s="3"/>
      <c r="F120" s="3" t="str">
        <f t="shared" si="11"/>
        <v xml:space="preserve"> </v>
      </c>
      <c r="G120" s="12" t="s">
        <v>166</v>
      </c>
      <c r="H120" s="12"/>
    </row>
    <row r="121" spans="1:8" x14ac:dyDescent="0.35">
      <c r="A121" s="2">
        <v>46231</v>
      </c>
      <c r="B121" s="3" t="str">
        <f t="shared" si="8"/>
        <v>Tue</v>
      </c>
      <c r="C121" s="3">
        <f t="shared" si="9"/>
        <v>31</v>
      </c>
      <c r="D121" s="3" t="str">
        <f t="shared" si="10"/>
        <v>July</v>
      </c>
      <c r="E121" s="3"/>
      <c r="F121" s="3" t="str">
        <f t="shared" si="11"/>
        <v xml:space="preserve"> </v>
      </c>
      <c r="G121" s="12" t="s">
        <v>166</v>
      </c>
      <c r="H121" s="12"/>
    </row>
    <row r="122" spans="1:8" x14ac:dyDescent="0.35">
      <c r="A122" s="2">
        <v>46232</v>
      </c>
      <c r="B122" s="3" t="str">
        <f t="shared" si="8"/>
        <v>Wed</v>
      </c>
      <c r="C122" s="3">
        <f t="shared" si="9"/>
        <v>31</v>
      </c>
      <c r="D122" s="3" t="str">
        <f t="shared" si="10"/>
        <v>July</v>
      </c>
      <c r="E122" s="3"/>
      <c r="F122" s="3" t="str">
        <f t="shared" si="11"/>
        <v xml:space="preserve"> </v>
      </c>
      <c r="G122" s="12" t="s">
        <v>166</v>
      </c>
      <c r="H122" s="12"/>
    </row>
    <row r="123" spans="1:8" x14ac:dyDescent="0.35">
      <c r="A123" s="2">
        <v>46233</v>
      </c>
      <c r="B123" s="3" t="str">
        <f t="shared" si="8"/>
        <v>Thu</v>
      </c>
      <c r="C123" s="3">
        <f t="shared" si="9"/>
        <v>31</v>
      </c>
      <c r="D123" s="3" t="str">
        <f t="shared" si="10"/>
        <v>July</v>
      </c>
      <c r="E123" s="3"/>
      <c r="F123" s="3" t="str">
        <f t="shared" si="11"/>
        <v xml:space="preserve"> </v>
      </c>
      <c r="G123" s="12" t="s">
        <v>166</v>
      </c>
      <c r="H123" s="12"/>
    </row>
    <row r="124" spans="1:8" x14ac:dyDescent="0.35">
      <c r="A124" s="2">
        <v>46234</v>
      </c>
      <c r="B124" s="3" t="str">
        <f t="shared" si="8"/>
        <v>Fri</v>
      </c>
      <c r="C124" s="3">
        <f t="shared" si="9"/>
        <v>31</v>
      </c>
      <c r="D124" s="3" t="str">
        <f t="shared" si="10"/>
        <v>July</v>
      </c>
      <c r="E124" s="3"/>
      <c r="F124" s="3" t="str">
        <f t="shared" si="11"/>
        <v xml:space="preserve"> </v>
      </c>
      <c r="G124" s="12" t="s">
        <v>166</v>
      </c>
      <c r="H124" s="12"/>
    </row>
    <row r="125" spans="1:8" x14ac:dyDescent="0.35">
      <c r="A125" s="2">
        <v>46235</v>
      </c>
      <c r="B125" s="3" t="str">
        <f t="shared" si="8"/>
        <v>Sat</v>
      </c>
      <c r="C125" s="3">
        <f t="shared" si="9"/>
        <v>31</v>
      </c>
      <c r="D125" s="3" t="str">
        <f t="shared" si="10"/>
        <v>August</v>
      </c>
      <c r="E125" s="3"/>
      <c r="F125" s="3" t="str">
        <f t="shared" si="11"/>
        <v xml:space="preserve"> </v>
      </c>
      <c r="G125" s="12" t="s">
        <v>166</v>
      </c>
      <c r="H125" s="12"/>
    </row>
    <row r="126" spans="1:8" x14ac:dyDescent="0.35">
      <c r="A126" s="2">
        <v>46236</v>
      </c>
      <c r="B126" s="3" t="str">
        <f t="shared" si="8"/>
        <v>Sun</v>
      </c>
      <c r="C126" s="3">
        <f t="shared" si="9"/>
        <v>32</v>
      </c>
      <c r="D126" s="3" t="str">
        <f t="shared" si="10"/>
        <v>August</v>
      </c>
      <c r="E126" s="3"/>
      <c r="F126" s="3" t="str">
        <f t="shared" si="11"/>
        <v xml:space="preserve"> </v>
      </c>
      <c r="G126" s="12" t="s">
        <v>166</v>
      </c>
      <c r="H126" s="12"/>
    </row>
    <row r="127" spans="1:8" x14ac:dyDescent="0.35">
      <c r="A127" s="2">
        <v>46237</v>
      </c>
      <c r="B127" s="3" t="str">
        <f t="shared" si="8"/>
        <v>Mon</v>
      </c>
      <c r="C127" s="3">
        <f t="shared" si="9"/>
        <v>32</v>
      </c>
      <c r="D127" s="3" t="str">
        <f t="shared" si="10"/>
        <v>August</v>
      </c>
      <c r="E127" s="3"/>
      <c r="F127" s="3" t="str">
        <f t="shared" si="11"/>
        <v xml:space="preserve"> </v>
      </c>
      <c r="G127" s="12" t="s">
        <v>166</v>
      </c>
      <c r="H127" s="12"/>
    </row>
    <row r="128" spans="1:8" x14ac:dyDescent="0.35">
      <c r="A128" s="2">
        <v>46238</v>
      </c>
      <c r="B128" s="3" t="str">
        <f t="shared" si="8"/>
        <v>Tue</v>
      </c>
      <c r="C128" s="3">
        <f t="shared" si="9"/>
        <v>32</v>
      </c>
      <c r="D128" s="3" t="str">
        <f t="shared" si="10"/>
        <v>August</v>
      </c>
      <c r="E128" s="3"/>
      <c r="F128" s="3" t="str">
        <f t="shared" si="11"/>
        <v xml:space="preserve"> </v>
      </c>
      <c r="G128" s="12" t="s">
        <v>166</v>
      </c>
      <c r="H128" s="12"/>
    </row>
    <row r="129" spans="1:8" x14ac:dyDescent="0.35">
      <c r="A129" s="2">
        <v>46239</v>
      </c>
      <c r="B129" s="3" t="str">
        <f t="shared" si="8"/>
        <v>Wed</v>
      </c>
      <c r="C129" s="3">
        <f t="shared" si="9"/>
        <v>32</v>
      </c>
      <c r="D129" s="3" t="str">
        <f t="shared" si="10"/>
        <v>August</v>
      </c>
      <c r="E129" s="3"/>
      <c r="F129" s="3" t="str">
        <f t="shared" si="11"/>
        <v xml:space="preserve"> </v>
      </c>
      <c r="G129" s="12" t="s">
        <v>166</v>
      </c>
      <c r="H129" s="12"/>
    </row>
    <row r="130" spans="1:8" x14ac:dyDescent="0.35">
      <c r="A130" s="2">
        <v>46240</v>
      </c>
      <c r="B130" s="3" t="str">
        <f t="shared" si="8"/>
        <v>Thu</v>
      </c>
      <c r="C130" s="3">
        <f t="shared" si="9"/>
        <v>32</v>
      </c>
      <c r="D130" s="3" t="str">
        <f t="shared" si="10"/>
        <v>August</v>
      </c>
      <c r="E130" s="3"/>
      <c r="F130" s="3" t="str">
        <f t="shared" si="11"/>
        <v xml:space="preserve"> </v>
      </c>
      <c r="G130" s="12" t="s">
        <v>166</v>
      </c>
      <c r="H130" s="12"/>
    </row>
    <row r="131" spans="1:8" x14ac:dyDescent="0.35">
      <c r="A131" s="2">
        <v>46241</v>
      </c>
      <c r="B131" s="3" t="str">
        <f t="shared" si="8"/>
        <v>Fri</v>
      </c>
      <c r="C131" s="3">
        <f t="shared" si="9"/>
        <v>32</v>
      </c>
      <c r="D131" s="3" t="str">
        <f t="shared" si="10"/>
        <v>August</v>
      </c>
      <c r="E131" s="3"/>
      <c r="F131" s="3" t="str">
        <f t="shared" si="11"/>
        <v xml:space="preserve"> </v>
      </c>
      <c r="G131" s="12" t="s">
        <v>166</v>
      </c>
      <c r="H131" s="12"/>
    </row>
    <row r="132" spans="1:8" x14ac:dyDescent="0.35">
      <c r="A132" s="2">
        <v>46242</v>
      </c>
      <c r="B132" s="3" t="str">
        <f t="shared" si="8"/>
        <v>Sat</v>
      </c>
      <c r="C132" s="3">
        <f t="shared" si="9"/>
        <v>32</v>
      </c>
      <c r="D132" s="3" t="str">
        <f t="shared" si="10"/>
        <v>August</v>
      </c>
      <c r="E132" s="3"/>
      <c r="F132" s="3" t="str">
        <f t="shared" si="11"/>
        <v xml:space="preserve"> </v>
      </c>
      <c r="G132" s="12" t="s">
        <v>166</v>
      </c>
      <c r="H132" s="12"/>
    </row>
    <row r="133" spans="1:8" x14ac:dyDescent="0.35">
      <c r="A133" s="2">
        <v>46243</v>
      </c>
      <c r="B133" s="3" t="str">
        <f t="shared" si="8"/>
        <v>Sun</v>
      </c>
      <c r="C133" s="3">
        <f t="shared" si="9"/>
        <v>33</v>
      </c>
      <c r="D133" s="3" t="str">
        <f t="shared" si="10"/>
        <v>August</v>
      </c>
      <c r="E133" s="3"/>
      <c r="F133" s="3" t="str">
        <f t="shared" si="11"/>
        <v xml:space="preserve"> </v>
      </c>
      <c r="G133" s="12" t="s">
        <v>166</v>
      </c>
      <c r="H133" s="12"/>
    </row>
    <row r="134" spans="1:8" x14ac:dyDescent="0.35">
      <c r="A134" s="2">
        <v>46244</v>
      </c>
      <c r="B134" s="3" t="str">
        <f t="shared" si="8"/>
        <v>Mon</v>
      </c>
      <c r="C134" s="3">
        <f t="shared" si="9"/>
        <v>33</v>
      </c>
      <c r="D134" s="3" t="str">
        <f t="shared" si="10"/>
        <v>August</v>
      </c>
      <c r="E134" s="3"/>
      <c r="F134" s="3" t="str">
        <f t="shared" si="11"/>
        <v xml:space="preserve"> </v>
      </c>
      <c r="G134" s="12" t="s">
        <v>166</v>
      </c>
      <c r="H134" s="12"/>
    </row>
    <row r="135" spans="1:8" x14ac:dyDescent="0.35">
      <c r="A135" s="2">
        <v>46245</v>
      </c>
      <c r="B135" s="3" t="str">
        <f t="shared" si="8"/>
        <v>Tue</v>
      </c>
      <c r="C135" s="3">
        <f t="shared" si="9"/>
        <v>33</v>
      </c>
      <c r="D135" s="3" t="str">
        <f t="shared" si="10"/>
        <v>August</v>
      </c>
      <c r="E135" s="3"/>
      <c r="F135" s="3" t="str">
        <f t="shared" si="11"/>
        <v xml:space="preserve"> </v>
      </c>
      <c r="G135" s="12" t="s">
        <v>166</v>
      </c>
      <c r="H135" s="12"/>
    </row>
    <row r="136" spans="1:8" x14ac:dyDescent="0.35">
      <c r="A136" s="2">
        <v>46246</v>
      </c>
      <c r="B136" s="3" t="str">
        <f t="shared" ref="B136:B199" si="12">TEXT(A136,"DDD")</f>
        <v>Wed</v>
      </c>
      <c r="C136" s="3">
        <f t="shared" ref="C136:C199" si="13">WEEKNUM(A136)</f>
        <v>33</v>
      </c>
      <c r="D136" s="3" t="str">
        <f t="shared" ref="D136:D199" si="14">TEXT(A136,"mmmm")</f>
        <v>August</v>
      </c>
      <c r="E136" s="3"/>
      <c r="F136" s="3" t="str">
        <f t="shared" ref="F136:F199" si="15">IF(E136="J1",$L$3,IF(E136="J2",$L$4,IF(E136="J3",$L$5,IF(E136="J4",$L$6,IF(E136="J5",$L$7," ")))))</f>
        <v xml:space="preserve"> </v>
      </c>
      <c r="G136" s="12" t="s">
        <v>166</v>
      </c>
      <c r="H136" s="12"/>
    </row>
    <row r="137" spans="1:8" x14ac:dyDescent="0.35">
      <c r="A137" s="2">
        <v>46247</v>
      </c>
      <c r="B137" s="3" t="str">
        <f t="shared" si="12"/>
        <v>Thu</v>
      </c>
      <c r="C137" s="3">
        <f t="shared" si="13"/>
        <v>33</v>
      </c>
      <c r="D137" s="3" t="str">
        <f t="shared" si="14"/>
        <v>August</v>
      </c>
      <c r="E137" s="3"/>
      <c r="F137" s="3" t="str">
        <f t="shared" si="15"/>
        <v xml:space="preserve"> </v>
      </c>
      <c r="G137" s="12" t="s">
        <v>166</v>
      </c>
      <c r="H137" s="12"/>
    </row>
    <row r="138" spans="1:8" x14ac:dyDescent="0.35">
      <c r="A138" s="2">
        <v>46248</v>
      </c>
      <c r="B138" s="3" t="str">
        <f t="shared" si="12"/>
        <v>Fri</v>
      </c>
      <c r="C138" s="3">
        <f t="shared" si="13"/>
        <v>33</v>
      </c>
      <c r="D138" s="3" t="str">
        <f t="shared" si="14"/>
        <v>August</v>
      </c>
      <c r="E138" s="3"/>
      <c r="F138" s="3" t="str">
        <f t="shared" si="15"/>
        <v xml:space="preserve"> </v>
      </c>
      <c r="G138" s="12" t="s">
        <v>166</v>
      </c>
      <c r="H138" s="12"/>
    </row>
    <row r="139" spans="1:8" x14ac:dyDescent="0.35">
      <c r="A139" s="2">
        <v>46249</v>
      </c>
      <c r="B139" s="3" t="str">
        <f t="shared" si="12"/>
        <v>Sat</v>
      </c>
      <c r="C139" s="3">
        <f t="shared" si="13"/>
        <v>33</v>
      </c>
      <c r="D139" s="3" t="str">
        <f t="shared" si="14"/>
        <v>August</v>
      </c>
      <c r="E139" s="3"/>
      <c r="F139" s="3" t="str">
        <f t="shared" si="15"/>
        <v xml:space="preserve"> </v>
      </c>
      <c r="G139" s="12" t="s">
        <v>166</v>
      </c>
      <c r="H139" s="12"/>
    </row>
    <row r="140" spans="1:8" x14ac:dyDescent="0.35">
      <c r="A140" s="2">
        <v>46250</v>
      </c>
      <c r="B140" s="3" t="str">
        <f t="shared" si="12"/>
        <v>Sun</v>
      </c>
      <c r="C140" s="3">
        <f t="shared" si="13"/>
        <v>34</v>
      </c>
      <c r="D140" s="3" t="str">
        <f t="shared" si="14"/>
        <v>August</v>
      </c>
      <c r="E140" s="3"/>
      <c r="F140" s="3" t="str">
        <f t="shared" si="15"/>
        <v xml:space="preserve"> </v>
      </c>
      <c r="G140" s="12" t="s">
        <v>166</v>
      </c>
      <c r="H140" s="12"/>
    </row>
    <row r="141" spans="1:8" x14ac:dyDescent="0.35">
      <c r="A141" s="2">
        <v>46251</v>
      </c>
      <c r="B141" s="3" t="str">
        <f t="shared" si="12"/>
        <v>Mon</v>
      </c>
      <c r="C141" s="3">
        <f t="shared" si="13"/>
        <v>34</v>
      </c>
      <c r="D141" s="3" t="str">
        <f t="shared" si="14"/>
        <v>August</v>
      </c>
      <c r="E141" s="3"/>
      <c r="F141" s="3" t="str">
        <f t="shared" si="15"/>
        <v xml:space="preserve"> </v>
      </c>
      <c r="G141" s="12" t="s">
        <v>166</v>
      </c>
      <c r="H141" s="12"/>
    </row>
    <row r="142" spans="1:8" x14ac:dyDescent="0.35">
      <c r="A142" s="2">
        <v>46252</v>
      </c>
      <c r="B142" s="3" t="str">
        <f t="shared" si="12"/>
        <v>Tue</v>
      </c>
      <c r="C142" s="3">
        <f t="shared" si="13"/>
        <v>34</v>
      </c>
      <c r="D142" s="3" t="str">
        <f t="shared" si="14"/>
        <v>August</v>
      </c>
      <c r="E142" s="3"/>
      <c r="F142" s="3" t="str">
        <f t="shared" si="15"/>
        <v xml:space="preserve"> </v>
      </c>
      <c r="G142" s="12" t="s">
        <v>166</v>
      </c>
      <c r="H142" s="12"/>
    </row>
    <row r="143" spans="1:8" x14ac:dyDescent="0.35">
      <c r="A143" s="2">
        <v>46253</v>
      </c>
      <c r="B143" s="3" t="str">
        <f t="shared" si="12"/>
        <v>Wed</v>
      </c>
      <c r="C143" s="3">
        <f t="shared" si="13"/>
        <v>34</v>
      </c>
      <c r="D143" s="3" t="str">
        <f t="shared" si="14"/>
        <v>August</v>
      </c>
      <c r="E143" s="3"/>
      <c r="F143" s="3" t="str">
        <f t="shared" si="15"/>
        <v xml:space="preserve"> </v>
      </c>
      <c r="G143" s="12" t="s">
        <v>166</v>
      </c>
      <c r="H143" s="12"/>
    </row>
    <row r="144" spans="1:8" x14ac:dyDescent="0.35">
      <c r="A144" s="2">
        <v>46254</v>
      </c>
      <c r="B144" s="3" t="str">
        <f t="shared" si="12"/>
        <v>Thu</v>
      </c>
      <c r="C144" s="3">
        <f t="shared" si="13"/>
        <v>34</v>
      </c>
      <c r="D144" s="3" t="str">
        <f t="shared" si="14"/>
        <v>August</v>
      </c>
      <c r="E144" s="3"/>
      <c r="F144" s="3" t="str">
        <f t="shared" si="15"/>
        <v xml:space="preserve"> </v>
      </c>
      <c r="G144" s="12" t="s">
        <v>166</v>
      </c>
      <c r="H144" s="12"/>
    </row>
    <row r="145" spans="1:8" x14ac:dyDescent="0.35">
      <c r="A145" s="2">
        <v>46255</v>
      </c>
      <c r="B145" s="3" t="str">
        <f t="shared" si="12"/>
        <v>Fri</v>
      </c>
      <c r="C145" s="3">
        <f t="shared" si="13"/>
        <v>34</v>
      </c>
      <c r="D145" s="3" t="str">
        <f t="shared" si="14"/>
        <v>August</v>
      </c>
      <c r="E145" s="3"/>
      <c r="F145" s="3" t="str">
        <f t="shared" si="15"/>
        <v xml:space="preserve"> </v>
      </c>
      <c r="G145" s="12" t="s">
        <v>166</v>
      </c>
      <c r="H145" s="12"/>
    </row>
    <row r="146" spans="1:8" x14ac:dyDescent="0.35">
      <c r="A146" s="2">
        <v>46256</v>
      </c>
      <c r="B146" s="3" t="str">
        <f t="shared" si="12"/>
        <v>Sat</v>
      </c>
      <c r="C146" s="3">
        <f t="shared" si="13"/>
        <v>34</v>
      </c>
      <c r="D146" s="3" t="str">
        <f t="shared" si="14"/>
        <v>August</v>
      </c>
      <c r="E146" s="3"/>
      <c r="F146" s="3" t="str">
        <f t="shared" si="15"/>
        <v xml:space="preserve"> </v>
      </c>
      <c r="G146" s="12" t="s">
        <v>166</v>
      </c>
      <c r="H146" s="12"/>
    </row>
    <row r="147" spans="1:8" x14ac:dyDescent="0.35">
      <c r="A147" s="2">
        <v>46257</v>
      </c>
      <c r="B147" s="3" t="str">
        <f t="shared" si="12"/>
        <v>Sun</v>
      </c>
      <c r="C147" s="3">
        <f t="shared" si="13"/>
        <v>35</v>
      </c>
      <c r="D147" s="3" t="str">
        <f t="shared" si="14"/>
        <v>August</v>
      </c>
      <c r="E147" s="3"/>
      <c r="F147" s="3" t="str">
        <f t="shared" si="15"/>
        <v xml:space="preserve"> </v>
      </c>
      <c r="G147" s="12" t="s">
        <v>166</v>
      </c>
      <c r="H147" s="12"/>
    </row>
    <row r="148" spans="1:8" x14ac:dyDescent="0.35">
      <c r="A148" s="2">
        <v>46258</v>
      </c>
      <c r="B148" s="3" t="str">
        <f t="shared" si="12"/>
        <v>Mon</v>
      </c>
      <c r="C148" s="3">
        <f t="shared" si="13"/>
        <v>35</v>
      </c>
      <c r="D148" s="3" t="str">
        <f t="shared" si="14"/>
        <v>August</v>
      </c>
      <c r="E148" s="3"/>
      <c r="F148" s="3" t="str">
        <f t="shared" si="15"/>
        <v xml:space="preserve"> </v>
      </c>
      <c r="G148" s="12" t="s">
        <v>166</v>
      </c>
      <c r="H148" s="12"/>
    </row>
    <row r="149" spans="1:8" x14ac:dyDescent="0.35">
      <c r="A149" s="2">
        <v>46259</v>
      </c>
      <c r="B149" s="3" t="str">
        <f t="shared" si="12"/>
        <v>Tue</v>
      </c>
      <c r="C149" s="3">
        <f t="shared" si="13"/>
        <v>35</v>
      </c>
      <c r="D149" s="3" t="str">
        <f t="shared" si="14"/>
        <v>August</v>
      </c>
      <c r="E149" s="3"/>
      <c r="F149" s="3" t="str">
        <f t="shared" si="15"/>
        <v xml:space="preserve"> </v>
      </c>
      <c r="G149" s="12" t="s">
        <v>166</v>
      </c>
      <c r="H149" s="12"/>
    </row>
    <row r="150" spans="1:8" x14ac:dyDescent="0.35">
      <c r="A150" s="2">
        <v>46260</v>
      </c>
      <c r="B150" s="3" t="str">
        <f t="shared" si="12"/>
        <v>Wed</v>
      </c>
      <c r="C150" s="3">
        <f t="shared" si="13"/>
        <v>35</v>
      </c>
      <c r="D150" s="3" t="str">
        <f t="shared" si="14"/>
        <v>August</v>
      </c>
      <c r="E150" s="3"/>
      <c r="F150" s="3" t="str">
        <f t="shared" si="15"/>
        <v xml:space="preserve"> </v>
      </c>
      <c r="G150" s="12" t="s">
        <v>166</v>
      </c>
      <c r="H150" s="12"/>
    </row>
    <row r="151" spans="1:8" x14ac:dyDescent="0.35">
      <c r="A151" s="2">
        <v>46261</v>
      </c>
      <c r="B151" s="3" t="str">
        <f t="shared" si="12"/>
        <v>Thu</v>
      </c>
      <c r="C151" s="3">
        <f t="shared" si="13"/>
        <v>35</v>
      </c>
      <c r="D151" s="3" t="str">
        <f t="shared" si="14"/>
        <v>August</v>
      </c>
      <c r="E151" s="3"/>
      <c r="F151" s="3" t="str">
        <f t="shared" si="15"/>
        <v xml:space="preserve"> </v>
      </c>
      <c r="G151" s="12" t="s">
        <v>166</v>
      </c>
      <c r="H151" s="12"/>
    </row>
    <row r="152" spans="1:8" x14ac:dyDescent="0.35">
      <c r="A152" s="2">
        <v>46262</v>
      </c>
      <c r="B152" s="3" t="str">
        <f t="shared" si="12"/>
        <v>Fri</v>
      </c>
      <c r="C152" s="3">
        <f t="shared" si="13"/>
        <v>35</v>
      </c>
      <c r="D152" s="3" t="str">
        <f t="shared" si="14"/>
        <v>August</v>
      </c>
      <c r="E152" s="3"/>
      <c r="F152" s="3" t="str">
        <f t="shared" si="15"/>
        <v xml:space="preserve"> </v>
      </c>
      <c r="G152" s="12" t="s">
        <v>166</v>
      </c>
      <c r="H152" s="12"/>
    </row>
    <row r="153" spans="1:8" x14ac:dyDescent="0.35">
      <c r="A153" s="2">
        <v>46263</v>
      </c>
      <c r="B153" s="3" t="str">
        <f t="shared" si="12"/>
        <v>Sat</v>
      </c>
      <c r="C153" s="3">
        <f t="shared" si="13"/>
        <v>35</v>
      </c>
      <c r="D153" s="3" t="str">
        <f t="shared" si="14"/>
        <v>August</v>
      </c>
      <c r="E153" s="3"/>
      <c r="F153" s="3" t="str">
        <f t="shared" si="15"/>
        <v xml:space="preserve"> </v>
      </c>
      <c r="G153" s="12" t="s">
        <v>166</v>
      </c>
      <c r="H153" s="12"/>
    </row>
    <row r="154" spans="1:8" x14ac:dyDescent="0.35">
      <c r="A154" s="2">
        <v>46264</v>
      </c>
      <c r="B154" s="3" t="str">
        <f t="shared" si="12"/>
        <v>Sun</v>
      </c>
      <c r="C154" s="3">
        <f t="shared" si="13"/>
        <v>36</v>
      </c>
      <c r="D154" s="3" t="str">
        <f t="shared" si="14"/>
        <v>August</v>
      </c>
      <c r="E154" s="3"/>
      <c r="F154" s="3" t="str">
        <f t="shared" si="15"/>
        <v xml:space="preserve"> </v>
      </c>
      <c r="G154" s="12" t="s">
        <v>166</v>
      </c>
      <c r="H154" s="12"/>
    </row>
    <row r="155" spans="1:8" x14ac:dyDescent="0.35">
      <c r="A155" s="2">
        <v>46265</v>
      </c>
      <c r="B155" s="3" t="str">
        <f t="shared" si="12"/>
        <v>Mon</v>
      </c>
      <c r="C155" s="3">
        <f t="shared" si="13"/>
        <v>36</v>
      </c>
      <c r="D155" s="3" t="str">
        <f t="shared" si="14"/>
        <v>August</v>
      </c>
      <c r="E155" s="3"/>
      <c r="F155" s="3" t="str">
        <f t="shared" si="15"/>
        <v xml:space="preserve"> </v>
      </c>
      <c r="G155" s="12" t="s">
        <v>166</v>
      </c>
      <c r="H155" s="12"/>
    </row>
    <row r="156" spans="1:8" x14ac:dyDescent="0.35">
      <c r="A156" s="2">
        <v>46266</v>
      </c>
      <c r="B156" s="3" t="str">
        <f t="shared" si="12"/>
        <v>Tue</v>
      </c>
      <c r="C156" s="3">
        <f t="shared" si="13"/>
        <v>36</v>
      </c>
      <c r="D156" s="3" t="str">
        <f t="shared" si="14"/>
        <v>September</v>
      </c>
      <c r="E156" s="3"/>
      <c r="F156" s="3" t="str">
        <f t="shared" si="15"/>
        <v xml:space="preserve"> </v>
      </c>
      <c r="G156" s="12" t="s">
        <v>166</v>
      </c>
      <c r="H156" s="12"/>
    </row>
    <row r="157" spans="1:8" x14ac:dyDescent="0.35">
      <c r="A157" s="2">
        <v>46267</v>
      </c>
      <c r="B157" s="3" t="str">
        <f t="shared" si="12"/>
        <v>Wed</v>
      </c>
      <c r="C157" s="3">
        <f t="shared" si="13"/>
        <v>36</v>
      </c>
      <c r="D157" s="3" t="str">
        <f t="shared" si="14"/>
        <v>September</v>
      </c>
      <c r="E157" s="3"/>
      <c r="F157" s="3" t="str">
        <f t="shared" si="15"/>
        <v xml:space="preserve"> </v>
      </c>
      <c r="G157" s="12" t="s">
        <v>166</v>
      </c>
      <c r="H157" s="12"/>
    </row>
    <row r="158" spans="1:8" x14ac:dyDescent="0.35">
      <c r="A158" s="2">
        <v>46268</v>
      </c>
      <c r="B158" s="3" t="str">
        <f t="shared" si="12"/>
        <v>Thu</v>
      </c>
      <c r="C158" s="3">
        <f t="shared" si="13"/>
        <v>36</v>
      </c>
      <c r="D158" s="3" t="str">
        <f t="shared" si="14"/>
        <v>September</v>
      </c>
      <c r="E158" s="3"/>
      <c r="F158" s="3" t="str">
        <f t="shared" si="15"/>
        <v xml:space="preserve"> </v>
      </c>
      <c r="G158" s="12" t="s">
        <v>166</v>
      </c>
      <c r="H158" s="12"/>
    </row>
    <row r="159" spans="1:8" x14ac:dyDescent="0.35">
      <c r="A159" s="2">
        <v>46269</v>
      </c>
      <c r="B159" s="3" t="str">
        <f t="shared" si="12"/>
        <v>Fri</v>
      </c>
      <c r="C159" s="3">
        <f t="shared" si="13"/>
        <v>36</v>
      </c>
      <c r="D159" s="3" t="str">
        <f t="shared" si="14"/>
        <v>September</v>
      </c>
      <c r="E159" s="3"/>
      <c r="F159" s="3" t="str">
        <f t="shared" si="15"/>
        <v xml:space="preserve"> </v>
      </c>
      <c r="G159" s="12" t="s">
        <v>166</v>
      </c>
      <c r="H159" s="12"/>
    </row>
    <row r="160" spans="1:8" x14ac:dyDescent="0.35">
      <c r="A160" s="2">
        <v>46270</v>
      </c>
      <c r="B160" s="3" t="str">
        <f t="shared" si="12"/>
        <v>Sat</v>
      </c>
      <c r="C160" s="3">
        <f t="shared" si="13"/>
        <v>36</v>
      </c>
      <c r="D160" s="3" t="str">
        <f t="shared" si="14"/>
        <v>September</v>
      </c>
      <c r="E160" s="3"/>
      <c r="F160" s="3" t="str">
        <f t="shared" si="15"/>
        <v xml:space="preserve"> </v>
      </c>
      <c r="G160" s="12" t="s">
        <v>166</v>
      </c>
      <c r="H160" s="12"/>
    </row>
    <row r="161" spans="1:8" x14ac:dyDescent="0.35">
      <c r="A161" s="2">
        <v>46271</v>
      </c>
      <c r="B161" s="3" t="str">
        <f t="shared" si="12"/>
        <v>Sun</v>
      </c>
      <c r="C161" s="3">
        <f t="shared" si="13"/>
        <v>37</v>
      </c>
      <c r="D161" s="3" t="str">
        <f t="shared" si="14"/>
        <v>September</v>
      </c>
      <c r="E161" s="3"/>
      <c r="F161" s="3" t="str">
        <f t="shared" si="15"/>
        <v xml:space="preserve"> </v>
      </c>
      <c r="G161" s="12" t="s">
        <v>166</v>
      </c>
      <c r="H161" s="12"/>
    </row>
    <row r="162" spans="1:8" x14ac:dyDescent="0.35">
      <c r="A162" s="2">
        <v>46272</v>
      </c>
      <c r="B162" s="3" t="str">
        <f t="shared" si="12"/>
        <v>Mon</v>
      </c>
      <c r="C162" s="3">
        <f t="shared" si="13"/>
        <v>37</v>
      </c>
      <c r="D162" s="3" t="str">
        <f t="shared" si="14"/>
        <v>September</v>
      </c>
      <c r="E162" s="3"/>
      <c r="F162" s="3" t="str">
        <f t="shared" si="15"/>
        <v xml:space="preserve"> </v>
      </c>
      <c r="G162" s="12" t="s">
        <v>166</v>
      </c>
      <c r="H162" s="12"/>
    </row>
    <row r="163" spans="1:8" x14ac:dyDescent="0.35">
      <c r="A163" s="2">
        <v>46273</v>
      </c>
      <c r="B163" s="3" t="str">
        <f t="shared" si="12"/>
        <v>Tue</v>
      </c>
      <c r="C163" s="3">
        <f t="shared" si="13"/>
        <v>37</v>
      </c>
      <c r="D163" s="3" t="str">
        <f t="shared" si="14"/>
        <v>September</v>
      </c>
      <c r="E163" s="3"/>
      <c r="F163" s="3" t="str">
        <f t="shared" si="15"/>
        <v xml:space="preserve"> </v>
      </c>
      <c r="G163" s="12" t="s">
        <v>166</v>
      </c>
      <c r="H163" s="12"/>
    </row>
    <row r="164" spans="1:8" x14ac:dyDescent="0.35">
      <c r="A164" s="2">
        <v>46274</v>
      </c>
      <c r="B164" s="3" t="str">
        <f t="shared" si="12"/>
        <v>Wed</v>
      </c>
      <c r="C164" s="3">
        <f t="shared" si="13"/>
        <v>37</v>
      </c>
      <c r="D164" s="3" t="str">
        <f t="shared" si="14"/>
        <v>September</v>
      </c>
      <c r="E164" s="3"/>
      <c r="F164" s="3" t="str">
        <f t="shared" si="15"/>
        <v xml:space="preserve"> </v>
      </c>
      <c r="G164" s="12" t="s">
        <v>166</v>
      </c>
      <c r="H164" s="12"/>
    </row>
    <row r="165" spans="1:8" x14ac:dyDescent="0.35">
      <c r="A165" s="2">
        <v>46275</v>
      </c>
      <c r="B165" s="3" t="str">
        <f t="shared" si="12"/>
        <v>Thu</v>
      </c>
      <c r="C165" s="3">
        <f t="shared" si="13"/>
        <v>37</v>
      </c>
      <c r="D165" s="3" t="str">
        <f t="shared" si="14"/>
        <v>September</v>
      </c>
      <c r="E165" s="3"/>
      <c r="F165" s="3" t="str">
        <f t="shared" si="15"/>
        <v xml:space="preserve"> </v>
      </c>
      <c r="G165" s="12" t="s">
        <v>166</v>
      </c>
      <c r="H165" s="12"/>
    </row>
    <row r="166" spans="1:8" x14ac:dyDescent="0.35">
      <c r="A166" s="2">
        <v>46276</v>
      </c>
      <c r="B166" s="3" t="str">
        <f t="shared" si="12"/>
        <v>Fri</v>
      </c>
      <c r="C166" s="3">
        <f t="shared" si="13"/>
        <v>37</v>
      </c>
      <c r="D166" s="3" t="str">
        <f t="shared" si="14"/>
        <v>September</v>
      </c>
      <c r="E166" s="3"/>
      <c r="F166" s="3" t="str">
        <f t="shared" si="15"/>
        <v xml:space="preserve"> </v>
      </c>
      <c r="G166" s="12" t="s">
        <v>166</v>
      </c>
      <c r="H166" s="12"/>
    </row>
    <row r="167" spans="1:8" x14ac:dyDescent="0.35">
      <c r="A167" s="2">
        <v>46277</v>
      </c>
      <c r="B167" s="3" t="str">
        <f t="shared" si="12"/>
        <v>Sat</v>
      </c>
      <c r="C167" s="3">
        <f t="shared" si="13"/>
        <v>37</v>
      </c>
      <c r="D167" s="3" t="str">
        <f t="shared" si="14"/>
        <v>September</v>
      </c>
      <c r="E167" s="3"/>
      <c r="F167" s="3" t="str">
        <f t="shared" si="15"/>
        <v xml:space="preserve"> </v>
      </c>
      <c r="G167" s="12" t="s">
        <v>166</v>
      </c>
      <c r="H167" s="12"/>
    </row>
    <row r="168" spans="1:8" x14ac:dyDescent="0.35">
      <c r="A168" s="2">
        <v>46278</v>
      </c>
      <c r="B168" s="3" t="str">
        <f t="shared" si="12"/>
        <v>Sun</v>
      </c>
      <c r="C168" s="3">
        <f t="shared" si="13"/>
        <v>38</v>
      </c>
      <c r="D168" s="3" t="str">
        <f t="shared" si="14"/>
        <v>September</v>
      </c>
      <c r="E168" s="3"/>
      <c r="F168" s="3" t="str">
        <f t="shared" si="15"/>
        <v xml:space="preserve"> </v>
      </c>
      <c r="G168" s="12" t="s">
        <v>166</v>
      </c>
      <c r="H168" s="12"/>
    </row>
    <row r="169" spans="1:8" x14ac:dyDescent="0.35">
      <c r="A169" s="2">
        <v>46279</v>
      </c>
      <c r="B169" s="3" t="str">
        <f t="shared" si="12"/>
        <v>Mon</v>
      </c>
      <c r="C169" s="3">
        <f t="shared" si="13"/>
        <v>38</v>
      </c>
      <c r="D169" s="3" t="str">
        <f t="shared" si="14"/>
        <v>September</v>
      </c>
      <c r="E169" s="3"/>
      <c r="F169" s="3" t="str">
        <f t="shared" si="15"/>
        <v xml:space="preserve"> </v>
      </c>
      <c r="G169" s="12" t="s">
        <v>166</v>
      </c>
      <c r="H169" s="12"/>
    </row>
    <row r="170" spans="1:8" x14ac:dyDescent="0.35">
      <c r="A170" s="2">
        <v>46280</v>
      </c>
      <c r="B170" s="3" t="str">
        <f t="shared" si="12"/>
        <v>Tue</v>
      </c>
      <c r="C170" s="3">
        <f t="shared" si="13"/>
        <v>38</v>
      </c>
      <c r="D170" s="3" t="str">
        <f t="shared" si="14"/>
        <v>September</v>
      </c>
      <c r="E170" s="3"/>
      <c r="F170" s="3" t="str">
        <f t="shared" si="15"/>
        <v xml:space="preserve"> </v>
      </c>
      <c r="G170" s="12" t="s">
        <v>166</v>
      </c>
      <c r="H170" s="12"/>
    </row>
    <row r="171" spans="1:8" x14ac:dyDescent="0.35">
      <c r="A171" s="2">
        <v>46281</v>
      </c>
      <c r="B171" s="3" t="str">
        <f t="shared" si="12"/>
        <v>Wed</v>
      </c>
      <c r="C171" s="3">
        <f t="shared" si="13"/>
        <v>38</v>
      </c>
      <c r="D171" s="3" t="str">
        <f t="shared" si="14"/>
        <v>September</v>
      </c>
      <c r="E171" s="3"/>
      <c r="F171" s="3" t="str">
        <f t="shared" si="15"/>
        <v xml:space="preserve"> </v>
      </c>
      <c r="G171" s="12" t="s">
        <v>166</v>
      </c>
      <c r="H171" s="12"/>
    </row>
    <row r="172" spans="1:8" x14ac:dyDescent="0.35">
      <c r="A172" s="2">
        <v>46282</v>
      </c>
      <c r="B172" s="3" t="str">
        <f t="shared" si="12"/>
        <v>Thu</v>
      </c>
      <c r="C172" s="3">
        <f t="shared" si="13"/>
        <v>38</v>
      </c>
      <c r="D172" s="3" t="str">
        <f t="shared" si="14"/>
        <v>September</v>
      </c>
      <c r="E172" s="3"/>
      <c r="F172" s="3" t="str">
        <f t="shared" si="15"/>
        <v xml:space="preserve"> </v>
      </c>
      <c r="G172" s="12" t="s">
        <v>166</v>
      </c>
      <c r="H172" s="12"/>
    </row>
    <row r="173" spans="1:8" x14ac:dyDescent="0.35">
      <c r="A173" s="2">
        <v>46283</v>
      </c>
      <c r="B173" s="3" t="str">
        <f t="shared" si="12"/>
        <v>Fri</v>
      </c>
      <c r="C173" s="3">
        <f t="shared" si="13"/>
        <v>38</v>
      </c>
      <c r="D173" s="3" t="str">
        <f t="shared" si="14"/>
        <v>September</v>
      </c>
      <c r="E173" s="3"/>
      <c r="F173" s="3" t="str">
        <f t="shared" si="15"/>
        <v xml:space="preserve"> </v>
      </c>
      <c r="G173" s="12" t="s">
        <v>166</v>
      </c>
      <c r="H173" s="12"/>
    </row>
    <row r="174" spans="1:8" x14ac:dyDescent="0.35">
      <c r="A174" s="2">
        <v>46284</v>
      </c>
      <c r="B174" s="3" t="str">
        <f t="shared" si="12"/>
        <v>Sat</v>
      </c>
      <c r="C174" s="3">
        <f t="shared" si="13"/>
        <v>38</v>
      </c>
      <c r="D174" s="3" t="str">
        <f t="shared" si="14"/>
        <v>September</v>
      </c>
      <c r="E174" s="3"/>
      <c r="F174" s="3" t="str">
        <f t="shared" si="15"/>
        <v xml:space="preserve"> </v>
      </c>
      <c r="G174" s="12" t="s">
        <v>166</v>
      </c>
      <c r="H174" s="12"/>
    </row>
    <row r="175" spans="1:8" x14ac:dyDescent="0.35">
      <c r="A175" s="2">
        <v>46285</v>
      </c>
      <c r="B175" s="3" t="str">
        <f t="shared" si="12"/>
        <v>Sun</v>
      </c>
      <c r="C175" s="3">
        <f t="shared" si="13"/>
        <v>39</v>
      </c>
      <c r="D175" s="3" t="str">
        <f t="shared" si="14"/>
        <v>September</v>
      </c>
      <c r="E175" s="3"/>
      <c r="F175" s="3" t="str">
        <f t="shared" si="15"/>
        <v xml:space="preserve"> </v>
      </c>
      <c r="G175" s="12" t="s">
        <v>166</v>
      </c>
      <c r="H175" s="12"/>
    </row>
    <row r="176" spans="1:8" x14ac:dyDescent="0.35">
      <c r="A176" s="2">
        <v>46286</v>
      </c>
      <c r="B176" s="3" t="str">
        <f t="shared" si="12"/>
        <v>Mon</v>
      </c>
      <c r="C176" s="3">
        <f t="shared" si="13"/>
        <v>39</v>
      </c>
      <c r="D176" s="3" t="str">
        <f t="shared" si="14"/>
        <v>September</v>
      </c>
      <c r="E176" s="3"/>
      <c r="F176" s="3" t="str">
        <f t="shared" si="15"/>
        <v xml:space="preserve"> </v>
      </c>
      <c r="G176" s="12" t="s">
        <v>166</v>
      </c>
      <c r="H176" s="12"/>
    </row>
    <row r="177" spans="1:8" x14ac:dyDescent="0.35">
      <c r="A177" s="2">
        <v>46287</v>
      </c>
      <c r="B177" s="3" t="str">
        <f t="shared" si="12"/>
        <v>Tue</v>
      </c>
      <c r="C177" s="3">
        <f t="shared" si="13"/>
        <v>39</v>
      </c>
      <c r="D177" s="3" t="str">
        <f t="shared" si="14"/>
        <v>September</v>
      </c>
      <c r="E177" s="3"/>
      <c r="F177" s="3" t="str">
        <f t="shared" si="15"/>
        <v xml:space="preserve"> </v>
      </c>
      <c r="G177" s="12" t="s">
        <v>166</v>
      </c>
      <c r="H177" s="12"/>
    </row>
    <row r="178" spans="1:8" x14ac:dyDescent="0.35">
      <c r="A178" s="2">
        <v>46288</v>
      </c>
      <c r="B178" s="3" t="str">
        <f t="shared" si="12"/>
        <v>Wed</v>
      </c>
      <c r="C178" s="3">
        <f t="shared" si="13"/>
        <v>39</v>
      </c>
      <c r="D178" s="3" t="str">
        <f t="shared" si="14"/>
        <v>September</v>
      </c>
      <c r="E178" s="3"/>
      <c r="F178" s="3" t="str">
        <f t="shared" si="15"/>
        <v xml:space="preserve"> </v>
      </c>
      <c r="G178" s="12" t="s">
        <v>166</v>
      </c>
      <c r="H178" s="12"/>
    </row>
    <row r="179" spans="1:8" x14ac:dyDescent="0.35">
      <c r="A179" s="2">
        <v>46289</v>
      </c>
      <c r="B179" s="3" t="str">
        <f t="shared" si="12"/>
        <v>Thu</v>
      </c>
      <c r="C179" s="3">
        <f t="shared" si="13"/>
        <v>39</v>
      </c>
      <c r="D179" s="3" t="str">
        <f t="shared" si="14"/>
        <v>September</v>
      </c>
      <c r="E179" s="3"/>
      <c r="F179" s="3" t="str">
        <f t="shared" si="15"/>
        <v xml:space="preserve"> </v>
      </c>
      <c r="G179" s="12" t="s">
        <v>166</v>
      </c>
      <c r="H179" s="12"/>
    </row>
    <row r="180" spans="1:8" x14ac:dyDescent="0.35">
      <c r="A180" s="2">
        <v>46290</v>
      </c>
      <c r="B180" s="3" t="str">
        <f t="shared" si="12"/>
        <v>Fri</v>
      </c>
      <c r="C180" s="3">
        <f t="shared" si="13"/>
        <v>39</v>
      </c>
      <c r="D180" s="3" t="str">
        <f t="shared" si="14"/>
        <v>September</v>
      </c>
      <c r="E180" s="3"/>
      <c r="F180" s="3" t="str">
        <f t="shared" si="15"/>
        <v xml:space="preserve"> </v>
      </c>
      <c r="G180" s="12" t="s">
        <v>166</v>
      </c>
      <c r="H180" s="12"/>
    </row>
    <row r="181" spans="1:8" x14ac:dyDescent="0.35">
      <c r="A181" s="2">
        <v>46291</v>
      </c>
      <c r="B181" s="3" t="str">
        <f t="shared" si="12"/>
        <v>Sat</v>
      </c>
      <c r="C181" s="3">
        <f t="shared" si="13"/>
        <v>39</v>
      </c>
      <c r="D181" s="3" t="str">
        <f t="shared" si="14"/>
        <v>September</v>
      </c>
      <c r="E181" s="3"/>
      <c r="F181" s="3" t="str">
        <f t="shared" si="15"/>
        <v xml:space="preserve"> </v>
      </c>
      <c r="G181" s="12" t="s">
        <v>166</v>
      </c>
      <c r="H181" s="12"/>
    </row>
    <row r="182" spans="1:8" x14ac:dyDescent="0.35">
      <c r="A182" s="2">
        <v>46292</v>
      </c>
      <c r="B182" s="3" t="str">
        <f t="shared" si="12"/>
        <v>Sun</v>
      </c>
      <c r="C182" s="3">
        <f t="shared" si="13"/>
        <v>40</v>
      </c>
      <c r="D182" s="3" t="str">
        <f t="shared" si="14"/>
        <v>September</v>
      </c>
      <c r="E182" s="3"/>
      <c r="F182" s="3" t="str">
        <f t="shared" si="15"/>
        <v xml:space="preserve"> </v>
      </c>
      <c r="G182" s="12" t="s">
        <v>166</v>
      </c>
      <c r="H182" s="12"/>
    </row>
    <row r="183" spans="1:8" x14ac:dyDescent="0.35">
      <c r="A183" s="2">
        <v>46293</v>
      </c>
      <c r="B183" s="3" t="str">
        <f t="shared" si="12"/>
        <v>Mon</v>
      </c>
      <c r="C183" s="3">
        <f t="shared" si="13"/>
        <v>40</v>
      </c>
      <c r="D183" s="3" t="str">
        <f t="shared" si="14"/>
        <v>September</v>
      </c>
      <c r="E183" s="3"/>
      <c r="F183" s="3" t="str">
        <f t="shared" si="15"/>
        <v xml:space="preserve"> </v>
      </c>
      <c r="G183" s="12" t="s">
        <v>166</v>
      </c>
      <c r="H183" s="12"/>
    </row>
    <row r="184" spans="1:8" x14ac:dyDescent="0.35">
      <c r="A184" s="2">
        <v>46294</v>
      </c>
      <c r="B184" s="3" t="str">
        <f t="shared" si="12"/>
        <v>Tue</v>
      </c>
      <c r="C184" s="3">
        <f t="shared" si="13"/>
        <v>40</v>
      </c>
      <c r="D184" s="3" t="str">
        <f t="shared" si="14"/>
        <v>September</v>
      </c>
      <c r="E184" s="3"/>
      <c r="F184" s="3" t="str">
        <f t="shared" si="15"/>
        <v xml:space="preserve"> </v>
      </c>
      <c r="G184" s="12" t="s">
        <v>166</v>
      </c>
      <c r="H184" s="12"/>
    </row>
    <row r="185" spans="1:8" x14ac:dyDescent="0.35">
      <c r="A185" s="2">
        <v>46295</v>
      </c>
      <c r="B185" s="3" t="str">
        <f t="shared" si="12"/>
        <v>Wed</v>
      </c>
      <c r="C185" s="3">
        <f t="shared" si="13"/>
        <v>40</v>
      </c>
      <c r="D185" s="3" t="str">
        <f t="shared" si="14"/>
        <v>September</v>
      </c>
      <c r="E185" s="3"/>
      <c r="F185" s="3" t="str">
        <f t="shared" si="15"/>
        <v xml:space="preserve"> </v>
      </c>
      <c r="G185" s="12" t="s">
        <v>166</v>
      </c>
      <c r="H185" s="12"/>
    </row>
    <row r="186" spans="1:8" x14ac:dyDescent="0.35">
      <c r="A186" s="2">
        <v>46296</v>
      </c>
      <c r="B186" s="3" t="str">
        <f t="shared" si="12"/>
        <v>Thu</v>
      </c>
      <c r="C186" s="3">
        <f t="shared" si="13"/>
        <v>40</v>
      </c>
      <c r="D186" s="3" t="str">
        <f t="shared" si="14"/>
        <v>October</v>
      </c>
      <c r="E186" s="3"/>
      <c r="F186" s="3" t="str">
        <f t="shared" si="15"/>
        <v xml:space="preserve"> </v>
      </c>
      <c r="G186" s="12" t="s">
        <v>166</v>
      </c>
      <c r="H186" s="12"/>
    </row>
    <row r="187" spans="1:8" x14ac:dyDescent="0.35">
      <c r="A187" s="2">
        <v>46297</v>
      </c>
      <c r="B187" s="3" t="str">
        <f t="shared" si="12"/>
        <v>Fri</v>
      </c>
      <c r="C187" s="3">
        <f t="shared" si="13"/>
        <v>40</v>
      </c>
      <c r="D187" s="3" t="str">
        <f t="shared" si="14"/>
        <v>October</v>
      </c>
      <c r="E187" s="3"/>
      <c r="F187" s="3" t="str">
        <f t="shared" si="15"/>
        <v xml:space="preserve"> </v>
      </c>
      <c r="G187" s="12" t="s">
        <v>166</v>
      </c>
      <c r="H187" s="12"/>
    </row>
    <row r="188" spans="1:8" x14ac:dyDescent="0.35">
      <c r="A188" s="2">
        <v>46298</v>
      </c>
      <c r="B188" s="3" t="str">
        <f t="shared" si="12"/>
        <v>Sat</v>
      </c>
      <c r="C188" s="3">
        <f t="shared" si="13"/>
        <v>40</v>
      </c>
      <c r="D188" s="3" t="str">
        <f t="shared" si="14"/>
        <v>October</v>
      </c>
      <c r="E188" s="3"/>
      <c r="F188" s="3" t="str">
        <f t="shared" si="15"/>
        <v xml:space="preserve"> </v>
      </c>
      <c r="G188" s="12" t="s">
        <v>166</v>
      </c>
      <c r="H188" s="12"/>
    </row>
    <row r="189" spans="1:8" x14ac:dyDescent="0.35">
      <c r="A189" s="2">
        <v>46299</v>
      </c>
      <c r="B189" s="3" t="str">
        <f t="shared" si="12"/>
        <v>Sun</v>
      </c>
      <c r="C189" s="3">
        <f t="shared" si="13"/>
        <v>41</v>
      </c>
      <c r="D189" s="3" t="str">
        <f t="shared" si="14"/>
        <v>October</v>
      </c>
      <c r="E189" s="3"/>
      <c r="F189" s="3" t="str">
        <f t="shared" si="15"/>
        <v xml:space="preserve"> </v>
      </c>
      <c r="G189" s="12" t="s">
        <v>166</v>
      </c>
      <c r="H189" s="12"/>
    </row>
    <row r="190" spans="1:8" x14ac:dyDescent="0.35">
      <c r="A190" s="2">
        <v>46300</v>
      </c>
      <c r="B190" s="3" t="str">
        <f t="shared" si="12"/>
        <v>Mon</v>
      </c>
      <c r="C190" s="3">
        <f t="shared" si="13"/>
        <v>41</v>
      </c>
      <c r="D190" s="3" t="str">
        <f t="shared" si="14"/>
        <v>October</v>
      </c>
      <c r="E190" s="3"/>
      <c r="F190" s="3" t="str">
        <f t="shared" si="15"/>
        <v xml:space="preserve"> </v>
      </c>
      <c r="G190" s="12" t="s">
        <v>166</v>
      </c>
      <c r="H190" s="12"/>
    </row>
    <row r="191" spans="1:8" x14ac:dyDescent="0.35">
      <c r="A191" s="2">
        <v>46301</v>
      </c>
      <c r="B191" s="3" t="str">
        <f t="shared" si="12"/>
        <v>Tue</v>
      </c>
      <c r="C191" s="3">
        <f t="shared" si="13"/>
        <v>41</v>
      </c>
      <c r="D191" s="3" t="str">
        <f t="shared" si="14"/>
        <v>October</v>
      </c>
      <c r="E191" s="3"/>
      <c r="F191" s="3" t="str">
        <f t="shared" si="15"/>
        <v xml:space="preserve"> </v>
      </c>
      <c r="G191" s="12" t="s">
        <v>166</v>
      </c>
      <c r="H191" s="12"/>
    </row>
    <row r="192" spans="1:8" x14ac:dyDescent="0.35">
      <c r="A192" s="2">
        <v>46302</v>
      </c>
      <c r="B192" s="3" t="str">
        <f t="shared" si="12"/>
        <v>Wed</v>
      </c>
      <c r="C192" s="3">
        <f t="shared" si="13"/>
        <v>41</v>
      </c>
      <c r="D192" s="3" t="str">
        <f t="shared" si="14"/>
        <v>October</v>
      </c>
      <c r="E192" s="3"/>
      <c r="F192" s="3" t="str">
        <f t="shared" si="15"/>
        <v xml:space="preserve"> </v>
      </c>
      <c r="G192" s="12" t="s">
        <v>166</v>
      </c>
      <c r="H192" s="12"/>
    </row>
    <row r="193" spans="1:8" x14ac:dyDescent="0.35">
      <c r="A193" s="2">
        <v>46303</v>
      </c>
      <c r="B193" s="3" t="str">
        <f t="shared" si="12"/>
        <v>Thu</v>
      </c>
      <c r="C193" s="3">
        <f t="shared" si="13"/>
        <v>41</v>
      </c>
      <c r="D193" s="3" t="str">
        <f t="shared" si="14"/>
        <v>October</v>
      </c>
      <c r="E193" s="3"/>
      <c r="F193" s="3" t="str">
        <f t="shared" si="15"/>
        <v xml:space="preserve"> </v>
      </c>
      <c r="G193" s="12" t="s">
        <v>166</v>
      </c>
      <c r="H193" s="12"/>
    </row>
    <row r="194" spans="1:8" x14ac:dyDescent="0.35">
      <c r="A194" s="2">
        <v>46304</v>
      </c>
      <c r="B194" s="3" t="str">
        <f t="shared" si="12"/>
        <v>Fri</v>
      </c>
      <c r="C194" s="3">
        <f t="shared" si="13"/>
        <v>41</v>
      </c>
      <c r="D194" s="3" t="str">
        <f t="shared" si="14"/>
        <v>October</v>
      </c>
      <c r="E194" s="3"/>
      <c r="F194" s="3" t="str">
        <f t="shared" si="15"/>
        <v xml:space="preserve"> </v>
      </c>
      <c r="G194" s="12" t="s">
        <v>166</v>
      </c>
      <c r="H194" s="12"/>
    </row>
    <row r="195" spans="1:8" x14ac:dyDescent="0.35">
      <c r="A195" s="2">
        <v>46305</v>
      </c>
      <c r="B195" s="3" t="str">
        <f t="shared" si="12"/>
        <v>Sat</v>
      </c>
      <c r="C195" s="3">
        <f t="shared" si="13"/>
        <v>41</v>
      </c>
      <c r="D195" s="3" t="str">
        <f t="shared" si="14"/>
        <v>October</v>
      </c>
      <c r="E195" s="3"/>
      <c r="F195" s="3" t="str">
        <f t="shared" si="15"/>
        <v xml:space="preserve"> </v>
      </c>
      <c r="G195" s="12" t="s">
        <v>166</v>
      </c>
      <c r="H195" s="12"/>
    </row>
    <row r="196" spans="1:8" x14ac:dyDescent="0.35">
      <c r="A196" s="2">
        <v>46306</v>
      </c>
      <c r="B196" s="3" t="str">
        <f t="shared" si="12"/>
        <v>Sun</v>
      </c>
      <c r="C196" s="3">
        <f t="shared" si="13"/>
        <v>42</v>
      </c>
      <c r="D196" s="3" t="str">
        <f t="shared" si="14"/>
        <v>October</v>
      </c>
      <c r="E196" s="3"/>
      <c r="F196" s="3" t="str">
        <f t="shared" si="15"/>
        <v xml:space="preserve"> </v>
      </c>
      <c r="G196" s="12" t="s">
        <v>166</v>
      </c>
      <c r="H196" s="12"/>
    </row>
    <row r="197" spans="1:8" x14ac:dyDescent="0.35">
      <c r="A197" s="2">
        <v>46307</v>
      </c>
      <c r="B197" s="3" t="str">
        <f t="shared" si="12"/>
        <v>Mon</v>
      </c>
      <c r="C197" s="3">
        <f t="shared" si="13"/>
        <v>42</v>
      </c>
      <c r="D197" s="3" t="str">
        <f t="shared" si="14"/>
        <v>October</v>
      </c>
      <c r="E197" s="3"/>
      <c r="F197" s="3" t="str">
        <f t="shared" si="15"/>
        <v xml:space="preserve"> </v>
      </c>
      <c r="G197" s="12" t="s">
        <v>166</v>
      </c>
      <c r="H197" s="12"/>
    </row>
    <row r="198" spans="1:8" x14ac:dyDescent="0.35">
      <c r="A198" s="2">
        <v>46308</v>
      </c>
      <c r="B198" s="3" t="str">
        <f t="shared" si="12"/>
        <v>Tue</v>
      </c>
      <c r="C198" s="3">
        <f t="shared" si="13"/>
        <v>42</v>
      </c>
      <c r="D198" s="3" t="str">
        <f t="shared" si="14"/>
        <v>October</v>
      </c>
      <c r="E198" s="3"/>
      <c r="F198" s="3" t="str">
        <f t="shared" si="15"/>
        <v xml:space="preserve"> </v>
      </c>
      <c r="G198" s="12" t="s">
        <v>166</v>
      </c>
      <c r="H198" s="12"/>
    </row>
    <row r="199" spans="1:8" x14ac:dyDescent="0.35">
      <c r="A199" s="2">
        <v>46309</v>
      </c>
      <c r="B199" s="3" t="str">
        <f t="shared" si="12"/>
        <v>Wed</v>
      </c>
      <c r="C199" s="3">
        <f t="shared" si="13"/>
        <v>42</v>
      </c>
      <c r="D199" s="3" t="str">
        <f t="shared" si="14"/>
        <v>October</v>
      </c>
      <c r="E199" s="3"/>
      <c r="F199" s="3" t="str">
        <f t="shared" si="15"/>
        <v xml:space="preserve"> </v>
      </c>
      <c r="G199" s="12" t="s">
        <v>166</v>
      </c>
      <c r="H199" s="12"/>
    </row>
    <row r="200" spans="1:8" x14ac:dyDescent="0.35">
      <c r="A200" s="2">
        <v>46310</v>
      </c>
      <c r="B200" s="3" t="str">
        <f t="shared" ref="B200:B230" si="16">TEXT(A200,"DDD")</f>
        <v>Thu</v>
      </c>
      <c r="C200" s="3">
        <f t="shared" ref="C200:C230" si="17">WEEKNUM(A200)</f>
        <v>42</v>
      </c>
      <c r="D200" s="3" t="str">
        <f t="shared" ref="D200:D230" si="18">TEXT(A200,"mmmm")</f>
        <v>October</v>
      </c>
      <c r="E200" s="3"/>
      <c r="F200" s="3" t="str">
        <f t="shared" ref="F200:F230" si="19">IF(E200="J1",$L$3,IF(E200="J2",$L$4,IF(E200="J3",$L$5,IF(E200="J4",$L$6,IF(E200="J5",$L$7," ")))))</f>
        <v xml:space="preserve"> </v>
      </c>
      <c r="G200" s="12" t="s">
        <v>166</v>
      </c>
      <c r="H200" s="12"/>
    </row>
    <row r="201" spans="1:8" x14ac:dyDescent="0.35">
      <c r="A201" s="2">
        <v>46311</v>
      </c>
      <c r="B201" s="3" t="str">
        <f t="shared" si="16"/>
        <v>Fri</v>
      </c>
      <c r="C201" s="3">
        <f t="shared" si="17"/>
        <v>42</v>
      </c>
      <c r="D201" s="3" t="str">
        <f t="shared" si="18"/>
        <v>October</v>
      </c>
      <c r="E201" s="3"/>
      <c r="F201" s="3" t="str">
        <f t="shared" si="19"/>
        <v xml:space="preserve"> </v>
      </c>
      <c r="G201" s="12" t="s">
        <v>166</v>
      </c>
      <c r="H201" s="12"/>
    </row>
    <row r="202" spans="1:8" x14ac:dyDescent="0.35">
      <c r="A202" s="2">
        <v>46312</v>
      </c>
      <c r="B202" s="3" t="str">
        <f t="shared" si="16"/>
        <v>Sat</v>
      </c>
      <c r="C202" s="3">
        <f t="shared" si="17"/>
        <v>42</v>
      </c>
      <c r="D202" s="3" t="str">
        <f t="shared" si="18"/>
        <v>October</v>
      </c>
      <c r="E202" s="3"/>
      <c r="F202" s="3" t="str">
        <f t="shared" si="19"/>
        <v xml:space="preserve"> </v>
      </c>
      <c r="G202" s="12" t="s">
        <v>166</v>
      </c>
      <c r="H202" s="12"/>
    </row>
    <row r="203" spans="1:8" x14ac:dyDescent="0.35">
      <c r="A203" s="2">
        <v>46313</v>
      </c>
      <c r="B203" s="3" t="str">
        <f t="shared" si="16"/>
        <v>Sun</v>
      </c>
      <c r="C203" s="3">
        <f t="shared" si="17"/>
        <v>43</v>
      </c>
      <c r="D203" s="3" t="str">
        <f t="shared" si="18"/>
        <v>October</v>
      </c>
      <c r="E203" s="3"/>
      <c r="F203" s="3" t="str">
        <f t="shared" si="19"/>
        <v xml:space="preserve"> </v>
      </c>
      <c r="G203" s="12" t="s">
        <v>166</v>
      </c>
      <c r="H203" s="12"/>
    </row>
    <row r="204" spans="1:8" x14ac:dyDescent="0.35">
      <c r="A204" s="2">
        <v>46314</v>
      </c>
      <c r="B204" s="3" t="str">
        <f t="shared" si="16"/>
        <v>Mon</v>
      </c>
      <c r="C204" s="3">
        <f t="shared" si="17"/>
        <v>43</v>
      </c>
      <c r="D204" s="3" t="str">
        <f t="shared" si="18"/>
        <v>October</v>
      </c>
      <c r="E204" s="3"/>
      <c r="F204" s="3" t="str">
        <f t="shared" si="19"/>
        <v xml:space="preserve"> </v>
      </c>
      <c r="G204" s="12" t="s">
        <v>166</v>
      </c>
      <c r="H204" s="12"/>
    </row>
    <row r="205" spans="1:8" x14ac:dyDescent="0.35">
      <c r="A205" s="2">
        <v>46315</v>
      </c>
      <c r="B205" s="3" t="str">
        <f t="shared" si="16"/>
        <v>Tue</v>
      </c>
      <c r="C205" s="3">
        <f t="shared" si="17"/>
        <v>43</v>
      </c>
      <c r="D205" s="3" t="str">
        <f t="shared" si="18"/>
        <v>October</v>
      </c>
      <c r="E205" s="3"/>
      <c r="F205" s="3" t="str">
        <f t="shared" si="19"/>
        <v xml:space="preserve"> </v>
      </c>
      <c r="G205" s="12" t="s">
        <v>166</v>
      </c>
      <c r="H205" s="12"/>
    </row>
    <row r="206" spans="1:8" x14ac:dyDescent="0.35">
      <c r="A206" s="2">
        <v>46316</v>
      </c>
      <c r="B206" s="3" t="str">
        <f t="shared" si="16"/>
        <v>Wed</v>
      </c>
      <c r="C206" s="3">
        <f t="shared" si="17"/>
        <v>43</v>
      </c>
      <c r="D206" s="3" t="str">
        <f t="shared" si="18"/>
        <v>October</v>
      </c>
      <c r="E206" s="3"/>
      <c r="F206" s="3" t="str">
        <f t="shared" si="19"/>
        <v xml:space="preserve"> </v>
      </c>
      <c r="G206" s="12" t="s">
        <v>166</v>
      </c>
      <c r="H206" s="12"/>
    </row>
    <row r="207" spans="1:8" x14ac:dyDescent="0.35">
      <c r="A207" s="2">
        <v>46317</v>
      </c>
      <c r="B207" s="3" t="str">
        <f t="shared" si="16"/>
        <v>Thu</v>
      </c>
      <c r="C207" s="3">
        <f t="shared" si="17"/>
        <v>43</v>
      </c>
      <c r="D207" s="3" t="str">
        <f t="shared" si="18"/>
        <v>October</v>
      </c>
      <c r="E207" s="3"/>
      <c r="F207" s="3" t="str">
        <f t="shared" si="19"/>
        <v xml:space="preserve"> </v>
      </c>
      <c r="G207" s="12" t="s">
        <v>166</v>
      </c>
      <c r="H207" s="12"/>
    </row>
    <row r="208" spans="1:8" x14ac:dyDescent="0.35">
      <c r="A208" s="2">
        <v>46318</v>
      </c>
      <c r="B208" s="3" t="str">
        <f t="shared" si="16"/>
        <v>Fri</v>
      </c>
      <c r="C208" s="3">
        <f t="shared" si="17"/>
        <v>43</v>
      </c>
      <c r="D208" s="3" t="str">
        <f t="shared" si="18"/>
        <v>October</v>
      </c>
      <c r="E208" s="3"/>
      <c r="F208" s="3" t="str">
        <f t="shared" si="19"/>
        <v xml:space="preserve"> </v>
      </c>
      <c r="G208" s="12" t="s">
        <v>166</v>
      </c>
      <c r="H208" s="12"/>
    </row>
    <row r="209" spans="1:8" x14ac:dyDescent="0.35">
      <c r="A209" s="2">
        <v>46319</v>
      </c>
      <c r="B209" s="3" t="str">
        <f t="shared" si="16"/>
        <v>Sat</v>
      </c>
      <c r="C209" s="3">
        <f t="shared" si="17"/>
        <v>43</v>
      </c>
      <c r="D209" s="3" t="str">
        <f t="shared" si="18"/>
        <v>October</v>
      </c>
      <c r="E209" s="3"/>
      <c r="F209" s="3" t="str">
        <f t="shared" si="19"/>
        <v xml:space="preserve"> </v>
      </c>
      <c r="G209" s="12" t="s">
        <v>166</v>
      </c>
      <c r="H209" s="12"/>
    </row>
    <row r="210" spans="1:8" x14ac:dyDescent="0.35">
      <c r="A210" s="2">
        <v>46320</v>
      </c>
      <c r="B210" s="3" t="str">
        <f t="shared" si="16"/>
        <v>Sun</v>
      </c>
      <c r="C210" s="3">
        <f t="shared" si="17"/>
        <v>44</v>
      </c>
      <c r="D210" s="3" t="str">
        <f t="shared" si="18"/>
        <v>October</v>
      </c>
      <c r="E210" s="3"/>
      <c r="F210" s="3" t="str">
        <f t="shared" si="19"/>
        <v xml:space="preserve"> </v>
      </c>
      <c r="G210" s="12" t="s">
        <v>166</v>
      </c>
      <c r="H210" s="12"/>
    </row>
    <row r="211" spans="1:8" x14ac:dyDescent="0.35">
      <c r="A211" s="2">
        <v>46321</v>
      </c>
      <c r="B211" s="3" t="str">
        <f t="shared" si="16"/>
        <v>Mon</v>
      </c>
      <c r="C211" s="3">
        <f t="shared" si="17"/>
        <v>44</v>
      </c>
      <c r="D211" s="3" t="str">
        <f t="shared" si="18"/>
        <v>October</v>
      </c>
      <c r="E211" s="3"/>
      <c r="F211" s="3" t="str">
        <f t="shared" si="19"/>
        <v xml:space="preserve"> </v>
      </c>
      <c r="G211" s="12" t="s">
        <v>166</v>
      </c>
      <c r="H211" s="12"/>
    </row>
    <row r="212" spans="1:8" x14ac:dyDescent="0.35">
      <c r="A212" s="2">
        <v>46322</v>
      </c>
      <c r="B212" s="3" t="str">
        <f t="shared" si="16"/>
        <v>Tue</v>
      </c>
      <c r="C212" s="3">
        <f t="shared" si="17"/>
        <v>44</v>
      </c>
      <c r="D212" s="3" t="str">
        <f t="shared" si="18"/>
        <v>October</v>
      </c>
      <c r="E212" s="3"/>
      <c r="F212" s="3" t="str">
        <f t="shared" si="19"/>
        <v xml:space="preserve"> </v>
      </c>
      <c r="G212" s="12" t="s">
        <v>166</v>
      </c>
      <c r="H212" s="12"/>
    </row>
    <row r="213" spans="1:8" x14ac:dyDescent="0.35">
      <c r="A213" s="2">
        <v>46323</v>
      </c>
      <c r="B213" s="3" t="str">
        <f t="shared" si="16"/>
        <v>Wed</v>
      </c>
      <c r="C213" s="3">
        <f t="shared" si="17"/>
        <v>44</v>
      </c>
      <c r="D213" s="3" t="str">
        <f t="shared" si="18"/>
        <v>October</v>
      </c>
      <c r="E213" s="3"/>
      <c r="F213" s="3" t="str">
        <f t="shared" si="19"/>
        <v xml:space="preserve"> </v>
      </c>
      <c r="G213" s="12" t="s">
        <v>166</v>
      </c>
      <c r="H213" s="12"/>
    </row>
    <row r="214" spans="1:8" x14ac:dyDescent="0.35">
      <c r="A214" s="2">
        <v>46324</v>
      </c>
      <c r="B214" s="3" t="str">
        <f t="shared" si="16"/>
        <v>Thu</v>
      </c>
      <c r="C214" s="3">
        <f t="shared" si="17"/>
        <v>44</v>
      </c>
      <c r="D214" s="3" t="str">
        <f t="shared" si="18"/>
        <v>October</v>
      </c>
      <c r="E214" s="3"/>
      <c r="F214" s="3" t="str">
        <f t="shared" si="19"/>
        <v xml:space="preserve"> </v>
      </c>
      <c r="G214" s="12" t="s">
        <v>166</v>
      </c>
      <c r="H214" s="12"/>
    </row>
    <row r="215" spans="1:8" x14ac:dyDescent="0.35">
      <c r="A215" s="2">
        <v>46325</v>
      </c>
      <c r="B215" s="3" t="str">
        <f t="shared" si="16"/>
        <v>Fri</v>
      </c>
      <c r="C215" s="3">
        <f t="shared" si="17"/>
        <v>44</v>
      </c>
      <c r="D215" s="3" t="str">
        <f t="shared" si="18"/>
        <v>October</v>
      </c>
      <c r="E215" s="3"/>
      <c r="F215" s="3" t="str">
        <f t="shared" si="19"/>
        <v xml:space="preserve"> </v>
      </c>
      <c r="G215" s="12" t="s">
        <v>166</v>
      </c>
      <c r="H215" s="12"/>
    </row>
    <row r="216" spans="1:8" x14ac:dyDescent="0.35">
      <c r="A216" s="2">
        <v>46326</v>
      </c>
      <c r="B216" s="3" t="str">
        <f t="shared" si="16"/>
        <v>Sat</v>
      </c>
      <c r="C216" s="3">
        <f t="shared" si="17"/>
        <v>44</v>
      </c>
      <c r="D216" s="3" t="str">
        <f t="shared" si="18"/>
        <v>October</v>
      </c>
      <c r="E216" s="3"/>
      <c r="F216" s="3" t="str">
        <f t="shared" si="19"/>
        <v xml:space="preserve"> </v>
      </c>
      <c r="G216" s="12" t="s">
        <v>166</v>
      </c>
      <c r="H216" s="12"/>
    </row>
    <row r="217" spans="1:8" x14ac:dyDescent="0.35">
      <c r="A217" s="2">
        <v>46327</v>
      </c>
      <c r="B217" s="3" t="str">
        <f t="shared" si="16"/>
        <v>Sun</v>
      </c>
      <c r="C217" s="3">
        <f t="shared" si="17"/>
        <v>45</v>
      </c>
      <c r="D217" s="3" t="str">
        <f t="shared" si="18"/>
        <v>November</v>
      </c>
      <c r="E217" s="3"/>
      <c r="F217" s="3" t="str">
        <f t="shared" si="19"/>
        <v xml:space="preserve"> </v>
      </c>
      <c r="G217" s="12" t="s">
        <v>166</v>
      </c>
      <c r="H217" s="12"/>
    </row>
    <row r="218" spans="1:8" x14ac:dyDescent="0.35">
      <c r="A218" s="2">
        <v>46328</v>
      </c>
      <c r="B218" s="3" t="str">
        <f t="shared" si="16"/>
        <v>Mon</v>
      </c>
      <c r="C218" s="3">
        <f t="shared" si="17"/>
        <v>45</v>
      </c>
      <c r="D218" s="3" t="str">
        <f t="shared" si="18"/>
        <v>November</v>
      </c>
      <c r="E218" s="3"/>
      <c r="F218" s="3" t="str">
        <f t="shared" si="19"/>
        <v xml:space="preserve"> </v>
      </c>
      <c r="G218" s="12" t="s">
        <v>166</v>
      </c>
      <c r="H218" s="12"/>
    </row>
    <row r="219" spans="1:8" x14ac:dyDescent="0.35">
      <c r="A219" s="2">
        <v>46329</v>
      </c>
      <c r="B219" s="3" t="str">
        <f t="shared" si="16"/>
        <v>Tue</v>
      </c>
      <c r="C219" s="3">
        <f t="shared" si="17"/>
        <v>45</v>
      </c>
      <c r="D219" s="3" t="str">
        <f t="shared" si="18"/>
        <v>November</v>
      </c>
      <c r="E219" s="3"/>
      <c r="F219" s="3" t="str">
        <f t="shared" si="19"/>
        <v xml:space="preserve"> </v>
      </c>
      <c r="G219" s="12" t="s">
        <v>166</v>
      </c>
      <c r="H219" s="12"/>
    </row>
    <row r="220" spans="1:8" x14ac:dyDescent="0.35">
      <c r="A220" s="2">
        <v>46330</v>
      </c>
      <c r="B220" s="3" t="str">
        <f t="shared" si="16"/>
        <v>Wed</v>
      </c>
      <c r="C220" s="3">
        <f t="shared" si="17"/>
        <v>45</v>
      </c>
      <c r="D220" s="3" t="str">
        <f t="shared" si="18"/>
        <v>November</v>
      </c>
      <c r="E220" s="3"/>
      <c r="F220" s="3" t="str">
        <f t="shared" si="19"/>
        <v xml:space="preserve"> </v>
      </c>
      <c r="G220" s="12" t="s">
        <v>166</v>
      </c>
      <c r="H220" s="12"/>
    </row>
    <row r="221" spans="1:8" x14ac:dyDescent="0.35">
      <c r="A221" s="2">
        <v>46331</v>
      </c>
      <c r="B221" s="3" t="str">
        <f t="shared" si="16"/>
        <v>Thu</v>
      </c>
      <c r="C221" s="3">
        <f t="shared" si="17"/>
        <v>45</v>
      </c>
      <c r="D221" s="3" t="str">
        <f t="shared" si="18"/>
        <v>November</v>
      </c>
      <c r="E221" s="3"/>
      <c r="F221" s="3" t="str">
        <f t="shared" si="19"/>
        <v xml:space="preserve"> </v>
      </c>
      <c r="G221" s="12" t="s">
        <v>166</v>
      </c>
      <c r="H221" s="12"/>
    </row>
    <row r="222" spans="1:8" x14ac:dyDescent="0.35">
      <c r="A222" s="2">
        <v>46332</v>
      </c>
      <c r="B222" s="3" t="str">
        <f t="shared" si="16"/>
        <v>Fri</v>
      </c>
      <c r="C222" s="3">
        <f t="shared" si="17"/>
        <v>45</v>
      </c>
      <c r="D222" s="3" t="str">
        <f t="shared" si="18"/>
        <v>November</v>
      </c>
      <c r="E222" s="3"/>
      <c r="F222" s="3" t="str">
        <f t="shared" si="19"/>
        <v xml:space="preserve"> </v>
      </c>
      <c r="G222" s="12" t="s">
        <v>166</v>
      </c>
      <c r="H222" s="12"/>
    </row>
    <row r="223" spans="1:8" x14ac:dyDescent="0.35">
      <c r="A223" s="2">
        <v>46333</v>
      </c>
      <c r="B223" s="3" t="str">
        <f t="shared" si="16"/>
        <v>Sat</v>
      </c>
      <c r="C223" s="3">
        <f t="shared" si="17"/>
        <v>45</v>
      </c>
      <c r="D223" s="3" t="str">
        <f t="shared" si="18"/>
        <v>November</v>
      </c>
      <c r="E223" s="3"/>
      <c r="F223" s="3" t="str">
        <f t="shared" si="19"/>
        <v xml:space="preserve"> </v>
      </c>
      <c r="G223" s="12" t="s">
        <v>166</v>
      </c>
      <c r="H223" s="12"/>
    </row>
    <row r="224" spans="1:8" x14ac:dyDescent="0.35">
      <c r="A224" s="2">
        <v>46334</v>
      </c>
      <c r="B224" s="3" t="str">
        <f t="shared" si="16"/>
        <v>Sun</v>
      </c>
      <c r="C224" s="3">
        <f t="shared" si="17"/>
        <v>46</v>
      </c>
      <c r="D224" s="3" t="str">
        <f t="shared" si="18"/>
        <v>November</v>
      </c>
      <c r="E224" s="3"/>
      <c r="F224" s="3" t="str">
        <f t="shared" si="19"/>
        <v xml:space="preserve"> </v>
      </c>
      <c r="G224" s="12" t="s">
        <v>166</v>
      </c>
      <c r="H224" s="12"/>
    </row>
    <row r="225" spans="1:9" x14ac:dyDescent="0.35">
      <c r="A225" s="2">
        <v>46335</v>
      </c>
      <c r="B225" s="3" t="str">
        <f t="shared" si="16"/>
        <v>Mon</v>
      </c>
      <c r="C225" s="3">
        <f t="shared" si="17"/>
        <v>46</v>
      </c>
      <c r="D225" s="3" t="str">
        <f t="shared" si="18"/>
        <v>November</v>
      </c>
      <c r="E225" s="3"/>
      <c r="F225" s="3" t="str">
        <f t="shared" si="19"/>
        <v xml:space="preserve"> </v>
      </c>
      <c r="G225" s="12" t="s">
        <v>166</v>
      </c>
      <c r="H225" s="12"/>
    </row>
    <row r="226" spans="1:9" x14ac:dyDescent="0.35">
      <c r="A226" s="2">
        <v>46336</v>
      </c>
      <c r="B226" s="3" t="str">
        <f t="shared" si="16"/>
        <v>Tue</v>
      </c>
      <c r="C226" s="3">
        <f t="shared" si="17"/>
        <v>46</v>
      </c>
      <c r="D226" s="3" t="str">
        <f t="shared" si="18"/>
        <v>November</v>
      </c>
      <c r="E226" s="3"/>
      <c r="F226" s="3" t="str">
        <f t="shared" si="19"/>
        <v xml:space="preserve"> </v>
      </c>
      <c r="G226" s="12" t="s">
        <v>166</v>
      </c>
      <c r="H226" s="12"/>
    </row>
    <row r="227" spans="1:9" x14ac:dyDescent="0.35">
      <c r="A227" s="2">
        <v>46337</v>
      </c>
      <c r="B227" s="3" t="str">
        <f t="shared" si="16"/>
        <v>Wed</v>
      </c>
      <c r="C227" s="3">
        <f t="shared" si="17"/>
        <v>46</v>
      </c>
      <c r="D227" s="3" t="str">
        <f t="shared" si="18"/>
        <v>November</v>
      </c>
      <c r="E227" s="3"/>
      <c r="F227" s="3" t="str">
        <f t="shared" si="19"/>
        <v xml:space="preserve"> </v>
      </c>
      <c r="G227" s="12" t="s">
        <v>166</v>
      </c>
      <c r="H227" s="12"/>
    </row>
    <row r="228" spans="1:9" x14ac:dyDescent="0.35">
      <c r="A228" s="2">
        <v>46338</v>
      </c>
      <c r="B228" s="3" t="str">
        <f t="shared" si="16"/>
        <v>Thu</v>
      </c>
      <c r="C228" s="3">
        <f t="shared" si="17"/>
        <v>46</v>
      </c>
      <c r="D228" s="3" t="str">
        <f t="shared" si="18"/>
        <v>November</v>
      </c>
      <c r="E228" s="3"/>
      <c r="F228" s="3" t="str">
        <f t="shared" si="19"/>
        <v xml:space="preserve"> </v>
      </c>
      <c r="G228" s="12" t="s">
        <v>166</v>
      </c>
      <c r="H228" s="12"/>
      <c r="I228" s="64"/>
    </row>
    <row r="229" spans="1:9" x14ac:dyDescent="0.35">
      <c r="A229" s="2">
        <v>46339</v>
      </c>
      <c r="B229" s="3" t="str">
        <f t="shared" si="16"/>
        <v>Fri</v>
      </c>
      <c r="C229" s="3">
        <f t="shared" si="17"/>
        <v>46</v>
      </c>
      <c r="D229" s="3" t="str">
        <f t="shared" si="18"/>
        <v>November</v>
      </c>
      <c r="E229" s="3"/>
      <c r="F229" s="3" t="str">
        <f t="shared" si="19"/>
        <v xml:space="preserve"> </v>
      </c>
      <c r="G229" s="12" t="s">
        <v>166</v>
      </c>
      <c r="H229" s="12"/>
    </row>
    <row r="230" spans="1:9" x14ac:dyDescent="0.35">
      <c r="A230" s="2">
        <v>46340</v>
      </c>
      <c r="B230" s="3" t="str">
        <f t="shared" si="16"/>
        <v>Sat</v>
      </c>
      <c r="C230" s="3">
        <f t="shared" si="17"/>
        <v>46</v>
      </c>
      <c r="D230" s="3" t="str">
        <f t="shared" si="18"/>
        <v>November</v>
      </c>
      <c r="E230" s="3"/>
      <c r="F230" s="3" t="str">
        <f t="shared" si="19"/>
        <v xml:space="preserve"> </v>
      </c>
      <c r="G230" s="12" t="s">
        <v>166</v>
      </c>
      <c r="H230" s="12"/>
    </row>
  </sheetData>
  <mergeCells count="1">
    <mergeCell ref="A1:F1"/>
  </mergeCells>
  <conditionalFormatting sqref="B1:B1048576">
    <cfRule type="containsText" dxfId="8" priority="8" operator="containsText" text="MGG">
      <formula>NOT(ISERROR(SEARCH("MGG",B1)))</formula>
    </cfRule>
  </conditionalFormatting>
  <conditionalFormatting sqref="B2:B1048576">
    <cfRule type="containsText" dxfId="7" priority="9" operator="containsText" text="SUN">
      <formula>NOT(ISERROR(SEARCH("SUN",B2)))</formula>
    </cfRule>
  </conditionalFormatting>
  <conditionalFormatting sqref="F1 F3:F1048576">
    <cfRule type="containsText" dxfId="6" priority="5" operator="containsText" text="IZIN">
      <formula>NOT(ISERROR(SEARCH("IZIN",F1)))</formula>
    </cfRule>
    <cfRule type="containsText" dxfId="5" priority="6" operator="containsText" text="SAKIT">
      <formula>NOT(ISERROR(SEARCH("SAKIT",F1)))</formula>
    </cfRule>
    <cfRule type="containsText" dxfId="4" priority="7" operator="containsText" text="MASUK">
      <formula>NOT(ISERROR(SEARCH("MASUK",F1)))</formula>
    </cfRule>
  </conditionalFormatting>
  <conditionalFormatting sqref="F1:F1048576">
    <cfRule type="containsText" dxfId="3" priority="1" operator="containsText" text="LEMBUR">
      <formula>NOT(ISERROR(SEARCH("LEMBUR",F1)))</formula>
    </cfRule>
    <cfRule type="containsText" dxfId="2" priority="2" operator="containsText" text="TOTAL HARI KERJA">
      <formula>NOT(ISERROR(SEARCH("TOTAL HARI KERJA",F1)))</formula>
    </cfRule>
    <cfRule type="containsText" dxfId="1" priority="3" operator="containsText" text="MERAH">
      <formula>NOT(ISERROR(SEARCH("MERAH",F1)))</formula>
    </cfRule>
  </conditionalFormatting>
  <conditionalFormatting sqref="F2:H2">
    <cfRule type="containsText" dxfId="0" priority="4" operator="containsText" text="MASUK">
      <formula>NOT(ISERROR(SEARCH("MASUK",F2)))</formula>
    </cfRule>
  </conditionalFormatting>
  <pageMargins left="0.7" right="0.7" top="0.75" bottom="0.75" header="0.3" footer="0.3"/>
  <pageSetup paperSize="256" orientation="portrait" horizontalDpi="203" verticalDpi="20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9FB94-4EFD-41C8-BFAA-35C5756D97AD}">
  <dimension ref="A1:V107"/>
  <sheetViews>
    <sheetView showGridLines="0" tabSelected="1" topLeftCell="A70" zoomScale="70" zoomScaleNormal="70" workbookViewId="0">
      <selection activeCell="M85" sqref="M85"/>
    </sheetView>
  </sheetViews>
  <sheetFormatPr defaultRowHeight="14.5" x14ac:dyDescent="0.35"/>
  <cols>
    <col min="4" max="4" width="3.54296875" customWidth="1"/>
    <col min="5" max="5" width="4" customWidth="1"/>
    <col min="6" max="6" width="16.1796875" bestFit="1" customWidth="1"/>
    <col min="7" max="7" width="13.08984375" customWidth="1"/>
    <col min="8" max="8" width="13.36328125" bestFit="1" customWidth="1"/>
    <col min="9" max="9" width="2.90625" customWidth="1"/>
    <col min="10" max="10" width="13.36328125" bestFit="1" customWidth="1"/>
    <col min="11" max="11" width="6.54296875" customWidth="1"/>
    <col min="14" max="14" width="10.81640625" bestFit="1" customWidth="1"/>
    <col min="16" max="16" width="19.1796875" bestFit="1" customWidth="1"/>
    <col min="17" max="17" width="13.08984375" bestFit="1" customWidth="1"/>
    <col min="18" max="18" width="15.26953125" bestFit="1" customWidth="1"/>
    <col min="19" max="19" width="13.08984375" bestFit="1" customWidth="1"/>
    <col min="20" max="20" width="14.1796875" bestFit="1" customWidth="1"/>
  </cols>
  <sheetData>
    <row r="1" spans="2:22" ht="15" thickBot="1" x14ac:dyDescent="0.4">
      <c r="U1" t="s">
        <v>20</v>
      </c>
      <c r="V1" s="59">
        <f>IFERROR(VLOOKUP(U1,$R$2:$S$8,2,0),"0")</f>
        <v>25</v>
      </c>
    </row>
    <row r="2" spans="2:22" x14ac:dyDescent="0.35">
      <c r="B2" s="14" t="s">
        <v>13</v>
      </c>
      <c r="C2" s="15"/>
      <c r="D2" s="15"/>
      <c r="E2" s="15"/>
      <c r="F2" s="15"/>
      <c r="G2" s="15" t="s">
        <v>16</v>
      </c>
      <c r="H2" s="16">
        <v>46266</v>
      </c>
      <c r="I2" s="15" t="s">
        <v>15</v>
      </c>
      <c r="J2" s="16">
        <v>46295</v>
      </c>
      <c r="K2" s="17"/>
      <c r="P2" s="13" t="s">
        <v>22</v>
      </c>
      <c r="Q2" s="13" t="s">
        <v>25</v>
      </c>
      <c r="R2" s="13" t="s">
        <v>12</v>
      </c>
      <c r="S2" t="s">
        <v>28</v>
      </c>
      <c r="U2" t="s">
        <v>30</v>
      </c>
      <c r="V2" s="59">
        <f>IFERROR(VLOOKUP(U2,$R$2:$S$8,2,0),"0")</f>
        <v>1</v>
      </c>
    </row>
    <row r="3" spans="2:22" x14ac:dyDescent="0.35">
      <c r="B3" s="18" t="s">
        <v>14</v>
      </c>
      <c r="C3" s="67"/>
      <c r="D3" s="67"/>
      <c r="E3" s="67"/>
      <c r="F3" s="67"/>
      <c r="G3" s="67"/>
      <c r="H3" s="67"/>
      <c r="I3" s="67"/>
      <c r="J3" s="67"/>
      <c r="K3" s="19"/>
      <c r="P3" t="s">
        <v>23</v>
      </c>
      <c r="Q3" t="s">
        <v>26</v>
      </c>
      <c r="R3" t="s">
        <v>27</v>
      </c>
      <c r="S3" s="126">
        <v>4</v>
      </c>
      <c r="U3" t="s">
        <v>118</v>
      </c>
      <c r="V3" s="59" t="str">
        <f>IFERROR(VLOOKUP(U3,$R$2:$S$8,2,0),"0")</f>
        <v>0</v>
      </c>
    </row>
    <row r="4" spans="2:22" x14ac:dyDescent="0.35">
      <c r="B4" s="18"/>
      <c r="C4" s="67"/>
      <c r="D4" s="67"/>
      <c r="E4" s="67"/>
      <c r="F4" s="67"/>
      <c r="G4" s="67"/>
      <c r="H4" s="67"/>
      <c r="I4" s="67"/>
      <c r="J4" s="67"/>
      <c r="K4" s="19"/>
      <c r="Q4" t="s">
        <v>135</v>
      </c>
      <c r="R4" t="s">
        <v>20</v>
      </c>
      <c r="S4" s="126">
        <v>25</v>
      </c>
      <c r="U4" t="s">
        <v>139</v>
      </c>
      <c r="V4" s="59" t="str">
        <f>IFERROR(VLOOKUP(U4,$R$2:$S$8,2,0),"0")</f>
        <v>0</v>
      </c>
    </row>
    <row r="5" spans="2:22" x14ac:dyDescent="0.35">
      <c r="B5" s="18" t="s">
        <v>31</v>
      </c>
      <c r="C5" s="116" t="str">
        <f>P3</f>
        <v>EGA SILVIA YUNIAR</v>
      </c>
      <c r="D5" s="116"/>
      <c r="E5" s="116"/>
      <c r="F5" s="67"/>
      <c r="G5" s="68" t="s">
        <v>18</v>
      </c>
      <c r="H5" s="70">
        <v>1500000</v>
      </c>
      <c r="I5" s="68">
        <v>25</v>
      </c>
      <c r="J5" s="68" t="s">
        <v>17</v>
      </c>
      <c r="K5" s="24"/>
      <c r="Q5" t="s">
        <v>102</v>
      </c>
      <c r="R5" t="s">
        <v>30</v>
      </c>
      <c r="S5" s="126">
        <v>1</v>
      </c>
      <c r="U5" t="s">
        <v>138</v>
      </c>
      <c r="V5" s="59" t="str">
        <f>IFERROR(VLOOKUP(U5,$R$2:$S$8,2,0),"0")</f>
        <v>0</v>
      </c>
    </row>
    <row r="6" spans="2:22" x14ac:dyDescent="0.35">
      <c r="B6" s="106">
        <v>45689</v>
      </c>
      <c r="C6" s="112"/>
      <c r="D6" s="112"/>
      <c r="E6" s="112"/>
      <c r="F6" s="67"/>
      <c r="G6" s="68" t="s">
        <v>169</v>
      </c>
      <c r="H6" s="113">
        <v>100000</v>
      </c>
      <c r="I6" s="68"/>
      <c r="J6" s="68"/>
      <c r="K6" s="24"/>
      <c r="V6" s="59"/>
    </row>
    <row r="7" spans="2:22" ht="15" x14ac:dyDescent="0.4">
      <c r="B7" s="106"/>
      <c r="C7" s="67"/>
      <c r="D7" s="67"/>
      <c r="E7" s="67"/>
      <c r="F7" s="67"/>
      <c r="G7" s="68" t="s">
        <v>148</v>
      </c>
      <c r="H7" s="90">
        <v>250000</v>
      </c>
      <c r="I7" s="68"/>
      <c r="J7" s="68"/>
      <c r="K7" s="24"/>
    </row>
    <row r="8" spans="2:22" x14ac:dyDescent="0.35">
      <c r="B8" s="18"/>
      <c r="C8" s="67"/>
      <c r="D8" s="67"/>
      <c r="E8" s="67"/>
      <c r="F8" s="67"/>
      <c r="G8" s="68" t="s">
        <v>149</v>
      </c>
      <c r="H8" s="70">
        <f>H5+H7+H6</f>
        <v>1850000</v>
      </c>
      <c r="I8" s="91" t="s">
        <v>150</v>
      </c>
      <c r="J8" s="70">
        <f>H8/I5</f>
        <v>74000</v>
      </c>
      <c r="K8" s="92" t="s">
        <v>19</v>
      </c>
    </row>
    <row r="9" spans="2:22" x14ac:dyDescent="0.35">
      <c r="B9" s="18"/>
      <c r="C9" s="67"/>
      <c r="D9" s="67"/>
      <c r="E9" s="67"/>
      <c r="F9" s="67"/>
      <c r="G9" s="68"/>
      <c r="H9" s="70"/>
      <c r="I9" s="68"/>
      <c r="J9" s="68"/>
      <c r="K9" s="24"/>
    </row>
    <row r="10" spans="2:22" x14ac:dyDescent="0.35">
      <c r="B10" s="18"/>
      <c r="C10" s="67"/>
      <c r="D10" s="67"/>
      <c r="E10" s="67"/>
      <c r="F10" s="67"/>
      <c r="G10" s="68"/>
      <c r="H10" s="70"/>
      <c r="I10" s="68"/>
      <c r="J10" s="68"/>
      <c r="K10" s="24"/>
    </row>
    <row r="11" spans="2:22" x14ac:dyDescent="0.35">
      <c r="B11" s="18"/>
      <c r="C11" s="67"/>
      <c r="D11" s="67"/>
      <c r="E11" s="67"/>
      <c r="F11" s="67"/>
      <c r="G11" s="67"/>
      <c r="H11" s="67"/>
      <c r="I11" s="67"/>
      <c r="J11" s="67"/>
      <c r="K11" s="19"/>
    </row>
    <row r="12" spans="2:22" x14ac:dyDescent="0.35">
      <c r="B12" s="18" t="s">
        <v>20</v>
      </c>
      <c r="C12" s="67"/>
      <c r="D12" s="71">
        <f>V1</f>
        <v>25</v>
      </c>
      <c r="E12" s="72" t="s">
        <v>29</v>
      </c>
      <c r="F12" s="69">
        <f>IF(B12="Total hari kerja",D12*J8,0)</f>
        <v>1850000</v>
      </c>
      <c r="G12" s="73"/>
      <c r="H12" s="74" t="s">
        <v>151</v>
      </c>
      <c r="I12" s="75" t="s">
        <v>29</v>
      </c>
      <c r="J12" s="69"/>
      <c r="K12" s="66"/>
    </row>
    <row r="13" spans="2:22" x14ac:dyDescent="0.35">
      <c r="B13" s="18" t="s">
        <v>30</v>
      </c>
      <c r="C13" s="67"/>
      <c r="D13" s="71">
        <f>V2</f>
        <v>1</v>
      </c>
      <c r="E13" s="67" t="s">
        <v>29</v>
      </c>
      <c r="F13" s="93">
        <f>IF(B13="IJIN/SAKIT/ALFA",D13*0,0)</f>
        <v>0</v>
      </c>
      <c r="G13" s="76"/>
      <c r="H13" s="73" t="s">
        <v>152</v>
      </c>
      <c r="I13" s="75" t="s">
        <v>29</v>
      </c>
      <c r="J13" s="69"/>
      <c r="K13" s="19"/>
    </row>
    <row r="14" spans="2:22" ht="15" thickBot="1" x14ac:dyDescent="0.4">
      <c r="B14" s="20" t="s">
        <v>147</v>
      </c>
      <c r="C14" s="21"/>
      <c r="D14" s="77" t="str">
        <f>V5</f>
        <v>0</v>
      </c>
      <c r="E14" s="21" t="s">
        <v>29</v>
      </c>
      <c r="F14" s="80">
        <f>IF(B14="1/2 hari",D14*35000,0)</f>
        <v>0</v>
      </c>
      <c r="G14" s="78"/>
      <c r="H14" s="104"/>
      <c r="I14" s="79" t="s">
        <v>29</v>
      </c>
      <c r="J14" s="80"/>
      <c r="K14" s="23"/>
    </row>
    <row r="15" spans="2:22" ht="21.5" x14ac:dyDescent="0.75">
      <c r="B15" s="95" t="s">
        <v>21</v>
      </c>
      <c r="C15" s="94"/>
      <c r="D15" s="67"/>
      <c r="E15" s="96"/>
      <c r="F15" s="97">
        <f>F12+F14+J12+J14+J13</f>
        <v>1850000</v>
      </c>
      <c r="G15" s="67"/>
      <c r="H15" s="67"/>
      <c r="I15" s="67"/>
      <c r="J15" s="69">
        <f>J13+J14</f>
        <v>0</v>
      </c>
      <c r="K15" s="19"/>
    </row>
    <row r="16" spans="2:22" ht="13.5" customHeight="1" x14ac:dyDescent="0.75">
      <c r="B16" s="98" t="s">
        <v>155</v>
      </c>
      <c r="C16" s="94"/>
      <c r="D16" s="67"/>
      <c r="E16" s="96"/>
      <c r="F16" s="97"/>
      <c r="G16" s="67"/>
      <c r="H16" s="67"/>
      <c r="I16" s="67"/>
      <c r="J16" s="67"/>
      <c r="K16" s="19"/>
    </row>
    <row r="17" spans="1:22" ht="13.5" customHeight="1" x14ac:dyDescent="0.75">
      <c r="B17" s="99" t="s">
        <v>153</v>
      </c>
      <c r="C17" s="94"/>
      <c r="D17" s="67"/>
      <c r="E17" s="96"/>
      <c r="F17" s="97"/>
      <c r="G17" s="67"/>
      <c r="H17" s="67"/>
      <c r="I17" s="67"/>
      <c r="J17" s="67"/>
      <c r="K17" s="19"/>
    </row>
    <row r="18" spans="1:22" ht="13.5" customHeight="1" x14ac:dyDescent="0.75">
      <c r="B18" s="99" t="s">
        <v>154</v>
      </c>
      <c r="C18" s="94"/>
      <c r="D18" s="67"/>
      <c r="E18" s="96"/>
      <c r="F18" s="97"/>
      <c r="G18" s="67"/>
      <c r="H18" s="67"/>
      <c r="I18" s="67"/>
      <c r="J18" s="67"/>
      <c r="K18" s="19"/>
    </row>
    <row r="19" spans="1:22" ht="13.5" customHeight="1" x14ac:dyDescent="0.75">
      <c r="B19" s="99" t="s">
        <v>171</v>
      </c>
      <c r="C19" s="94"/>
      <c r="D19" s="67"/>
      <c r="E19" s="96"/>
      <c r="F19" s="97"/>
      <c r="G19" s="67"/>
      <c r="H19" s="67"/>
      <c r="I19" s="67"/>
      <c r="J19" s="67"/>
      <c r="K19" s="19"/>
    </row>
    <row r="20" spans="1:22" ht="13.5" customHeight="1" x14ac:dyDescent="0.75">
      <c r="B20" s="99" t="s">
        <v>156</v>
      </c>
      <c r="C20" s="94"/>
      <c r="D20" s="67"/>
      <c r="E20" s="96"/>
      <c r="F20" s="97"/>
      <c r="G20" s="67"/>
      <c r="H20" s="67"/>
      <c r="I20" s="67"/>
      <c r="J20" s="67"/>
      <c r="K20" s="19"/>
    </row>
    <row r="21" spans="1:22" ht="15" thickBot="1" x14ac:dyDescent="0.4">
      <c r="A21" s="103"/>
      <c r="B21" s="100"/>
      <c r="C21" s="21"/>
      <c r="D21" s="21"/>
      <c r="E21" s="21"/>
      <c r="F21" s="22"/>
      <c r="G21" s="21"/>
      <c r="H21" s="21"/>
      <c r="I21" s="21"/>
      <c r="J21" s="21"/>
      <c r="K21" s="23"/>
    </row>
    <row r="24" spans="1:22" x14ac:dyDescent="0.35">
      <c r="P24" s="13" t="s">
        <v>22</v>
      </c>
      <c r="Q24" s="13" t="s">
        <v>25</v>
      </c>
      <c r="R24" s="13" t="s">
        <v>12</v>
      </c>
      <c r="S24" t="s">
        <v>28</v>
      </c>
      <c r="U24" t="s">
        <v>20</v>
      </c>
      <c r="V24" s="59">
        <f>IFERROR(VLOOKUP(U24,$R$25:$S$30,2,0),"0")</f>
        <v>26</v>
      </c>
    </row>
    <row r="25" spans="1:22" x14ac:dyDescent="0.35">
      <c r="P25" t="s">
        <v>158</v>
      </c>
      <c r="Q25" t="s">
        <v>26</v>
      </c>
      <c r="R25" t="s">
        <v>27</v>
      </c>
      <c r="S25">
        <v>4</v>
      </c>
      <c r="U25" t="s">
        <v>30</v>
      </c>
      <c r="V25" s="59" t="str">
        <f>IFERROR(VLOOKUP(U25,$R$26:$S$30,2,0),"0")</f>
        <v>0</v>
      </c>
    </row>
    <row r="26" spans="1:22" x14ac:dyDescent="0.35">
      <c r="B26" t="s">
        <v>96</v>
      </c>
      <c r="Q26" t="s">
        <v>135</v>
      </c>
      <c r="R26" t="s">
        <v>20</v>
      </c>
      <c r="S26">
        <v>26</v>
      </c>
      <c r="U26" t="s">
        <v>118</v>
      </c>
      <c r="V26" s="59" t="str">
        <f t="shared" ref="V26:V29" si="0">IFERROR(VLOOKUP(U26,$R$26:$S$30,2,0),"0")</f>
        <v>0</v>
      </c>
    </row>
    <row r="27" spans="1:22" x14ac:dyDescent="0.35">
      <c r="B27" s="28"/>
      <c r="U27" t="s">
        <v>139</v>
      </c>
      <c r="V27" s="59" t="str">
        <f t="shared" si="0"/>
        <v>0</v>
      </c>
    </row>
    <row r="28" spans="1:22" x14ac:dyDescent="0.35">
      <c r="I28" s="25"/>
      <c r="U28" t="s">
        <v>138</v>
      </c>
      <c r="V28" s="59" t="str">
        <f t="shared" si="0"/>
        <v>0</v>
      </c>
    </row>
    <row r="29" spans="1:22" x14ac:dyDescent="0.35">
      <c r="V29" s="59" t="str">
        <f t="shared" si="0"/>
        <v>0</v>
      </c>
    </row>
    <row r="30" spans="1:22" x14ac:dyDescent="0.35">
      <c r="C30">
        <f>4/12*1500000</f>
        <v>500000</v>
      </c>
    </row>
    <row r="34" spans="2:14" ht="15" thickBot="1" x14ac:dyDescent="0.4"/>
    <row r="35" spans="2:14" x14ac:dyDescent="0.35">
      <c r="B35" s="14" t="s">
        <v>13</v>
      </c>
      <c r="C35" s="15"/>
      <c r="D35" s="15"/>
      <c r="E35" s="15"/>
      <c r="F35" s="15"/>
      <c r="G35" s="15" t="s">
        <v>16</v>
      </c>
      <c r="H35" s="16">
        <v>46266</v>
      </c>
      <c r="I35" s="15" t="s">
        <v>15</v>
      </c>
      <c r="J35" s="16">
        <v>46295</v>
      </c>
      <c r="K35" s="17"/>
    </row>
    <row r="36" spans="2:14" x14ac:dyDescent="0.35">
      <c r="B36" s="18" t="s">
        <v>14</v>
      </c>
      <c r="C36" s="67"/>
      <c r="D36" s="67"/>
      <c r="E36" s="67"/>
      <c r="F36" s="67"/>
      <c r="G36" s="67"/>
      <c r="H36" s="67"/>
      <c r="I36" s="67"/>
      <c r="J36" s="67"/>
      <c r="K36" s="19"/>
    </row>
    <row r="37" spans="2:14" x14ac:dyDescent="0.35">
      <c r="B37" s="18"/>
      <c r="C37" s="67"/>
      <c r="D37" s="67"/>
      <c r="E37" s="67"/>
      <c r="F37" s="67"/>
      <c r="G37" s="67"/>
      <c r="H37" s="67" t="s">
        <v>168</v>
      </c>
      <c r="I37" s="67"/>
      <c r="J37" s="67"/>
      <c r="K37" s="19"/>
    </row>
    <row r="38" spans="2:14" x14ac:dyDescent="0.35">
      <c r="B38" s="18" t="s">
        <v>31</v>
      </c>
      <c r="C38" s="117" t="str">
        <f>P25</f>
        <v>GEFIRA SITI NURHALIJAH</v>
      </c>
      <c r="D38" s="117"/>
      <c r="E38" s="117"/>
      <c r="F38" s="67"/>
      <c r="G38" s="68" t="s">
        <v>18</v>
      </c>
      <c r="H38" s="70">
        <v>1350000</v>
      </c>
      <c r="I38" s="68">
        <v>25</v>
      </c>
      <c r="J38" s="68" t="s">
        <v>17</v>
      </c>
      <c r="K38" s="24"/>
    </row>
    <row r="39" spans="2:14" ht="15" x14ac:dyDescent="0.4">
      <c r="B39" s="106">
        <v>46023</v>
      </c>
      <c r="C39" s="67"/>
      <c r="D39" s="67"/>
      <c r="E39" s="67"/>
      <c r="F39" s="67"/>
      <c r="G39" s="68" t="s">
        <v>148</v>
      </c>
      <c r="H39" s="114">
        <v>150000</v>
      </c>
      <c r="I39" s="68"/>
      <c r="J39" s="68"/>
      <c r="K39" s="24"/>
    </row>
    <row r="40" spans="2:14" x14ac:dyDescent="0.35">
      <c r="B40" s="18"/>
      <c r="C40" s="67"/>
      <c r="D40" s="67"/>
      <c r="E40" s="67"/>
      <c r="F40" s="67"/>
      <c r="G40" s="68" t="s">
        <v>149</v>
      </c>
      <c r="H40" s="70">
        <f>H38+H39</f>
        <v>1500000</v>
      </c>
      <c r="I40" s="91" t="s">
        <v>150</v>
      </c>
      <c r="J40" s="70">
        <f>H40/I38</f>
        <v>60000</v>
      </c>
      <c r="K40" s="92" t="s">
        <v>19</v>
      </c>
    </row>
    <row r="41" spans="2:14" x14ac:dyDescent="0.35">
      <c r="B41" s="18"/>
      <c r="C41" s="67"/>
      <c r="D41" s="67"/>
      <c r="E41" s="67"/>
      <c r="F41" s="67"/>
      <c r="G41" s="68"/>
      <c r="H41" s="70"/>
      <c r="I41" s="68"/>
      <c r="J41" s="68"/>
      <c r="K41" s="24"/>
    </row>
    <row r="42" spans="2:14" x14ac:dyDescent="0.35">
      <c r="B42" s="18"/>
      <c r="C42" s="67"/>
      <c r="D42" s="67"/>
      <c r="E42" s="67"/>
      <c r="F42" s="67"/>
      <c r="G42" s="68"/>
      <c r="H42" s="70"/>
      <c r="I42" s="68"/>
      <c r="J42" s="68"/>
      <c r="K42" s="24"/>
    </row>
    <row r="43" spans="2:14" x14ac:dyDescent="0.35">
      <c r="B43" s="18"/>
      <c r="C43" s="67"/>
      <c r="D43" s="67"/>
      <c r="E43" s="67"/>
      <c r="F43" s="67"/>
      <c r="G43" s="67"/>
      <c r="H43" s="67"/>
      <c r="I43" s="67"/>
      <c r="J43" s="67"/>
      <c r="K43" s="19"/>
    </row>
    <row r="44" spans="2:14" x14ac:dyDescent="0.35">
      <c r="B44" s="18" t="s">
        <v>20</v>
      </c>
      <c r="C44" s="67"/>
      <c r="D44" s="71">
        <f>V24</f>
        <v>26</v>
      </c>
      <c r="E44" s="72" t="s">
        <v>29</v>
      </c>
      <c r="F44" s="69">
        <f>IF(B44="Total hari kerja",D44*J40,0)</f>
        <v>1560000</v>
      </c>
      <c r="G44" s="73"/>
      <c r="H44" s="74" t="s">
        <v>151</v>
      </c>
      <c r="I44" s="75" t="s">
        <v>29</v>
      </c>
      <c r="J44" s="69"/>
      <c r="K44" s="66"/>
    </row>
    <row r="45" spans="2:14" x14ac:dyDescent="0.35">
      <c r="B45" s="18" t="s">
        <v>30</v>
      </c>
      <c r="C45" s="67"/>
      <c r="D45" s="71" t="str">
        <f>V25</f>
        <v>0</v>
      </c>
      <c r="E45" s="67" t="s">
        <v>29</v>
      </c>
      <c r="F45" s="93">
        <f>IF(B45="IJIN/SAKIT/ALFA",D45*0,0)</f>
        <v>0</v>
      </c>
      <c r="G45" s="76"/>
      <c r="H45" s="73" t="s">
        <v>152</v>
      </c>
      <c r="I45" s="75" t="s">
        <v>29</v>
      </c>
      <c r="J45" s="67"/>
      <c r="K45" s="19"/>
    </row>
    <row r="46" spans="2:14" ht="15" thickBot="1" x14ac:dyDescent="0.4">
      <c r="B46" s="20" t="s">
        <v>147</v>
      </c>
      <c r="C46" s="21"/>
      <c r="D46" s="77" t="str">
        <f>V28</f>
        <v>0</v>
      </c>
      <c r="E46" s="21" t="s">
        <v>29</v>
      </c>
      <c r="F46" s="80">
        <f>IF(B46="1/2 hari",D46*32000,0)</f>
        <v>0</v>
      </c>
      <c r="G46" s="78"/>
      <c r="H46" s="104"/>
      <c r="I46" s="79" t="s">
        <v>29</v>
      </c>
      <c r="J46" s="80"/>
      <c r="K46" s="23"/>
    </row>
    <row r="47" spans="2:14" ht="27.5" customHeight="1" x14ac:dyDescent="0.75">
      <c r="B47" s="95" t="s">
        <v>21</v>
      </c>
      <c r="C47" s="94"/>
      <c r="D47" s="67"/>
      <c r="E47" s="96"/>
      <c r="F47" s="97">
        <f>F44+F46+J44+J46</f>
        <v>1560000</v>
      </c>
      <c r="G47" s="67"/>
      <c r="H47" s="67"/>
      <c r="I47" s="67"/>
      <c r="J47" s="67"/>
      <c r="K47" s="19"/>
      <c r="N47" s="25"/>
    </row>
    <row r="48" spans="2:14" ht="13.5" customHeight="1" x14ac:dyDescent="0.75">
      <c r="B48" s="98" t="s">
        <v>155</v>
      </c>
      <c r="C48" s="94"/>
      <c r="D48" s="67"/>
      <c r="E48" s="96"/>
      <c r="F48" s="97"/>
      <c r="G48" s="67"/>
      <c r="H48" s="67"/>
      <c r="I48" s="67"/>
      <c r="J48" s="67"/>
      <c r="K48" s="19"/>
    </row>
    <row r="49" spans="2:22" ht="13.5" customHeight="1" x14ac:dyDescent="0.75">
      <c r="B49" s="99" t="s">
        <v>153</v>
      </c>
      <c r="C49" s="94"/>
      <c r="D49" s="67"/>
      <c r="E49" s="96"/>
      <c r="F49" s="97"/>
      <c r="G49" s="67"/>
      <c r="H49" s="67"/>
      <c r="I49" s="67"/>
      <c r="J49" s="67"/>
      <c r="K49" s="19"/>
    </row>
    <row r="50" spans="2:22" ht="13.5" customHeight="1" x14ac:dyDescent="0.75">
      <c r="B50" s="99" t="s">
        <v>154</v>
      </c>
      <c r="C50" s="94"/>
      <c r="D50" s="67"/>
      <c r="E50" s="96"/>
      <c r="F50" s="97"/>
      <c r="G50" s="67"/>
      <c r="H50" s="67"/>
      <c r="I50" s="67"/>
      <c r="J50" s="67"/>
      <c r="K50" s="19"/>
    </row>
    <row r="51" spans="2:22" ht="13.5" customHeight="1" x14ac:dyDescent="0.75">
      <c r="B51" s="99" t="s">
        <v>171</v>
      </c>
      <c r="C51" s="94"/>
      <c r="D51" s="67"/>
      <c r="E51" s="96"/>
      <c r="F51" s="97"/>
      <c r="G51" s="67"/>
      <c r="H51" s="67"/>
      <c r="I51" s="67"/>
      <c r="J51" s="67"/>
      <c r="K51" s="19"/>
    </row>
    <row r="52" spans="2:22" ht="12.5" customHeight="1" x14ac:dyDescent="0.75">
      <c r="B52" s="99" t="s">
        <v>156</v>
      </c>
      <c r="C52" s="94"/>
      <c r="D52" s="67"/>
      <c r="E52" s="96"/>
      <c r="F52" s="97"/>
      <c r="G52" s="67"/>
      <c r="H52" s="67"/>
      <c r="I52" s="67"/>
      <c r="J52" s="67"/>
      <c r="K52" s="19"/>
    </row>
    <row r="53" spans="2:22" ht="15" thickBot="1" x14ac:dyDescent="0.4">
      <c r="B53" s="100"/>
      <c r="C53" s="21"/>
      <c r="D53" s="21"/>
      <c r="E53" s="21"/>
      <c r="F53" s="22"/>
      <c r="G53" s="21"/>
      <c r="H53" s="21"/>
      <c r="I53" s="21"/>
      <c r="J53" s="21"/>
      <c r="K53" s="23"/>
    </row>
    <row r="61" spans="2:22" ht="15" thickBot="1" x14ac:dyDescent="0.4">
      <c r="P61" s="13" t="s">
        <v>22</v>
      </c>
      <c r="Q61" s="13" t="s">
        <v>25</v>
      </c>
      <c r="R61" s="13" t="s">
        <v>12</v>
      </c>
      <c r="S61" t="s">
        <v>28</v>
      </c>
      <c r="T61" t="s">
        <v>163</v>
      </c>
      <c r="U61" t="s">
        <v>20</v>
      </c>
      <c r="V61" s="59">
        <f>IFERROR(VLOOKUP(U61,$R$62:$S$67,2,0),"0")</f>
        <v>26</v>
      </c>
    </row>
    <row r="62" spans="2:22" x14ac:dyDescent="0.35">
      <c r="B62" s="14" t="s">
        <v>13</v>
      </c>
      <c r="C62" s="15"/>
      <c r="D62" s="15"/>
      <c r="E62" s="15"/>
      <c r="F62" s="15"/>
      <c r="G62" s="15" t="s">
        <v>16</v>
      </c>
      <c r="H62" s="16">
        <v>46266</v>
      </c>
      <c r="I62" s="15" t="s">
        <v>15</v>
      </c>
      <c r="J62" s="16">
        <v>46295</v>
      </c>
      <c r="K62" s="17"/>
      <c r="P62" t="s">
        <v>161</v>
      </c>
      <c r="Q62" t="s">
        <v>26</v>
      </c>
      <c r="R62" t="s">
        <v>27</v>
      </c>
      <c r="S62">
        <v>4</v>
      </c>
      <c r="U62" t="s">
        <v>30</v>
      </c>
      <c r="V62" s="59" t="str">
        <f>IFERROR(VLOOKUP(U62,$R$62:$S$67,2,0),"0")</f>
        <v>0</v>
      </c>
    </row>
    <row r="63" spans="2:22" x14ac:dyDescent="0.35">
      <c r="B63" s="18" t="s">
        <v>14</v>
      </c>
      <c r="C63" s="67"/>
      <c r="D63" s="67"/>
      <c r="E63" s="67"/>
      <c r="F63" s="67"/>
      <c r="G63" s="67"/>
      <c r="H63" s="67"/>
      <c r="I63" s="67"/>
      <c r="J63" s="67"/>
      <c r="K63" s="19"/>
      <c r="Q63" t="s">
        <v>5</v>
      </c>
      <c r="R63" t="s">
        <v>20</v>
      </c>
      <c r="S63">
        <v>26</v>
      </c>
      <c r="T63">
        <v>28.5</v>
      </c>
      <c r="U63" t="s">
        <v>118</v>
      </c>
      <c r="V63" s="59" t="str">
        <f t="shared" ref="V63:V67" si="1">IFERROR(VLOOKUP(U63,$R$62:$S$67,2,0),"0")</f>
        <v>0</v>
      </c>
    </row>
    <row r="64" spans="2:22" x14ac:dyDescent="0.35">
      <c r="B64" s="18"/>
      <c r="C64" s="67"/>
      <c r="D64" s="67"/>
      <c r="E64" s="67"/>
      <c r="F64" s="67"/>
      <c r="G64" s="67"/>
      <c r="H64" s="67"/>
      <c r="I64" s="67"/>
      <c r="J64" s="67"/>
      <c r="K64" s="19"/>
      <c r="U64" t="s">
        <v>139</v>
      </c>
      <c r="V64" s="59" t="str">
        <f t="shared" si="1"/>
        <v>0</v>
      </c>
    </row>
    <row r="65" spans="2:22" x14ac:dyDescent="0.35">
      <c r="B65" s="18" t="s">
        <v>31</v>
      </c>
      <c r="C65" s="117" t="str">
        <f>P62</f>
        <v>REVKI FIRDAUS</v>
      </c>
      <c r="D65" s="117"/>
      <c r="E65" s="117"/>
      <c r="F65" s="67"/>
      <c r="G65" s="68" t="s">
        <v>18</v>
      </c>
      <c r="H65" s="70">
        <v>1500000</v>
      </c>
      <c r="I65" s="68">
        <v>25</v>
      </c>
      <c r="J65" s="68" t="s">
        <v>17</v>
      </c>
      <c r="K65" s="24"/>
      <c r="U65" t="s">
        <v>138</v>
      </c>
      <c r="V65" s="59" t="str">
        <f t="shared" si="1"/>
        <v>0</v>
      </c>
    </row>
    <row r="66" spans="2:22" ht="15" x14ac:dyDescent="0.4">
      <c r="B66" s="106">
        <v>45962</v>
      </c>
      <c r="C66" s="67"/>
      <c r="D66" s="67"/>
      <c r="E66" s="67"/>
      <c r="F66" s="67"/>
      <c r="G66" s="68" t="s">
        <v>148</v>
      </c>
      <c r="H66" s="114">
        <v>100000</v>
      </c>
      <c r="I66" s="68"/>
      <c r="J66" s="68"/>
      <c r="K66" s="24"/>
      <c r="V66" s="59" t="str">
        <f t="shared" si="1"/>
        <v>0</v>
      </c>
    </row>
    <row r="67" spans="2:22" x14ac:dyDescent="0.35">
      <c r="B67" s="18"/>
      <c r="C67" s="67"/>
      <c r="D67" s="67"/>
      <c r="E67" s="67"/>
      <c r="F67" s="67"/>
      <c r="G67" s="68" t="s">
        <v>149</v>
      </c>
      <c r="H67" s="70">
        <f>H65+H66</f>
        <v>1600000</v>
      </c>
      <c r="I67" s="91" t="s">
        <v>150</v>
      </c>
      <c r="J67" s="70">
        <f>H67/I65</f>
        <v>64000</v>
      </c>
      <c r="K67" s="92" t="s">
        <v>19</v>
      </c>
      <c r="V67" s="59" t="str">
        <f t="shared" si="1"/>
        <v>0</v>
      </c>
    </row>
    <row r="68" spans="2:22" x14ac:dyDescent="0.35">
      <c r="B68" s="18"/>
      <c r="C68" s="67"/>
      <c r="D68" s="67"/>
      <c r="E68" s="67"/>
      <c r="F68" s="67"/>
      <c r="G68" s="68"/>
      <c r="H68" s="70"/>
      <c r="I68" s="68"/>
      <c r="J68" s="68"/>
      <c r="K68" s="24"/>
    </row>
    <row r="69" spans="2:22" x14ac:dyDescent="0.35">
      <c r="B69" s="18"/>
      <c r="C69" s="67"/>
      <c r="D69" s="67"/>
      <c r="E69" s="67"/>
      <c r="F69" s="67"/>
      <c r="G69" s="68"/>
      <c r="H69" s="70"/>
      <c r="I69" s="68"/>
      <c r="J69" s="68"/>
      <c r="K69" s="24"/>
    </row>
    <row r="70" spans="2:22" x14ac:dyDescent="0.35">
      <c r="B70" s="18"/>
      <c r="C70" s="67"/>
      <c r="D70" s="67"/>
      <c r="E70" s="67"/>
      <c r="F70" s="67"/>
      <c r="G70" s="67"/>
      <c r="H70" s="67"/>
      <c r="I70" s="67"/>
      <c r="J70" s="67"/>
      <c r="K70" s="19"/>
    </row>
    <row r="71" spans="2:22" x14ac:dyDescent="0.35">
      <c r="B71" s="18" t="s">
        <v>20</v>
      </c>
      <c r="C71" s="67"/>
      <c r="D71" s="71">
        <f>V61</f>
        <v>26</v>
      </c>
      <c r="E71" s="72" t="s">
        <v>29</v>
      </c>
      <c r="F71" s="69">
        <f>IF(B71="Total hari kerja",D71*J67,0)</f>
        <v>1664000</v>
      </c>
      <c r="G71" s="73"/>
      <c r="H71" s="74" t="s">
        <v>165</v>
      </c>
      <c r="I71" s="75" t="s">
        <v>29</v>
      </c>
      <c r="J71" s="69">
        <f>10000*J72</f>
        <v>285000</v>
      </c>
      <c r="K71" s="107"/>
    </row>
    <row r="72" spans="2:22" x14ac:dyDescent="0.35">
      <c r="B72" s="18" t="s">
        <v>30</v>
      </c>
      <c r="C72" s="67"/>
      <c r="D72" s="71" t="str">
        <f>V62</f>
        <v>0</v>
      </c>
      <c r="E72" s="67" t="s">
        <v>29</v>
      </c>
      <c r="F72" s="93">
        <f>IF(B72="IJIN/SAKIT/ALFA",D72*0,0)</f>
        <v>0</v>
      </c>
      <c r="G72" s="76"/>
      <c r="H72" s="73" t="s">
        <v>164</v>
      </c>
      <c r="I72" s="75" t="s">
        <v>29</v>
      </c>
      <c r="J72" s="108">
        <f>T62+T63</f>
        <v>28.5</v>
      </c>
      <c r="K72" s="19"/>
    </row>
    <row r="73" spans="2:22" ht="15" thickBot="1" x14ac:dyDescent="0.4">
      <c r="B73" s="20" t="s">
        <v>147</v>
      </c>
      <c r="C73" s="21"/>
      <c r="D73" s="77" t="str">
        <f>V65</f>
        <v>0</v>
      </c>
      <c r="E73" s="21" t="s">
        <v>29</v>
      </c>
      <c r="F73" s="80">
        <f>IF(B73="1/2 hari",D73*32000,0)</f>
        <v>0</v>
      </c>
      <c r="G73" s="78"/>
      <c r="H73" s="104"/>
      <c r="I73" s="79"/>
      <c r="J73" s="80"/>
      <c r="K73" s="23"/>
    </row>
    <row r="74" spans="2:22" ht="21.5" x14ac:dyDescent="0.75">
      <c r="B74" s="95" t="s">
        <v>21</v>
      </c>
      <c r="C74" s="94"/>
      <c r="D74" s="67"/>
      <c r="E74" s="96"/>
      <c r="F74" s="97">
        <f>F71+F73+J71+J73</f>
        <v>1949000</v>
      </c>
      <c r="G74" s="67"/>
      <c r="H74" s="67"/>
      <c r="I74" s="67"/>
      <c r="J74" s="67"/>
      <c r="K74" s="19"/>
    </row>
    <row r="75" spans="2:22" ht="21.5" x14ac:dyDescent="0.75">
      <c r="B75" s="98" t="s">
        <v>155</v>
      </c>
      <c r="C75" s="94"/>
      <c r="D75" s="67"/>
      <c r="E75" s="96"/>
      <c r="F75" s="97"/>
      <c r="G75" s="67"/>
      <c r="H75" s="67"/>
      <c r="I75" s="67"/>
      <c r="J75" s="67"/>
      <c r="K75" s="19"/>
    </row>
    <row r="76" spans="2:22" ht="21.5" x14ac:dyDescent="0.75">
      <c r="B76" s="99" t="s">
        <v>153</v>
      </c>
      <c r="C76" s="94"/>
      <c r="D76" s="67"/>
      <c r="E76" s="96"/>
      <c r="F76" s="97"/>
      <c r="G76" s="67"/>
      <c r="H76" s="67"/>
      <c r="I76" s="67"/>
      <c r="J76" s="67"/>
      <c r="K76" s="19"/>
    </row>
    <row r="77" spans="2:22" ht="21.5" x14ac:dyDescent="0.75">
      <c r="B77" s="99" t="s">
        <v>154</v>
      </c>
      <c r="C77" s="94"/>
      <c r="D77" s="67"/>
      <c r="E77" s="96"/>
      <c r="F77" s="97"/>
      <c r="G77" s="67"/>
      <c r="H77" s="67"/>
      <c r="I77" s="67"/>
      <c r="J77" s="67"/>
      <c r="K77" s="19"/>
    </row>
    <row r="78" spans="2:22" ht="21.5" x14ac:dyDescent="0.75">
      <c r="B78" s="99" t="s">
        <v>171</v>
      </c>
      <c r="C78" s="94"/>
      <c r="D78" s="67"/>
      <c r="E78" s="96"/>
      <c r="F78" s="97"/>
      <c r="G78" s="67"/>
      <c r="H78" s="67"/>
      <c r="I78" s="67"/>
      <c r="J78" s="67"/>
      <c r="K78" s="19"/>
    </row>
    <row r="79" spans="2:22" ht="21.5" x14ac:dyDescent="0.75">
      <c r="B79" s="99" t="s">
        <v>156</v>
      </c>
      <c r="C79" s="94"/>
      <c r="D79" s="67"/>
      <c r="E79" s="96"/>
      <c r="F79" s="97"/>
      <c r="G79" s="67"/>
      <c r="H79" s="67"/>
      <c r="I79" s="67"/>
      <c r="J79" s="67"/>
      <c r="K79" s="19"/>
    </row>
    <row r="80" spans="2:22" ht="15" thickBot="1" x14ac:dyDescent="0.4">
      <c r="B80" s="100"/>
      <c r="C80" s="21"/>
      <c r="D80" s="21"/>
      <c r="E80" s="21"/>
      <c r="F80" s="22"/>
      <c r="G80" s="21"/>
      <c r="H80" s="21"/>
      <c r="I80" s="21"/>
      <c r="J80" s="21"/>
      <c r="K80" s="23"/>
    </row>
    <row r="84" spans="2:22" x14ac:dyDescent="0.35">
      <c r="P84" s="13" t="s">
        <v>22</v>
      </c>
      <c r="Q84" s="13" t="s">
        <v>25</v>
      </c>
      <c r="R84" s="13" t="s">
        <v>12</v>
      </c>
      <c r="S84" t="s">
        <v>28</v>
      </c>
      <c r="T84" t="s">
        <v>163</v>
      </c>
      <c r="U84" t="s">
        <v>20</v>
      </c>
      <c r="V84" s="59" t="str">
        <f>IFERROR(VLOOKUP(U84,$R$85:$S$90,2,0),"0")</f>
        <v>0</v>
      </c>
    </row>
    <row r="85" spans="2:22" x14ac:dyDescent="0.35">
      <c r="P85" t="s">
        <v>166</v>
      </c>
      <c r="Q85" t="s">
        <v>26</v>
      </c>
      <c r="R85" t="s">
        <v>27</v>
      </c>
      <c r="S85">
        <v>31</v>
      </c>
      <c r="U85" t="s">
        <v>30</v>
      </c>
      <c r="V85" s="59" t="str">
        <f>IFERROR(VLOOKUP(U85,$R$85:$S$90,2,0),"0")</f>
        <v>0</v>
      </c>
    </row>
    <row r="86" spans="2:22" x14ac:dyDescent="0.35">
      <c r="U86" t="s">
        <v>118</v>
      </c>
      <c r="V86" s="59" t="str">
        <f>IFERROR(VLOOKUP(U86,$R$85:$S$90,2,0),"0")</f>
        <v>0</v>
      </c>
    </row>
    <row r="87" spans="2:22" x14ac:dyDescent="0.35">
      <c r="U87" t="s">
        <v>139</v>
      </c>
      <c r="V87" s="59" t="str">
        <f>IFERROR(VLOOKUP(U87,$R$85:$S$90,2,0),"0")</f>
        <v>0</v>
      </c>
    </row>
    <row r="88" spans="2:22" ht="15" thickBot="1" x14ac:dyDescent="0.4">
      <c r="U88" t="s">
        <v>138</v>
      </c>
      <c r="V88" s="59" t="str">
        <f>IFERROR(VLOOKUP(U88,$R$85:$S$90,2,0),"0")</f>
        <v>0</v>
      </c>
    </row>
    <row r="89" spans="2:22" x14ac:dyDescent="0.35">
      <c r="B89" s="14" t="s">
        <v>13</v>
      </c>
      <c r="C89" s="15"/>
      <c r="D89" s="15"/>
      <c r="E89" s="15"/>
      <c r="F89" s="15"/>
      <c r="G89" s="15" t="s">
        <v>16</v>
      </c>
      <c r="H89" s="16">
        <v>46189</v>
      </c>
      <c r="I89" s="15" t="s">
        <v>15</v>
      </c>
      <c r="J89" s="16">
        <v>46200</v>
      </c>
      <c r="K89" s="17"/>
    </row>
    <row r="90" spans="2:22" x14ac:dyDescent="0.35">
      <c r="B90" s="18" t="s">
        <v>14</v>
      </c>
      <c r="C90" s="67"/>
      <c r="D90" s="67"/>
      <c r="E90" s="67"/>
      <c r="F90" s="67"/>
      <c r="G90" s="67"/>
      <c r="H90" s="67"/>
      <c r="I90" s="67"/>
      <c r="J90" s="67"/>
      <c r="K90" s="19"/>
    </row>
    <row r="91" spans="2:22" x14ac:dyDescent="0.35">
      <c r="B91" s="18"/>
      <c r="C91" s="67"/>
      <c r="D91" s="67"/>
      <c r="E91" s="67"/>
      <c r="F91" s="67"/>
      <c r="G91" s="67"/>
      <c r="H91" s="67"/>
      <c r="I91" s="67"/>
      <c r="J91" s="67"/>
      <c r="K91" s="19"/>
    </row>
    <row r="92" spans="2:22" x14ac:dyDescent="0.35">
      <c r="B92" s="18" t="s">
        <v>31</v>
      </c>
      <c r="C92" s="117" t="str">
        <f>P85</f>
        <v>RADIT</v>
      </c>
      <c r="D92" s="117"/>
      <c r="E92" s="117"/>
      <c r="F92" s="67"/>
      <c r="G92" s="68" t="s">
        <v>18</v>
      </c>
      <c r="H92" s="70">
        <v>1200000</v>
      </c>
      <c r="I92" s="68">
        <v>25</v>
      </c>
      <c r="J92" s="68" t="s">
        <v>17</v>
      </c>
      <c r="K92" s="24"/>
    </row>
    <row r="93" spans="2:22" ht="15" x14ac:dyDescent="0.4">
      <c r="B93" s="106">
        <v>46113</v>
      </c>
      <c r="C93" s="67"/>
      <c r="D93" s="67"/>
      <c r="E93" s="67"/>
      <c r="F93" s="67"/>
      <c r="G93" s="68" t="s">
        <v>148</v>
      </c>
      <c r="H93" s="90"/>
      <c r="I93" s="68"/>
      <c r="J93" s="68"/>
      <c r="K93" s="24"/>
    </row>
    <row r="94" spans="2:22" x14ac:dyDescent="0.35">
      <c r="B94" s="18"/>
      <c r="C94" s="67"/>
      <c r="D94" s="67"/>
      <c r="E94" s="67"/>
      <c r="F94" s="67"/>
      <c r="G94" s="68" t="s">
        <v>149</v>
      </c>
      <c r="H94" s="70">
        <f>H92+H93</f>
        <v>1200000</v>
      </c>
      <c r="I94" s="91" t="s">
        <v>150</v>
      </c>
      <c r="J94" s="70">
        <f>H94/I92</f>
        <v>48000</v>
      </c>
      <c r="K94" s="92" t="s">
        <v>19</v>
      </c>
    </row>
    <row r="95" spans="2:22" x14ac:dyDescent="0.35">
      <c r="B95" s="18"/>
      <c r="C95" s="67"/>
      <c r="D95" s="67"/>
      <c r="E95" s="67"/>
      <c r="F95" s="67"/>
      <c r="G95" s="68"/>
      <c r="H95" s="70"/>
      <c r="I95" s="68"/>
      <c r="J95" s="68"/>
      <c r="K95" s="24"/>
    </row>
    <row r="96" spans="2:22" x14ac:dyDescent="0.35">
      <c r="B96" s="18"/>
      <c r="C96" s="67"/>
      <c r="D96" s="67"/>
      <c r="E96" s="67"/>
      <c r="F96" s="67"/>
      <c r="G96" s="68"/>
      <c r="H96" s="70"/>
      <c r="I96" s="68"/>
      <c r="J96" s="68"/>
      <c r="K96" s="24"/>
    </row>
    <row r="97" spans="2:11" x14ac:dyDescent="0.35">
      <c r="B97" s="18"/>
      <c r="C97" s="67"/>
      <c r="D97" s="67"/>
      <c r="E97" s="67"/>
      <c r="F97" s="67"/>
      <c r="G97" s="67"/>
      <c r="H97" s="67"/>
      <c r="I97" s="67"/>
      <c r="J97" s="67"/>
      <c r="K97" s="19"/>
    </row>
    <row r="98" spans="2:11" x14ac:dyDescent="0.35">
      <c r="B98" s="18" t="s">
        <v>20</v>
      </c>
      <c r="C98" s="67"/>
      <c r="D98" s="71" t="str">
        <f>V84</f>
        <v>0</v>
      </c>
      <c r="E98" s="72" t="s">
        <v>29</v>
      </c>
      <c r="F98" s="69">
        <f>IF(B98="Total hari kerja",D98*J94,0)</f>
        <v>0</v>
      </c>
      <c r="G98" s="73"/>
      <c r="H98" s="74" t="s">
        <v>165</v>
      </c>
      <c r="I98" s="75" t="s">
        <v>29</v>
      </c>
      <c r="J98" s="69">
        <f>10000*J99</f>
        <v>0</v>
      </c>
      <c r="K98" s="107"/>
    </row>
    <row r="99" spans="2:11" x14ac:dyDescent="0.35">
      <c r="B99" s="18" t="s">
        <v>30</v>
      </c>
      <c r="C99" s="67"/>
      <c r="D99" s="71" t="str">
        <f>V85</f>
        <v>0</v>
      </c>
      <c r="E99" s="67" t="s">
        <v>29</v>
      </c>
      <c r="F99" s="93">
        <f>IF(B99="IJIN/SAKIT/ALFA",D99*0,0)</f>
        <v>0</v>
      </c>
      <c r="G99" s="76"/>
      <c r="H99" s="73" t="s">
        <v>164</v>
      </c>
      <c r="I99" s="75" t="s">
        <v>29</v>
      </c>
      <c r="J99" s="108">
        <f>T85+T86</f>
        <v>0</v>
      </c>
      <c r="K99" s="19"/>
    </row>
    <row r="100" spans="2:11" ht="15" thickBot="1" x14ac:dyDescent="0.4">
      <c r="B100" s="20" t="s">
        <v>147</v>
      </c>
      <c r="C100" s="21"/>
      <c r="D100" s="77" t="str">
        <f>V88</f>
        <v>0</v>
      </c>
      <c r="E100" s="21" t="s">
        <v>29</v>
      </c>
      <c r="F100" s="80">
        <f>IF(B100="1/2 hari",D100*32000,0)</f>
        <v>0</v>
      </c>
      <c r="G100" s="78"/>
      <c r="H100" s="104"/>
      <c r="I100" s="79"/>
      <c r="J100" s="80"/>
      <c r="K100" s="23"/>
    </row>
    <row r="101" spans="2:11" ht="21.5" x14ac:dyDescent="0.75">
      <c r="B101" s="95" t="s">
        <v>21</v>
      </c>
      <c r="C101" s="94"/>
      <c r="D101" s="67"/>
      <c r="E101" s="96"/>
      <c r="F101" s="97">
        <f>F98+F100+J98+J100</f>
        <v>0</v>
      </c>
      <c r="G101" s="67"/>
      <c r="H101" s="67"/>
      <c r="I101" s="67"/>
      <c r="J101" s="67"/>
      <c r="K101" s="19"/>
    </row>
    <row r="102" spans="2:11" ht="21.5" x14ac:dyDescent="0.75">
      <c r="B102" s="98" t="s">
        <v>155</v>
      </c>
      <c r="C102" s="94"/>
      <c r="D102" s="67"/>
      <c r="E102" s="96"/>
      <c r="F102" s="97"/>
      <c r="G102" s="67"/>
      <c r="H102" s="67"/>
      <c r="I102" s="67"/>
      <c r="J102" s="67"/>
      <c r="K102" s="19"/>
    </row>
    <row r="103" spans="2:11" ht="21.5" x14ac:dyDescent="0.75">
      <c r="B103" s="99" t="s">
        <v>153</v>
      </c>
      <c r="C103" s="94"/>
      <c r="D103" s="67"/>
      <c r="E103" s="96"/>
      <c r="F103" s="97"/>
      <c r="G103" s="67"/>
      <c r="H103" s="67"/>
      <c r="I103" s="67"/>
      <c r="J103" s="67"/>
      <c r="K103" s="19"/>
    </row>
    <row r="104" spans="2:11" ht="21.5" x14ac:dyDescent="0.75">
      <c r="B104" s="99" t="s">
        <v>154</v>
      </c>
      <c r="C104" s="94"/>
      <c r="D104" s="67"/>
      <c r="E104" s="96"/>
      <c r="F104" s="97"/>
      <c r="G104" s="67"/>
      <c r="H104" s="67"/>
      <c r="I104" s="67"/>
      <c r="J104" s="67"/>
      <c r="K104" s="19"/>
    </row>
    <row r="105" spans="2:11" ht="21.5" x14ac:dyDescent="0.75">
      <c r="B105" s="99" t="s">
        <v>171</v>
      </c>
      <c r="C105" s="94"/>
      <c r="D105" s="67"/>
      <c r="E105" s="96"/>
      <c r="F105" s="97"/>
      <c r="G105" s="67"/>
      <c r="H105" s="67"/>
      <c r="I105" s="67"/>
      <c r="J105" s="67"/>
      <c r="K105" s="19"/>
    </row>
    <row r="106" spans="2:11" ht="21.5" x14ac:dyDescent="0.75">
      <c r="B106" s="99" t="s">
        <v>156</v>
      </c>
      <c r="C106" s="94"/>
      <c r="D106" s="67"/>
      <c r="E106" s="96"/>
      <c r="F106" s="97"/>
      <c r="G106" s="67"/>
      <c r="H106" s="67"/>
      <c r="I106" s="67"/>
      <c r="J106" s="67"/>
      <c r="K106" s="19"/>
    </row>
    <row r="107" spans="2:11" ht="15" thickBot="1" x14ac:dyDescent="0.4">
      <c r="B107" s="100"/>
      <c r="C107" s="21"/>
      <c r="D107" s="21"/>
      <c r="E107" s="21"/>
      <c r="F107" s="22"/>
      <c r="G107" s="21"/>
      <c r="H107" s="21"/>
      <c r="I107" s="21"/>
      <c r="J107" s="21"/>
      <c r="K107" s="23"/>
    </row>
  </sheetData>
  <mergeCells count="4">
    <mergeCell ref="C5:E5"/>
    <mergeCell ref="C38:E38"/>
    <mergeCell ref="C65:E65"/>
    <mergeCell ref="C92:E92"/>
  </mergeCells>
  <dataValidations count="1">
    <dataValidation type="date" allowBlank="1" showInputMessage="1" showErrorMessage="1" sqref="H89 H35 H2 H62" xr:uid="{F3E5983F-CFE2-4003-B520-C30C48006424}">
      <formula1>46023</formula1>
      <formula2>46387</formula2>
    </dataValidation>
  </dataValidations>
  <pageMargins left="0.7" right="0.7" top="0.75" bottom="0.75" header="0.3" footer="0.3"/>
  <pageSetup paperSize="256" orientation="portrait" horizontalDpi="203" verticalDpi="203" r:id="rId5"/>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CFD2C-DFBD-4B3E-9048-7303B8B3BE43}">
  <dimension ref="A1:K14"/>
  <sheetViews>
    <sheetView workbookViewId="0">
      <selection activeCell="J6" sqref="J6"/>
    </sheetView>
  </sheetViews>
  <sheetFormatPr defaultRowHeight="14.5" x14ac:dyDescent="0.35"/>
  <cols>
    <col min="1" max="1" width="21.36328125" bestFit="1" customWidth="1"/>
    <col min="2" max="2" width="15.08984375" style="25" bestFit="1" customWidth="1"/>
    <col min="3" max="3" width="12.36328125" bestFit="1" customWidth="1"/>
    <col min="4" max="4" width="12.54296875" bestFit="1" customWidth="1"/>
    <col min="10" max="10" width="14.90625" bestFit="1" customWidth="1"/>
  </cols>
  <sheetData>
    <row r="1" spans="1:11" x14ac:dyDescent="0.35">
      <c r="A1" t="s">
        <v>34</v>
      </c>
      <c r="I1" s="26" t="s">
        <v>126</v>
      </c>
      <c r="J1" t="s">
        <v>131</v>
      </c>
    </row>
    <row r="2" spans="1:11" x14ac:dyDescent="0.35">
      <c r="A2" t="s">
        <v>35</v>
      </c>
      <c r="B2" s="25">
        <v>150000</v>
      </c>
      <c r="I2">
        <f>'PERHITNGAN BONUS'!G6</f>
        <v>1952</v>
      </c>
      <c r="J2" s="25">
        <f>'PERHITNGAN BONUS'!G6*5000</f>
        <v>9760000</v>
      </c>
    </row>
    <row r="3" spans="1:11" x14ac:dyDescent="0.35">
      <c r="A3" t="s">
        <v>36</v>
      </c>
      <c r="B3" s="25">
        <v>200000</v>
      </c>
      <c r="I3">
        <f>'PERHITNGAN BONUS'!B6</f>
        <v>2000</v>
      </c>
      <c r="J3" s="25">
        <f>I3*5000</f>
        <v>10000000</v>
      </c>
    </row>
    <row r="4" spans="1:11" x14ac:dyDescent="0.35">
      <c r="A4" t="s">
        <v>37</v>
      </c>
      <c r="B4" s="25">
        <f>15000*25</f>
        <v>375000</v>
      </c>
      <c r="J4" s="34">
        <f>J2-J3</f>
        <v>-240000</v>
      </c>
      <c r="K4" t="s">
        <v>133</v>
      </c>
    </row>
    <row r="5" spans="1:11" x14ac:dyDescent="0.35">
      <c r="A5" t="s">
        <v>38</v>
      </c>
      <c r="B5" s="25">
        <f>1600000*2</f>
        <v>3200000</v>
      </c>
      <c r="J5" s="25">
        <f>J2*3.8%</f>
        <v>370880</v>
      </c>
      <c r="K5" t="s">
        <v>132</v>
      </c>
    </row>
    <row r="6" spans="1:11" x14ac:dyDescent="0.35">
      <c r="A6" t="s">
        <v>39</v>
      </c>
      <c r="B6" s="25">
        <v>1000000</v>
      </c>
      <c r="J6" s="57">
        <f>J4-J5</f>
        <v>-610880</v>
      </c>
      <c r="K6" t="s">
        <v>134</v>
      </c>
    </row>
    <row r="7" spans="1:11" x14ac:dyDescent="0.35">
      <c r="A7" t="s">
        <v>119</v>
      </c>
      <c r="B7" s="25">
        <f>35000*30</f>
        <v>1050000</v>
      </c>
    </row>
    <row r="8" spans="1:11" x14ac:dyDescent="0.35">
      <c r="A8" t="s">
        <v>40</v>
      </c>
      <c r="B8" s="25">
        <f>SUM(B2:B7)</f>
        <v>5975000</v>
      </c>
      <c r="D8" t="s">
        <v>89</v>
      </c>
    </row>
    <row r="9" spans="1:11" x14ac:dyDescent="0.35">
      <c r="A9" t="s">
        <v>128</v>
      </c>
      <c r="B9" s="25">
        <f>B8+C9</f>
        <v>7468750</v>
      </c>
      <c r="C9" s="34">
        <f>B8*25%</f>
        <v>1493750</v>
      </c>
      <c r="D9" s="25">
        <f>C9*6</f>
        <v>8962500</v>
      </c>
    </row>
    <row r="12" spans="1:11" x14ac:dyDescent="0.35">
      <c r="A12" t="s">
        <v>41</v>
      </c>
      <c r="B12" s="25">
        <v>5000</v>
      </c>
      <c r="C12" t="s">
        <v>83</v>
      </c>
    </row>
    <row r="13" spans="1:11" x14ac:dyDescent="0.35">
      <c r="A13" t="s">
        <v>42</v>
      </c>
      <c r="B13">
        <f>B9/B12</f>
        <v>1493.75</v>
      </c>
      <c r="C13">
        <f>B13/2</f>
        <v>746.875</v>
      </c>
      <c r="D13" s="28" t="s">
        <v>82</v>
      </c>
    </row>
    <row r="14" spans="1:11" x14ac:dyDescent="0.35">
      <c r="A14" t="s">
        <v>43</v>
      </c>
      <c r="B14">
        <f>B13/25</f>
        <v>59.75</v>
      </c>
      <c r="C14" s="35">
        <f>B14/2</f>
        <v>29.875</v>
      </c>
      <c r="D14" s="28" t="s">
        <v>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18F2-12A2-4DBB-B8A9-B5DC38B973BB}">
  <dimension ref="A1:S41"/>
  <sheetViews>
    <sheetView showGridLines="0" workbookViewId="0">
      <selection activeCell="G18" sqref="G18"/>
    </sheetView>
  </sheetViews>
  <sheetFormatPr defaultRowHeight="14.5" x14ac:dyDescent="0.35"/>
  <cols>
    <col min="1" max="1" width="16.1796875" bestFit="1" customWidth="1"/>
    <col min="2" max="2" width="16.08984375" bestFit="1" customWidth="1"/>
    <col min="3" max="3" width="16.7265625" bestFit="1" customWidth="1"/>
    <col min="4" max="4" width="13.6328125" customWidth="1"/>
    <col min="5" max="5" width="15" customWidth="1"/>
    <col min="6" max="6" width="6.81640625" bestFit="1" customWidth="1"/>
    <col min="7" max="7" width="12.81640625" bestFit="1" customWidth="1"/>
    <col min="9" max="9" width="8.54296875" bestFit="1" customWidth="1"/>
    <col min="10" max="10" width="6.90625" bestFit="1" customWidth="1"/>
    <col min="13" max="13" width="22.54296875" bestFit="1" customWidth="1"/>
    <col min="14" max="14" width="9.90625" bestFit="1" customWidth="1"/>
    <col min="15" max="17" width="11.90625" bestFit="1" customWidth="1"/>
    <col min="18" max="18" width="9.26953125" bestFit="1" customWidth="1"/>
  </cols>
  <sheetData>
    <row r="1" spans="1:19" x14ac:dyDescent="0.35">
      <c r="M1" s="13" t="s">
        <v>22</v>
      </c>
      <c r="N1" s="13" t="s">
        <v>4</v>
      </c>
      <c r="O1" t="s">
        <v>47</v>
      </c>
      <c r="P1" t="s">
        <v>48</v>
      </c>
      <c r="Q1" t="s">
        <v>49</v>
      </c>
      <c r="R1" t="s">
        <v>123</v>
      </c>
      <c r="S1" s="27" t="s">
        <v>76</v>
      </c>
    </row>
    <row r="2" spans="1:19" x14ac:dyDescent="0.35">
      <c r="A2" s="32" t="s">
        <v>62</v>
      </c>
      <c r="B2" s="32" t="s">
        <v>75</v>
      </c>
      <c r="C2" s="36" t="str">
        <f>M2</f>
        <v>EGA SILVIA YUNIAR</v>
      </c>
      <c r="D2" s="32" t="s">
        <v>77</v>
      </c>
      <c r="E2" s="36" t="str">
        <f>M17</f>
        <v>GEFIRA SITI NURHALIJAH</v>
      </c>
      <c r="F2" s="32" t="s">
        <v>77</v>
      </c>
      <c r="G2" s="32" t="s">
        <v>78</v>
      </c>
      <c r="H2" s="32" t="s">
        <v>79</v>
      </c>
      <c r="I2" s="33" t="s">
        <v>80</v>
      </c>
      <c r="J2" s="33" t="s">
        <v>81</v>
      </c>
      <c r="M2" t="s">
        <v>23</v>
      </c>
      <c r="N2" t="s">
        <v>50</v>
      </c>
      <c r="O2">
        <v>98</v>
      </c>
      <c r="P2">
        <v>45</v>
      </c>
      <c r="Q2">
        <v>6</v>
      </c>
      <c r="S2" s="27">
        <f>SUM(O2:R2)</f>
        <v>149</v>
      </c>
    </row>
    <row r="3" spans="1:19" x14ac:dyDescent="0.35">
      <c r="A3" s="3" t="s">
        <v>63</v>
      </c>
      <c r="B3" s="3">
        <v>2000</v>
      </c>
      <c r="C3" s="3">
        <f>S2</f>
        <v>149</v>
      </c>
      <c r="D3" s="102">
        <f>(C3-$B$3)/$B$3+100%</f>
        <v>7.4500000000000011E-2</v>
      </c>
      <c r="E3" s="3">
        <f>S17</f>
        <v>29</v>
      </c>
      <c r="F3" s="50">
        <f>(E3-$B$3)/$B$3+100%</f>
        <v>1.4499999999999957E-2</v>
      </c>
      <c r="G3" s="3">
        <f>C3+E3</f>
        <v>178</v>
      </c>
      <c r="H3" s="30">
        <f>D3+F3</f>
        <v>8.8999999999999968E-2</v>
      </c>
      <c r="I3" s="101">
        <f>G3-B3</f>
        <v>-1822</v>
      </c>
      <c r="J3" s="30">
        <f>H3-100%</f>
        <v>-0.91100000000000003</v>
      </c>
      <c r="N3" t="s">
        <v>51</v>
      </c>
      <c r="O3">
        <v>81</v>
      </c>
      <c r="P3">
        <v>36</v>
      </c>
      <c r="Q3">
        <v>14</v>
      </c>
      <c r="S3" s="27">
        <f t="shared" ref="S3:S13" si="0">SUM(O3:R3)</f>
        <v>131</v>
      </c>
    </row>
    <row r="4" spans="1:19" x14ac:dyDescent="0.35">
      <c r="A4" s="3" t="s">
        <v>64</v>
      </c>
      <c r="B4" s="3">
        <v>2000</v>
      </c>
      <c r="C4" s="3">
        <f>S3</f>
        <v>131</v>
      </c>
      <c r="D4" s="50">
        <f>(C4-$B$4)/$B$4+100%</f>
        <v>6.5500000000000003E-2</v>
      </c>
      <c r="E4" s="3">
        <f>S18</f>
        <v>134</v>
      </c>
      <c r="F4" s="50">
        <f>(E4-$B$4)/$B$4+100%</f>
        <v>6.6999999999999948E-2</v>
      </c>
      <c r="G4" s="3">
        <f>C4+E4</f>
        <v>265</v>
      </c>
      <c r="H4" s="30">
        <f>D4+F4</f>
        <v>0.13249999999999995</v>
      </c>
      <c r="I4" s="101">
        <f>G4-B4</f>
        <v>-1735</v>
      </c>
      <c r="J4" s="30">
        <f>H4-100%</f>
        <v>-0.86750000000000005</v>
      </c>
      <c r="N4" t="s">
        <v>52</v>
      </c>
      <c r="O4">
        <v>147</v>
      </c>
      <c r="P4">
        <v>56</v>
      </c>
      <c r="Q4">
        <v>6</v>
      </c>
      <c r="S4" s="27">
        <f t="shared" si="0"/>
        <v>209</v>
      </c>
    </row>
    <row r="5" spans="1:19" x14ac:dyDescent="0.35">
      <c r="A5" s="3" t="s">
        <v>65</v>
      </c>
      <c r="B5" s="3">
        <v>2000</v>
      </c>
      <c r="C5" s="3">
        <f t="shared" ref="C5:C14" si="1">S4</f>
        <v>209</v>
      </c>
      <c r="D5" s="50">
        <f t="shared" ref="D5:D14" si="2">(C5-$B$4)/$B$4+100%</f>
        <v>0.10450000000000004</v>
      </c>
      <c r="E5" s="3">
        <f t="shared" ref="E5:E14" si="3">S19</f>
        <v>193</v>
      </c>
      <c r="F5" s="50">
        <f t="shared" ref="F5:F14" si="4">(E5-$B$4)/$B$4+100%</f>
        <v>9.650000000000003E-2</v>
      </c>
      <c r="G5" s="3">
        <f t="shared" ref="G5:G14" si="5">C5+E5</f>
        <v>402</v>
      </c>
      <c r="H5" s="30">
        <f t="shared" ref="H5:H14" si="6">D5+F5</f>
        <v>0.20100000000000007</v>
      </c>
      <c r="I5" s="101">
        <f t="shared" ref="I5:I14" si="7">G5-B5</f>
        <v>-1598</v>
      </c>
      <c r="J5" s="30">
        <f t="shared" ref="J5:J14" si="8">H5-100%</f>
        <v>-0.79899999999999993</v>
      </c>
      <c r="N5" t="s">
        <v>53</v>
      </c>
      <c r="O5">
        <v>900</v>
      </c>
      <c r="P5">
        <v>258</v>
      </c>
      <c r="S5" s="27">
        <f>SUM(O5:R5)</f>
        <v>1158</v>
      </c>
    </row>
    <row r="6" spans="1:19" x14ac:dyDescent="0.35">
      <c r="A6" s="3" t="s">
        <v>66</v>
      </c>
      <c r="B6" s="3">
        <v>2000</v>
      </c>
      <c r="C6" s="3">
        <f t="shared" si="1"/>
        <v>1158</v>
      </c>
      <c r="D6" s="50">
        <f>(C6-$B$4)/$B$4+100%</f>
        <v>0.57899999999999996</v>
      </c>
      <c r="E6" s="3">
        <f t="shared" si="3"/>
        <v>794</v>
      </c>
      <c r="F6" s="50">
        <f t="shared" si="4"/>
        <v>0.39700000000000002</v>
      </c>
      <c r="G6" s="110">
        <f t="shared" si="5"/>
        <v>1952</v>
      </c>
      <c r="H6" s="30">
        <f t="shared" si="6"/>
        <v>0.97599999999999998</v>
      </c>
      <c r="I6" s="111">
        <f>G6-B6</f>
        <v>-48</v>
      </c>
      <c r="J6" s="30">
        <f t="shared" si="8"/>
        <v>-2.4000000000000021E-2</v>
      </c>
      <c r="N6" t="s">
        <v>54</v>
      </c>
      <c r="O6">
        <v>422</v>
      </c>
      <c r="P6">
        <v>153</v>
      </c>
      <c r="Q6">
        <v>13</v>
      </c>
      <c r="S6" s="27">
        <f t="shared" si="0"/>
        <v>588</v>
      </c>
    </row>
    <row r="7" spans="1:19" x14ac:dyDescent="0.35">
      <c r="A7" s="3" t="s">
        <v>67</v>
      </c>
      <c r="B7" s="3">
        <v>2000</v>
      </c>
      <c r="C7" s="3">
        <f t="shared" si="1"/>
        <v>588</v>
      </c>
      <c r="D7" s="50">
        <f t="shared" si="2"/>
        <v>0.29400000000000004</v>
      </c>
      <c r="E7" s="3">
        <f t="shared" si="3"/>
        <v>449</v>
      </c>
      <c r="F7" s="50">
        <f t="shared" si="4"/>
        <v>0.22450000000000003</v>
      </c>
      <c r="G7" s="3">
        <f t="shared" si="5"/>
        <v>1037</v>
      </c>
      <c r="H7" s="30">
        <f t="shared" si="6"/>
        <v>0.51850000000000007</v>
      </c>
      <c r="I7" s="101">
        <f t="shared" si="7"/>
        <v>-963</v>
      </c>
      <c r="J7" s="30">
        <f t="shared" si="8"/>
        <v>-0.48149999999999993</v>
      </c>
      <c r="N7" t="s">
        <v>55</v>
      </c>
      <c r="O7">
        <v>204</v>
      </c>
      <c r="P7">
        <v>125</v>
      </c>
      <c r="Q7">
        <v>13</v>
      </c>
      <c r="S7" s="27">
        <f t="shared" si="0"/>
        <v>342</v>
      </c>
    </row>
    <row r="8" spans="1:19" x14ac:dyDescent="0.35">
      <c r="A8" s="3" t="s">
        <v>68</v>
      </c>
      <c r="B8" s="3">
        <v>2000</v>
      </c>
      <c r="C8" s="3">
        <f t="shared" si="1"/>
        <v>342</v>
      </c>
      <c r="D8" s="50">
        <f t="shared" si="2"/>
        <v>0.17100000000000004</v>
      </c>
      <c r="E8" s="3">
        <f t="shared" si="3"/>
        <v>258</v>
      </c>
      <c r="F8" s="50">
        <f t="shared" si="4"/>
        <v>0.129</v>
      </c>
      <c r="G8" s="3">
        <f t="shared" si="5"/>
        <v>600</v>
      </c>
      <c r="H8" s="30">
        <f t="shared" si="6"/>
        <v>0.30000000000000004</v>
      </c>
      <c r="I8" s="101">
        <f t="shared" si="7"/>
        <v>-1400</v>
      </c>
      <c r="J8" s="30">
        <f t="shared" si="8"/>
        <v>-0.7</v>
      </c>
      <c r="N8" t="s">
        <v>56</v>
      </c>
      <c r="O8">
        <v>424</v>
      </c>
      <c r="P8">
        <v>158</v>
      </c>
      <c r="S8" s="27">
        <f t="shared" si="0"/>
        <v>582</v>
      </c>
    </row>
    <row r="9" spans="1:19" x14ac:dyDescent="0.35">
      <c r="A9" s="3" t="s">
        <v>69</v>
      </c>
      <c r="B9" s="3">
        <v>2000</v>
      </c>
      <c r="C9" s="3">
        <f t="shared" si="1"/>
        <v>582</v>
      </c>
      <c r="D9" s="50">
        <f t="shared" si="2"/>
        <v>0.29100000000000004</v>
      </c>
      <c r="E9" s="3">
        <f t="shared" si="3"/>
        <v>349</v>
      </c>
      <c r="F9" s="50">
        <f t="shared" si="4"/>
        <v>0.17449999999999999</v>
      </c>
      <c r="G9" s="3">
        <f t="shared" si="5"/>
        <v>931</v>
      </c>
      <c r="H9" s="30">
        <f t="shared" si="6"/>
        <v>0.46550000000000002</v>
      </c>
      <c r="I9" s="101">
        <f t="shared" si="7"/>
        <v>-1069</v>
      </c>
      <c r="J9" s="30">
        <f t="shared" si="8"/>
        <v>-0.53449999999999998</v>
      </c>
      <c r="N9" t="s">
        <v>57</v>
      </c>
      <c r="O9">
        <v>365</v>
      </c>
      <c r="P9">
        <v>112</v>
      </c>
      <c r="Q9">
        <v>7</v>
      </c>
      <c r="S9" s="27">
        <f t="shared" si="0"/>
        <v>484</v>
      </c>
    </row>
    <row r="10" spans="1:19" x14ac:dyDescent="0.35">
      <c r="A10" s="3" t="s">
        <v>70</v>
      </c>
      <c r="B10" s="3">
        <v>2000</v>
      </c>
      <c r="C10" s="3">
        <f t="shared" si="1"/>
        <v>484</v>
      </c>
      <c r="D10" s="50">
        <f t="shared" si="2"/>
        <v>0.24199999999999999</v>
      </c>
      <c r="E10" s="3">
        <f t="shared" si="3"/>
        <v>200</v>
      </c>
      <c r="F10" s="50">
        <f t="shared" si="4"/>
        <v>9.9999999999999978E-2</v>
      </c>
      <c r="G10" s="3">
        <f t="shared" si="5"/>
        <v>684</v>
      </c>
      <c r="H10" s="30">
        <f t="shared" si="6"/>
        <v>0.34199999999999997</v>
      </c>
      <c r="I10" s="31">
        <f t="shared" si="7"/>
        <v>-1316</v>
      </c>
      <c r="J10" s="30">
        <f t="shared" si="8"/>
        <v>-0.65800000000000003</v>
      </c>
      <c r="N10" t="s">
        <v>58</v>
      </c>
      <c r="O10">
        <v>279</v>
      </c>
      <c r="P10">
        <v>71</v>
      </c>
      <c r="S10" s="27">
        <f t="shared" si="0"/>
        <v>350</v>
      </c>
    </row>
    <row r="11" spans="1:19" x14ac:dyDescent="0.35">
      <c r="A11" s="3" t="s">
        <v>71</v>
      </c>
      <c r="B11" s="3">
        <v>2000</v>
      </c>
      <c r="C11" s="3">
        <f t="shared" si="1"/>
        <v>350</v>
      </c>
      <c r="D11" s="50">
        <f t="shared" si="2"/>
        <v>0.17500000000000004</v>
      </c>
      <c r="E11" s="3">
        <f t="shared" si="3"/>
        <v>188</v>
      </c>
      <c r="F11" s="50">
        <f t="shared" si="4"/>
        <v>9.3999999999999972E-2</v>
      </c>
      <c r="G11" s="3">
        <f t="shared" si="5"/>
        <v>538</v>
      </c>
      <c r="H11" s="30">
        <f t="shared" si="6"/>
        <v>0.26900000000000002</v>
      </c>
      <c r="I11" s="31">
        <f t="shared" si="7"/>
        <v>-1462</v>
      </c>
      <c r="J11" s="30">
        <f t="shared" si="8"/>
        <v>-0.73099999999999998</v>
      </c>
      <c r="N11" t="s">
        <v>59</v>
      </c>
      <c r="S11" s="27">
        <f t="shared" si="0"/>
        <v>0</v>
      </c>
    </row>
    <row r="12" spans="1:19" x14ac:dyDescent="0.35">
      <c r="A12" s="3" t="s">
        <v>72</v>
      </c>
      <c r="B12" s="3">
        <v>2000</v>
      </c>
      <c r="C12" s="3">
        <f t="shared" si="1"/>
        <v>0</v>
      </c>
      <c r="D12" s="50">
        <f t="shared" si="2"/>
        <v>0</v>
      </c>
      <c r="E12" s="3">
        <f t="shared" si="3"/>
        <v>0</v>
      </c>
      <c r="F12" s="50">
        <f t="shared" si="4"/>
        <v>0</v>
      </c>
      <c r="G12" s="3">
        <f t="shared" si="5"/>
        <v>0</v>
      </c>
      <c r="H12" s="30">
        <f t="shared" si="6"/>
        <v>0</v>
      </c>
      <c r="I12" s="31">
        <f t="shared" si="7"/>
        <v>-2000</v>
      </c>
      <c r="J12" s="30">
        <f t="shared" si="8"/>
        <v>-1</v>
      </c>
      <c r="N12" t="s">
        <v>60</v>
      </c>
      <c r="S12" s="27">
        <f t="shared" si="0"/>
        <v>0</v>
      </c>
    </row>
    <row r="13" spans="1:19" x14ac:dyDescent="0.35">
      <c r="A13" s="3" t="s">
        <v>73</v>
      </c>
      <c r="B13" s="3">
        <v>2000</v>
      </c>
      <c r="C13" s="3">
        <f t="shared" si="1"/>
        <v>0</v>
      </c>
      <c r="D13" s="50">
        <f t="shared" si="2"/>
        <v>0</v>
      </c>
      <c r="E13" s="3">
        <f t="shared" si="3"/>
        <v>0</v>
      </c>
      <c r="F13" s="50">
        <f t="shared" si="4"/>
        <v>0</v>
      </c>
      <c r="G13" s="3">
        <f t="shared" si="5"/>
        <v>0</v>
      </c>
      <c r="H13" s="30">
        <f t="shared" si="6"/>
        <v>0</v>
      </c>
      <c r="I13" s="31">
        <f t="shared" si="7"/>
        <v>-2000</v>
      </c>
      <c r="J13" s="30">
        <f t="shared" si="8"/>
        <v>-1</v>
      </c>
      <c r="N13" t="s">
        <v>61</v>
      </c>
      <c r="S13" s="27">
        <f t="shared" si="0"/>
        <v>0</v>
      </c>
    </row>
    <row r="14" spans="1:19" ht="15" thickBot="1" x14ac:dyDescent="0.4">
      <c r="A14" s="81" t="s">
        <v>74</v>
      </c>
      <c r="B14" s="3">
        <v>2000</v>
      </c>
      <c r="C14" s="81">
        <f t="shared" si="1"/>
        <v>0</v>
      </c>
      <c r="D14" s="82">
        <f t="shared" si="2"/>
        <v>0</v>
      </c>
      <c r="E14" s="81">
        <f t="shared" si="3"/>
        <v>0</v>
      </c>
      <c r="F14" s="82">
        <f t="shared" si="4"/>
        <v>0</v>
      </c>
      <c r="G14" s="81">
        <f t="shared" si="5"/>
        <v>0</v>
      </c>
      <c r="H14" s="83">
        <f t="shared" si="6"/>
        <v>0</v>
      </c>
      <c r="I14" s="84">
        <f t="shared" si="7"/>
        <v>-2000</v>
      </c>
      <c r="J14" s="83">
        <f t="shared" si="8"/>
        <v>-1</v>
      </c>
    </row>
    <row r="15" spans="1:19" ht="15" thickBot="1" x14ac:dyDescent="0.4">
      <c r="A15" s="85" t="s">
        <v>76</v>
      </c>
      <c r="B15" s="88">
        <f>SUM(B3:B14)</f>
        <v>24000</v>
      </c>
      <c r="C15" s="86">
        <f t="shared" ref="C15:J15" si="9">SUM(C3:C14)</f>
        <v>3993</v>
      </c>
      <c r="D15" s="87">
        <f t="shared" si="9"/>
        <v>1.9965000000000004</v>
      </c>
      <c r="E15" s="86">
        <f t="shared" si="9"/>
        <v>2594</v>
      </c>
      <c r="F15" s="87">
        <f t="shared" si="9"/>
        <v>1.2969999999999997</v>
      </c>
      <c r="G15" s="88">
        <f t="shared" si="9"/>
        <v>6587</v>
      </c>
      <c r="H15" s="87">
        <f t="shared" si="9"/>
        <v>3.2934999999999999</v>
      </c>
      <c r="I15" s="88">
        <f t="shared" si="9"/>
        <v>-17413</v>
      </c>
      <c r="J15" s="89">
        <f t="shared" si="9"/>
        <v>-8.7065000000000019</v>
      </c>
    </row>
    <row r="16" spans="1:19" x14ac:dyDescent="0.35">
      <c r="M16" s="13" t="s">
        <v>22</v>
      </c>
      <c r="N16" s="13" t="s">
        <v>4</v>
      </c>
      <c r="O16" t="s">
        <v>47</v>
      </c>
      <c r="P16" t="s">
        <v>48</v>
      </c>
      <c r="Q16" t="s">
        <v>49</v>
      </c>
      <c r="R16" t="s">
        <v>123</v>
      </c>
      <c r="S16" s="27" t="s">
        <v>76</v>
      </c>
    </row>
    <row r="17" spans="1:19" x14ac:dyDescent="0.35">
      <c r="A17" s="119" t="s">
        <v>84</v>
      </c>
      <c r="B17" s="118" t="s">
        <v>129</v>
      </c>
      <c r="C17" s="118"/>
      <c r="F17" s="43"/>
      <c r="M17" t="s">
        <v>158</v>
      </c>
      <c r="N17" t="s">
        <v>50</v>
      </c>
      <c r="O17">
        <v>8</v>
      </c>
      <c r="P17">
        <v>14</v>
      </c>
      <c r="Q17">
        <v>7</v>
      </c>
      <c r="S17" s="27">
        <f>SUM(O17:R17)</f>
        <v>29</v>
      </c>
    </row>
    <row r="18" spans="1:19" x14ac:dyDescent="0.35">
      <c r="A18" s="120"/>
      <c r="B18" s="32" t="s">
        <v>130</v>
      </c>
      <c r="C18" s="33" t="s">
        <v>82</v>
      </c>
      <c r="N18" t="s">
        <v>51</v>
      </c>
      <c r="O18">
        <v>60</v>
      </c>
      <c r="P18">
        <v>45</v>
      </c>
      <c r="Q18">
        <v>29</v>
      </c>
      <c r="S18" s="27">
        <f t="shared" ref="S18:S28" si="10">SUM(O18:R18)</f>
        <v>134</v>
      </c>
    </row>
    <row r="19" spans="1:19" x14ac:dyDescent="0.35">
      <c r="N19" t="s">
        <v>52</v>
      </c>
      <c r="O19">
        <v>68</v>
      </c>
      <c r="P19">
        <v>39</v>
      </c>
      <c r="Q19">
        <v>86</v>
      </c>
      <c r="S19" s="27">
        <f t="shared" si="10"/>
        <v>193</v>
      </c>
    </row>
    <row r="20" spans="1:19" x14ac:dyDescent="0.35">
      <c r="E20" s="65"/>
      <c r="N20" t="s">
        <v>53</v>
      </c>
      <c r="O20">
        <v>483</v>
      </c>
      <c r="P20">
        <v>185</v>
      </c>
      <c r="Q20">
        <v>126</v>
      </c>
      <c r="S20" s="27">
        <f t="shared" si="10"/>
        <v>794</v>
      </c>
    </row>
    <row r="21" spans="1:19" x14ac:dyDescent="0.35">
      <c r="A21" t="s">
        <v>85</v>
      </c>
      <c r="N21" t="s">
        <v>54</v>
      </c>
      <c r="O21">
        <v>312</v>
      </c>
      <c r="P21">
        <v>133</v>
      </c>
      <c r="Q21">
        <v>4</v>
      </c>
      <c r="S21" s="27">
        <f t="shared" si="10"/>
        <v>449</v>
      </c>
    </row>
    <row r="22" spans="1:19" x14ac:dyDescent="0.35">
      <c r="A22" t="s">
        <v>86</v>
      </c>
      <c r="B22">
        <f>B14*6</f>
        <v>12000</v>
      </c>
      <c r="C22" t="s">
        <v>88</v>
      </c>
      <c r="N22" t="s">
        <v>55</v>
      </c>
      <c r="O22">
        <v>128</v>
      </c>
      <c r="P22">
        <v>130</v>
      </c>
      <c r="S22" s="27">
        <f t="shared" si="10"/>
        <v>258</v>
      </c>
    </row>
    <row r="23" spans="1:19" x14ac:dyDescent="0.35">
      <c r="A23" t="s">
        <v>87</v>
      </c>
      <c r="B23" s="25">
        <v>5000</v>
      </c>
      <c r="N23" t="s">
        <v>56</v>
      </c>
      <c r="O23">
        <v>165</v>
      </c>
      <c r="P23">
        <v>169</v>
      </c>
      <c r="Q23">
        <v>15</v>
      </c>
      <c r="S23" s="27">
        <f t="shared" si="10"/>
        <v>349</v>
      </c>
    </row>
    <row r="24" spans="1:19" x14ac:dyDescent="0.35">
      <c r="A24" t="s">
        <v>76</v>
      </c>
      <c r="B24" s="25">
        <f>B22*B23</f>
        <v>60000000</v>
      </c>
      <c r="C24" s="25">
        <f>6*RULES!B8</f>
        <v>35850000</v>
      </c>
      <c r="D24" s="34">
        <f>B24-C24</f>
        <v>24150000</v>
      </c>
      <c r="E24" t="s">
        <v>91</v>
      </c>
      <c r="N24" t="s">
        <v>57</v>
      </c>
      <c r="O24">
        <v>82</v>
      </c>
      <c r="P24">
        <v>109</v>
      </c>
      <c r="Q24">
        <v>9</v>
      </c>
      <c r="S24" s="27">
        <f t="shared" si="10"/>
        <v>200</v>
      </c>
    </row>
    <row r="25" spans="1:19" x14ac:dyDescent="0.35">
      <c r="A25" s="37" t="s">
        <v>90</v>
      </c>
      <c r="B25" s="34">
        <f>B24*2%</f>
        <v>1200000</v>
      </c>
      <c r="D25" s="25">
        <f>B25*2</f>
        <v>2400000</v>
      </c>
      <c r="N25" t="s">
        <v>58</v>
      </c>
      <c r="O25">
        <v>98</v>
      </c>
      <c r="P25">
        <v>72</v>
      </c>
      <c r="Q25">
        <v>18</v>
      </c>
      <c r="S25" s="27">
        <f t="shared" si="10"/>
        <v>188</v>
      </c>
    </row>
    <row r="26" spans="1:19" x14ac:dyDescent="0.35">
      <c r="D26" s="38">
        <f>D24-D25</f>
        <v>21750000</v>
      </c>
      <c r="E26" t="s">
        <v>92</v>
      </c>
      <c r="N26" t="s">
        <v>59</v>
      </c>
      <c r="S26" s="27">
        <f t="shared" si="10"/>
        <v>0</v>
      </c>
    </row>
    <row r="27" spans="1:19" x14ac:dyDescent="0.35">
      <c r="N27" t="s">
        <v>60</v>
      </c>
      <c r="S27" s="27">
        <f t="shared" si="10"/>
        <v>0</v>
      </c>
    </row>
    <row r="28" spans="1:19" x14ac:dyDescent="0.35">
      <c r="S28" s="27">
        <f t="shared" si="10"/>
        <v>0</v>
      </c>
    </row>
    <row r="30" spans="1:19" x14ac:dyDescent="0.35">
      <c r="A30" s="26" t="s">
        <v>95</v>
      </c>
      <c r="E30" t="s">
        <v>100</v>
      </c>
    </row>
    <row r="31" spans="1:19" x14ac:dyDescent="0.35">
      <c r="A31" t="s">
        <v>93</v>
      </c>
      <c r="C31">
        <f>B14*6</f>
        <v>12000</v>
      </c>
      <c r="D31" t="s">
        <v>88</v>
      </c>
      <c r="E31" s="25">
        <f>B13*3</f>
        <v>6000</v>
      </c>
      <c r="F31">
        <v>3500</v>
      </c>
    </row>
    <row r="32" spans="1:19" x14ac:dyDescent="0.35">
      <c r="A32" t="s">
        <v>94</v>
      </c>
      <c r="C32" s="25">
        <f>C31*5000</f>
        <v>60000000</v>
      </c>
      <c r="E32" s="25">
        <f>E31*5000</f>
        <v>30000000</v>
      </c>
      <c r="F32" s="121">
        <f>F31*5000</f>
        <v>17500000</v>
      </c>
      <c r="G32" s="121"/>
    </row>
    <row r="33" spans="1:7" x14ac:dyDescent="0.35">
      <c r="A33" t="s">
        <v>99</v>
      </c>
      <c r="C33" s="25">
        <f>C32*1%</f>
        <v>600000</v>
      </c>
      <c r="E33" s="25">
        <f>E32*1%</f>
        <v>300000</v>
      </c>
    </row>
    <row r="34" spans="1:7" x14ac:dyDescent="0.35">
      <c r="A34" t="s">
        <v>101</v>
      </c>
      <c r="C34" s="25"/>
      <c r="E34" s="25"/>
      <c r="G34" s="25">
        <f>F32*1.5%</f>
        <v>262500</v>
      </c>
    </row>
    <row r="37" spans="1:7" x14ac:dyDescent="0.35">
      <c r="A37" t="s">
        <v>97</v>
      </c>
    </row>
    <row r="38" spans="1:7" x14ac:dyDescent="0.35">
      <c r="A38" t="s">
        <v>98</v>
      </c>
      <c r="C38">
        <f>B14*12</f>
        <v>24000</v>
      </c>
      <c r="D38" t="s">
        <v>88</v>
      </c>
    </row>
    <row r="39" spans="1:7" x14ac:dyDescent="0.35">
      <c r="A39" t="s">
        <v>94</v>
      </c>
      <c r="C39" s="25">
        <f>C38*5000</f>
        <v>120000000</v>
      </c>
    </row>
    <row r="40" spans="1:7" x14ac:dyDescent="0.35">
      <c r="A40" t="s">
        <v>99</v>
      </c>
      <c r="C40" s="25">
        <f>C39*1%</f>
        <v>1200000</v>
      </c>
    </row>
    <row r="41" spans="1:7" x14ac:dyDescent="0.35">
      <c r="C41" s="25">
        <f>C40-C33</f>
        <v>600000</v>
      </c>
      <c r="D41" s="25"/>
    </row>
  </sheetData>
  <mergeCells count="3">
    <mergeCell ref="B17:C17"/>
    <mergeCell ref="A17:A18"/>
    <mergeCell ref="F32:G32"/>
  </mergeCells>
  <pageMargins left="0.7" right="0.7" top="0.75" bottom="0.75" header="0.3" footer="0.3"/>
  <pageSetup orientation="portrait" r:id="rId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45AE7-46F5-4882-94BC-2F76671910CD}">
  <dimension ref="A1:K9"/>
  <sheetViews>
    <sheetView workbookViewId="0">
      <selection activeCell="F2" sqref="F2"/>
    </sheetView>
  </sheetViews>
  <sheetFormatPr defaultRowHeight="14.5" x14ac:dyDescent="0.35"/>
  <cols>
    <col min="2" max="2" width="10.90625" hidden="1" customWidth="1"/>
    <col min="4" max="4" width="15.08984375" bestFit="1" customWidth="1"/>
    <col min="5" max="5" width="13" customWidth="1"/>
    <col min="6" max="6" width="13.6328125" bestFit="1" customWidth="1"/>
    <col min="7" max="7" width="10.81640625" bestFit="1" customWidth="1"/>
    <col min="9" max="9" width="10.81640625" bestFit="1" customWidth="1"/>
    <col min="11" max="11" width="11" bestFit="1" customWidth="1"/>
  </cols>
  <sheetData>
    <row r="1" spans="1:11" x14ac:dyDescent="0.35">
      <c r="A1" t="s">
        <v>75</v>
      </c>
      <c r="B1" t="s">
        <v>103</v>
      </c>
      <c r="C1" t="s">
        <v>104</v>
      </c>
      <c r="D1" t="s">
        <v>106</v>
      </c>
      <c r="E1" t="s">
        <v>105</v>
      </c>
      <c r="F1" s="122" t="s">
        <v>8</v>
      </c>
      <c r="G1" s="122"/>
      <c r="H1" s="122" t="s">
        <v>6</v>
      </c>
      <c r="I1" s="122"/>
    </row>
    <row r="2" spans="1:11" x14ac:dyDescent="0.35">
      <c r="A2" s="3">
        <v>1375</v>
      </c>
      <c r="B2" s="41">
        <f>(A2*35%)+A2</f>
        <v>1856.25</v>
      </c>
      <c r="C2">
        <f>'PERHITNGAN BONUS'!G6</f>
        <v>1952</v>
      </c>
      <c r="D2" s="25">
        <f>C2*5000</f>
        <v>9760000</v>
      </c>
      <c r="E2" s="25">
        <f>D2*1.5%</f>
        <v>146400</v>
      </c>
      <c r="F2" s="43">
        <f>'PERHITNGAN BONUS'!D6</f>
        <v>0.57899999999999996</v>
      </c>
      <c r="G2" s="25">
        <f>$E$2*(F2)</f>
        <v>84765.599999999991</v>
      </c>
      <c r="H2" s="43">
        <f>'PERHITNGAN BONUS'!F6</f>
        <v>0.39700000000000002</v>
      </c>
      <c r="I2" s="25">
        <f>$E$2*(H2)</f>
        <v>58120.800000000003</v>
      </c>
      <c r="K2" s="25"/>
    </row>
    <row r="3" spans="1:11" x14ac:dyDescent="0.35">
      <c r="A3" s="3">
        <v>1375</v>
      </c>
      <c r="B3" s="41">
        <f t="shared" ref="B3:B4" si="0">(A3*35%)+A3</f>
        <v>1856.25</v>
      </c>
      <c r="C3">
        <f>'PERHITNGAN BONUS'!G7</f>
        <v>1037</v>
      </c>
      <c r="D3" s="25"/>
      <c r="E3" s="25"/>
      <c r="F3" s="43">
        <f>'PERHITNGAN BONUS'!D7</f>
        <v>0.29400000000000004</v>
      </c>
      <c r="H3" s="43">
        <f>'PERHITNGAN BONUS'!F7</f>
        <v>0.22450000000000003</v>
      </c>
    </row>
    <row r="4" spans="1:11" x14ac:dyDescent="0.35">
      <c r="A4" s="3">
        <v>1375</v>
      </c>
      <c r="B4" s="41">
        <f t="shared" si="0"/>
        <v>1856.25</v>
      </c>
      <c r="C4">
        <f>'PERHITNGAN BONUS'!G8</f>
        <v>600</v>
      </c>
      <c r="D4" s="25"/>
      <c r="E4" s="25"/>
      <c r="F4" s="43">
        <f>'PERHITNGAN BONUS'!D8</f>
        <v>0.17100000000000004</v>
      </c>
      <c r="H4" s="43">
        <f>'PERHITNGAN BONUS'!F8</f>
        <v>0.129</v>
      </c>
    </row>
    <row r="5" spans="1:11" x14ac:dyDescent="0.35">
      <c r="A5">
        <f>SUM(A2:A4)</f>
        <v>4125</v>
      </c>
      <c r="B5" s="42">
        <f>SUM(B2:B4)</f>
        <v>5568.75</v>
      </c>
    </row>
    <row r="7" spans="1:11" x14ac:dyDescent="0.35">
      <c r="F7" s="25"/>
    </row>
    <row r="9" spans="1:11" x14ac:dyDescent="0.35">
      <c r="G9" s="25"/>
    </row>
  </sheetData>
  <mergeCells count="2">
    <mergeCell ref="F1:G1"/>
    <mergeCell ref="H1:I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E334B-09FA-47A9-8ECB-97B830C786A8}">
  <dimension ref="A1:I23"/>
  <sheetViews>
    <sheetView workbookViewId="0">
      <selection sqref="A1:F12"/>
    </sheetView>
  </sheetViews>
  <sheetFormatPr defaultRowHeight="14.5" x14ac:dyDescent="0.35"/>
  <cols>
    <col min="1" max="1" width="35.08984375" bestFit="1" customWidth="1"/>
    <col min="2" max="2" width="16.6328125" bestFit="1" customWidth="1"/>
    <col min="3" max="3" width="15.453125" bestFit="1" customWidth="1"/>
    <col min="4" max="4" width="5.26953125" style="40" bestFit="1" customWidth="1"/>
    <col min="5" max="5" width="13.36328125" bestFit="1" customWidth="1"/>
    <col min="6" max="6" width="13.453125" bestFit="1" customWidth="1"/>
    <col min="7" max="7" width="13.36328125" bestFit="1" customWidth="1"/>
    <col min="8" max="8" width="15.90625" bestFit="1" customWidth="1"/>
    <col min="9" max="9" width="10.81640625" bestFit="1" customWidth="1"/>
  </cols>
  <sheetData>
    <row r="1" spans="1:9" x14ac:dyDescent="0.35">
      <c r="A1" s="123" t="s">
        <v>107</v>
      </c>
      <c r="B1" s="124"/>
      <c r="C1" s="124"/>
    </row>
    <row r="2" spans="1:9" x14ac:dyDescent="0.35">
      <c r="A2" s="39" t="s">
        <v>108</v>
      </c>
      <c r="B2" s="39" t="s">
        <v>109</v>
      </c>
      <c r="C2" s="47" t="s">
        <v>167</v>
      </c>
      <c r="H2" s="54" t="s">
        <v>124</v>
      </c>
    </row>
    <row r="3" spans="1:9" x14ac:dyDescent="0.35">
      <c r="A3" s="12" t="s">
        <v>110</v>
      </c>
      <c r="B3" s="44">
        <f>1375*5000</f>
        <v>6875000</v>
      </c>
      <c r="C3" s="44">
        <f>B3*2</f>
        <v>13750000</v>
      </c>
      <c r="G3" s="55" t="s">
        <v>126</v>
      </c>
      <c r="H3" s="56">
        <f>IF(B11&lt;=$B$3,B11*$B$5,IF(B11&gt;$B$3,B11*$C$6))</f>
        <v>322080</v>
      </c>
    </row>
    <row r="4" spans="1:9" x14ac:dyDescent="0.35">
      <c r="A4" s="12" t="s">
        <v>111</v>
      </c>
      <c r="B4" s="12">
        <v>2000</v>
      </c>
      <c r="C4" s="12">
        <f>B4*2</f>
        <v>4000</v>
      </c>
      <c r="G4" t="s">
        <v>127</v>
      </c>
      <c r="H4" s="53">
        <f>IF(B17&lt;=$B$3,B17*$B$5,IF(B17&gt;$B$3,B17*$C$5))</f>
        <v>103700</v>
      </c>
    </row>
    <row r="5" spans="1:9" x14ac:dyDescent="0.35">
      <c r="A5" s="12" t="s">
        <v>116</v>
      </c>
      <c r="B5" s="45">
        <v>0.02</v>
      </c>
      <c r="C5" s="45">
        <v>0.08</v>
      </c>
      <c r="G5" t="s">
        <v>125</v>
      </c>
      <c r="H5" s="53">
        <f>IF(B23&lt;=$B$3,B23*$B$5,IF(B23&gt;$B$3,B23*$C$5))</f>
        <v>60000</v>
      </c>
      <c r="I5" s="25"/>
    </row>
    <row r="6" spans="1:9" x14ac:dyDescent="0.35">
      <c r="A6" s="125" t="s">
        <v>137</v>
      </c>
      <c r="B6" s="125"/>
      <c r="C6" s="58">
        <v>3.3000000000000002E-2</v>
      </c>
    </row>
    <row r="7" spans="1:9" x14ac:dyDescent="0.35">
      <c r="A7" t="s">
        <v>112</v>
      </c>
      <c r="C7" s="25"/>
      <c r="D7"/>
    </row>
    <row r="8" spans="1:9" x14ac:dyDescent="0.35">
      <c r="A8" s="39" t="s">
        <v>113</v>
      </c>
      <c r="B8" s="39" t="s">
        <v>114</v>
      </c>
      <c r="C8" s="39" t="s">
        <v>115</v>
      </c>
      <c r="D8" s="48" t="s">
        <v>77</v>
      </c>
      <c r="E8" s="39" t="s">
        <v>116</v>
      </c>
      <c r="G8" s="25" t="s">
        <v>141</v>
      </c>
      <c r="H8">
        <f>C4</f>
        <v>4000</v>
      </c>
    </row>
    <row r="9" spans="1:9" x14ac:dyDescent="0.35">
      <c r="A9" s="3" t="s">
        <v>8</v>
      </c>
      <c r="B9" s="46">
        <f>C9*5000</f>
        <v>5790000</v>
      </c>
      <c r="C9" s="3">
        <f>SUM('PERHITNGAN BONUS'!C6)</f>
        <v>1158</v>
      </c>
      <c r="D9" s="29">
        <f>(B9-$C$3)/$C$3+100%</f>
        <v>0.42109090909090907</v>
      </c>
      <c r="E9" s="46">
        <f>IF(AND($B$11&lt;=$C$3,$C$11&lt;=$C$4,B9*$C$5),B9*$C$6)</f>
        <v>191070</v>
      </c>
      <c r="F9" s="25"/>
      <c r="G9" t="s">
        <v>75</v>
      </c>
      <c r="H9">
        <f>B4*3</f>
        <v>6000</v>
      </c>
    </row>
    <row r="10" spans="1:9" x14ac:dyDescent="0.35">
      <c r="A10" s="3" t="s">
        <v>159</v>
      </c>
      <c r="B10" s="46">
        <f>C10*5000</f>
        <v>3970000</v>
      </c>
      <c r="C10" s="3">
        <f>SUM('PERHITNGAN BONUS'!E6)</f>
        <v>794</v>
      </c>
      <c r="D10" s="29">
        <f>(B10-$C$3)/$C$3+100%</f>
        <v>0.28872727272727272</v>
      </c>
      <c r="E10" s="46">
        <f>IF(AND($B$11&lt;=$C$3,$C$11&lt;=$C$4,B10*$C$5),B10*$C$6)</f>
        <v>131010</v>
      </c>
      <c r="F10" s="49"/>
      <c r="G10" t="s">
        <v>104</v>
      </c>
      <c r="H10">
        <f>C11+C17+C23</f>
        <v>3589</v>
      </c>
      <c r="I10">
        <f>H10-H9</f>
        <v>-2411</v>
      </c>
    </row>
    <row r="11" spans="1:9" x14ac:dyDescent="0.35">
      <c r="A11" s="1" t="s">
        <v>76</v>
      </c>
      <c r="B11" s="52">
        <f>SUM(B9:B10)</f>
        <v>9760000</v>
      </c>
      <c r="C11" s="3">
        <f t="shared" ref="C11:D11" si="0">SUM(C9:C10)</f>
        <v>1952</v>
      </c>
      <c r="D11" s="51">
        <f t="shared" si="0"/>
        <v>0.70981818181818179</v>
      </c>
      <c r="E11" s="46">
        <f>IF(AND($B$11&lt;=$C$3,$C$11&lt;=$C$4,B11*$C$5),B11*$C$6)</f>
        <v>322080</v>
      </c>
      <c r="H11" s="25">
        <f>H10*5000</f>
        <v>17945000</v>
      </c>
    </row>
    <row r="12" spans="1:9" x14ac:dyDescent="0.35">
      <c r="H12" s="53">
        <f>IF(H10&lt;=H9,H11*$B$5,IF(H10&lt;=H8,H11*$C$6))</f>
        <v>358900</v>
      </c>
    </row>
    <row r="13" spans="1:9" x14ac:dyDescent="0.35">
      <c r="A13" t="s">
        <v>112</v>
      </c>
      <c r="B13" s="26" t="s">
        <v>121</v>
      </c>
      <c r="H13" s="25">
        <f>H12/2</f>
        <v>179450</v>
      </c>
    </row>
    <row r="14" spans="1:9" x14ac:dyDescent="0.35">
      <c r="A14" s="39" t="s">
        <v>113</v>
      </c>
      <c r="B14" s="39" t="s">
        <v>114</v>
      </c>
      <c r="C14" s="39" t="s">
        <v>115</v>
      </c>
      <c r="D14" s="48" t="s">
        <v>77</v>
      </c>
      <c r="E14" s="39" t="s">
        <v>116</v>
      </c>
    </row>
    <row r="15" spans="1:9" x14ac:dyDescent="0.35">
      <c r="A15" s="3" t="s">
        <v>8</v>
      </c>
      <c r="B15" s="46">
        <f>'PERHITNGAN BONUS'!C7*5000</f>
        <v>2940000</v>
      </c>
      <c r="C15" s="3">
        <f>'PERHITNGAN BONUS'!C7</f>
        <v>588</v>
      </c>
      <c r="D15" s="29">
        <f>(B15-$B$3)/$B$3+100%</f>
        <v>0.42763636363636359</v>
      </c>
      <c r="E15" s="46">
        <f>IF(B15&gt;=$B$3,C15&gt;=$B$4,B15*$B$5)</f>
        <v>58800</v>
      </c>
    </row>
    <row r="16" spans="1:9" x14ac:dyDescent="0.35">
      <c r="A16" s="3" t="s">
        <v>6</v>
      </c>
      <c r="B16" s="46">
        <f>'PERHITNGAN BONUS'!E7*5000</f>
        <v>2245000</v>
      </c>
      <c r="C16" s="3">
        <f>'PERHITNGAN BONUS'!E7</f>
        <v>449</v>
      </c>
      <c r="D16" s="29">
        <f>(B16-$B$3)/$B$3+100%</f>
        <v>0.32654545454545458</v>
      </c>
      <c r="E16" s="46">
        <f>IF(B16&gt;=$B$3,C16&gt;=$B$4,B16*$B$5)</f>
        <v>44900</v>
      </c>
    </row>
    <row r="17" spans="1:5" x14ac:dyDescent="0.35">
      <c r="A17" s="1" t="s">
        <v>76</v>
      </c>
      <c r="B17" s="44">
        <f>SUM(B15:B16)</f>
        <v>5185000</v>
      </c>
      <c r="C17" s="3">
        <f t="shared" ref="C17:E17" si="1">SUM(C15:C16)</f>
        <v>1037</v>
      </c>
      <c r="D17" s="51">
        <f t="shared" si="1"/>
        <v>0.75418181818181818</v>
      </c>
      <c r="E17" s="44">
        <f t="shared" si="1"/>
        <v>103700</v>
      </c>
    </row>
    <row r="19" spans="1:5" x14ac:dyDescent="0.35">
      <c r="A19" t="s">
        <v>112</v>
      </c>
      <c r="B19" s="26" t="s">
        <v>122</v>
      </c>
    </row>
    <row r="20" spans="1:5" x14ac:dyDescent="0.35">
      <c r="A20" s="39" t="s">
        <v>113</v>
      </c>
      <c r="B20" s="39" t="s">
        <v>114</v>
      </c>
      <c r="C20" s="39" t="s">
        <v>115</v>
      </c>
      <c r="D20" s="48" t="s">
        <v>77</v>
      </c>
      <c r="E20" s="39" t="s">
        <v>116</v>
      </c>
    </row>
    <row r="21" spans="1:5" x14ac:dyDescent="0.35">
      <c r="A21" s="3" t="s">
        <v>8</v>
      </c>
      <c r="B21" s="46">
        <f>'PERHITNGAN BONUS'!C8*5000</f>
        <v>1710000</v>
      </c>
      <c r="C21" s="3">
        <f>'PERHITNGAN BONUS'!C8</f>
        <v>342</v>
      </c>
      <c r="D21" s="29">
        <f>(B21-$B$3)/$B$3+100%</f>
        <v>0.24872727272727269</v>
      </c>
      <c r="E21" s="46">
        <f>IF(B21&gt;=$B$3,C21&gt;=$B$4,B21*$B$5)</f>
        <v>34200</v>
      </c>
    </row>
    <row r="22" spans="1:5" x14ac:dyDescent="0.35">
      <c r="A22" s="3" t="s">
        <v>6</v>
      </c>
      <c r="B22" s="46">
        <f>'PERHITNGAN BONUS'!E8*5000</f>
        <v>1290000</v>
      </c>
      <c r="C22" s="3">
        <f>'PERHITNGAN BONUS'!E8</f>
        <v>258</v>
      </c>
      <c r="D22" s="29">
        <f>(B22-$B$3)/$B$3+100%</f>
        <v>0.1876363636363636</v>
      </c>
      <c r="E22" s="46">
        <f>IF(B22&gt;=$B$3,C22&gt;=$B$4,B22*$B$5)</f>
        <v>25800</v>
      </c>
    </row>
    <row r="23" spans="1:5" x14ac:dyDescent="0.35">
      <c r="A23" s="1" t="s">
        <v>76</v>
      </c>
      <c r="B23" s="44">
        <f>SUM(B21:B22)</f>
        <v>3000000</v>
      </c>
      <c r="C23" s="3">
        <f t="shared" ref="C23:E23" si="2">SUM(C21:C22)</f>
        <v>600</v>
      </c>
      <c r="D23" s="51">
        <f t="shared" si="2"/>
        <v>0.43636363636363629</v>
      </c>
      <c r="E23" s="44">
        <f t="shared" si="2"/>
        <v>60000</v>
      </c>
    </row>
  </sheetData>
  <mergeCells count="2">
    <mergeCell ref="A1:C1"/>
    <mergeCell ref="A6:B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B843C-B344-414C-BB29-EB543F8F561E}">
  <dimension ref="A1:J23"/>
  <sheetViews>
    <sheetView workbookViewId="0">
      <selection activeCell="G19" sqref="G19"/>
    </sheetView>
  </sheetViews>
  <sheetFormatPr defaultRowHeight="14.5" x14ac:dyDescent="0.35"/>
  <cols>
    <col min="1" max="1" width="35.08984375" bestFit="1" customWidth="1"/>
    <col min="2" max="2" width="16.6328125" bestFit="1" customWidth="1"/>
    <col min="3" max="3" width="15.453125" bestFit="1" customWidth="1"/>
    <col min="4" max="4" width="5.26953125" style="40" bestFit="1" customWidth="1"/>
    <col min="5" max="5" width="12.453125" bestFit="1" customWidth="1"/>
    <col min="6" max="6" width="13.453125" hidden="1" customWidth="1"/>
    <col min="7" max="7" width="16.453125" bestFit="1" customWidth="1"/>
    <col min="8" max="8" width="12.90625" bestFit="1" customWidth="1"/>
    <col min="9" max="9" width="20.36328125" style="60" bestFit="1" customWidth="1"/>
  </cols>
  <sheetData>
    <row r="1" spans="1:10" x14ac:dyDescent="0.35">
      <c r="A1" s="123" t="s">
        <v>107</v>
      </c>
      <c r="B1" s="124"/>
      <c r="C1" s="124"/>
    </row>
    <row r="2" spans="1:10" x14ac:dyDescent="0.35">
      <c r="A2" s="39" t="s">
        <v>108</v>
      </c>
      <c r="B2" s="39" t="s">
        <v>109</v>
      </c>
      <c r="C2" s="47" t="s">
        <v>117</v>
      </c>
      <c r="F2" s="54" t="s">
        <v>143</v>
      </c>
      <c r="G2" s="54" t="s">
        <v>124</v>
      </c>
      <c r="H2" t="s">
        <v>144</v>
      </c>
    </row>
    <row r="3" spans="1:10" x14ac:dyDescent="0.35">
      <c r="A3" s="12" t="s">
        <v>110</v>
      </c>
      <c r="B3" s="44">
        <f>1494*5000</f>
        <v>7470000</v>
      </c>
      <c r="C3" s="44">
        <f>B3*3</f>
        <v>22410000</v>
      </c>
      <c r="E3" s="55" t="str">
        <f>B7</f>
        <v>JULY</v>
      </c>
      <c r="F3" s="63">
        <f>IF(B11&lt;$B$3,B11*B5)</f>
        <v>93100</v>
      </c>
      <c r="G3" s="63" t="str">
        <f>IF(B11=$B$3,B11*$C$5,"tidak capai target")</f>
        <v>tidak capai target</v>
      </c>
      <c r="H3" s="63" t="str">
        <f>IF(B11&gt;=$B$3,B11*5%,"tidak up target")</f>
        <v>tidak up target</v>
      </c>
    </row>
    <row r="4" spans="1:10" x14ac:dyDescent="0.35">
      <c r="A4" s="12" t="s">
        <v>111</v>
      </c>
      <c r="B4" s="12">
        <v>1494</v>
      </c>
      <c r="C4" s="12">
        <f>B4*3+1000</f>
        <v>5482</v>
      </c>
      <c r="E4" t="str">
        <f>B13</f>
        <v>AUGUST</v>
      </c>
      <c r="F4" s="63">
        <f>IF(B17&lt;=$B$3,B17*$B$5,IF(B17&gt;$B$3,B17*$C$5))</f>
        <v>68400</v>
      </c>
      <c r="G4" s="63" t="str">
        <f>IF(B17=$B$3,B12*$C$5,"tidak capai target")</f>
        <v>tidak capai target</v>
      </c>
      <c r="H4" s="63" t="str">
        <f>IF(B17&gt;=$B$3,B12*5%,"tidak uptarget")</f>
        <v>tidak uptarget</v>
      </c>
    </row>
    <row r="5" spans="1:10" x14ac:dyDescent="0.35">
      <c r="A5" s="12" t="s">
        <v>116</v>
      </c>
      <c r="B5" s="45">
        <v>0.02</v>
      </c>
      <c r="C5" s="45">
        <v>0.03</v>
      </c>
      <c r="E5" t="str">
        <f>B19</f>
        <v>SEPTEMBER</v>
      </c>
      <c r="F5" s="63">
        <f>IF(B23&lt;=$B$3,B23*$B$5,IF(B23&gt;$B$3,B23*$C$5))</f>
        <v>53800</v>
      </c>
      <c r="G5" s="63" t="str">
        <f>IF(B23=$B$3,B13*$C$5,"tidak capai target")</f>
        <v>tidak capai target</v>
      </c>
      <c r="H5" s="63" t="str">
        <f>IF(B23&gt;=$B$3,B13*5%,"tidak up target")</f>
        <v>tidak up target</v>
      </c>
      <c r="I5" s="53"/>
    </row>
    <row r="7" spans="1:10" x14ac:dyDescent="0.35">
      <c r="A7" t="s">
        <v>112</v>
      </c>
      <c r="B7" s="26" t="str">
        <f>'PERHITNGAN BONUS'!A9</f>
        <v>JULY</v>
      </c>
      <c r="C7" s="25"/>
      <c r="D7"/>
      <c r="H7" t="s">
        <v>141</v>
      </c>
      <c r="I7" s="60">
        <f>C4</f>
        <v>5482</v>
      </c>
    </row>
    <row r="8" spans="1:10" x14ac:dyDescent="0.35">
      <c r="A8" s="39" t="s">
        <v>113</v>
      </c>
      <c r="B8" s="39" t="s">
        <v>114</v>
      </c>
      <c r="C8" s="39" t="s">
        <v>115</v>
      </c>
      <c r="D8" s="48" t="s">
        <v>77</v>
      </c>
      <c r="E8" s="39" t="s">
        <v>116</v>
      </c>
      <c r="H8" t="s">
        <v>75</v>
      </c>
      <c r="I8" s="61">
        <f>B4*3</f>
        <v>4482</v>
      </c>
    </row>
    <row r="9" spans="1:10" x14ac:dyDescent="0.35">
      <c r="A9" s="3" t="s">
        <v>8</v>
      </c>
      <c r="B9" s="46">
        <f>'PERHITNGAN BONUS'!C9*5000</f>
        <v>2910000</v>
      </c>
      <c r="C9" s="3">
        <f>'PERHITNGAN BONUS'!C9</f>
        <v>582</v>
      </c>
      <c r="D9" s="29">
        <f>(B9-$B$3)/$B$3+100%</f>
        <v>0.38955823293172687</v>
      </c>
      <c r="E9" s="46">
        <f>IF(B9&gt;=$B$3,C9&gt;=$B$4,B9*$B$5)</f>
        <v>58200</v>
      </c>
      <c r="H9" s="25" t="s">
        <v>104</v>
      </c>
      <c r="I9" s="60">
        <f>C11+C17+C23</f>
        <v>2153</v>
      </c>
      <c r="J9" s="62">
        <f>I9-I8</f>
        <v>-2329</v>
      </c>
    </row>
    <row r="10" spans="1:10" x14ac:dyDescent="0.35">
      <c r="A10" s="3" t="s">
        <v>6</v>
      </c>
      <c r="B10" s="46">
        <f>'PERHITNGAN BONUS'!E9*5000</f>
        <v>1745000</v>
      </c>
      <c r="C10" s="3">
        <f>'PERHITNGAN BONUS'!E9</f>
        <v>349</v>
      </c>
      <c r="D10" s="29">
        <f>(B10-$B$3)/$B$3+100%</f>
        <v>0.23360107095046856</v>
      </c>
      <c r="E10" s="46">
        <f t="shared" ref="E10" si="0">IF(B10&gt;=$B$3,C10&gt;=$B$4,B10*$B$5)</f>
        <v>34900</v>
      </c>
      <c r="F10" s="49"/>
    </row>
    <row r="11" spans="1:10" x14ac:dyDescent="0.35">
      <c r="A11" s="1" t="s">
        <v>76</v>
      </c>
      <c r="B11" s="52">
        <f>SUM(B9:B10)</f>
        <v>4655000</v>
      </c>
      <c r="C11" s="3">
        <f t="shared" ref="C11:D11" si="1">SUM(C9:C10)</f>
        <v>931</v>
      </c>
      <c r="D11" s="51">
        <f t="shared" si="1"/>
        <v>0.62315930388219543</v>
      </c>
      <c r="E11" s="46">
        <f>IF(B11&gt;=$B$3,C11&gt;=$B$4,B11*$B$5)</f>
        <v>93100</v>
      </c>
      <c r="H11" t="s">
        <v>142</v>
      </c>
    </row>
    <row r="13" spans="1:10" x14ac:dyDescent="0.35">
      <c r="A13" t="s">
        <v>112</v>
      </c>
      <c r="B13" s="26" t="str">
        <f>'PERHITNGAN BONUS'!A10</f>
        <v>AUGUST</v>
      </c>
      <c r="G13" s="25"/>
      <c r="H13" s="25"/>
    </row>
    <row r="14" spans="1:10" x14ac:dyDescent="0.35">
      <c r="A14" s="39" t="s">
        <v>113</v>
      </c>
      <c r="B14" s="39" t="s">
        <v>114</v>
      </c>
      <c r="C14" s="39" t="s">
        <v>115</v>
      </c>
      <c r="D14" s="48" t="s">
        <v>77</v>
      </c>
      <c r="E14" s="39" t="s">
        <v>116</v>
      </c>
    </row>
    <row r="15" spans="1:10" x14ac:dyDescent="0.35">
      <c r="A15" s="3" t="s">
        <v>8</v>
      </c>
      <c r="B15" s="46">
        <f>'PERHITNGAN BONUS'!C10*5000</f>
        <v>2420000</v>
      </c>
      <c r="C15" s="3">
        <f>'PERHITNGAN BONUS'!C10</f>
        <v>484</v>
      </c>
      <c r="D15" s="29">
        <f>(B15-$B$3)/$B$3+100%</f>
        <v>0.3239625167336011</v>
      </c>
      <c r="E15" s="46">
        <f>IF(B15&gt;=$B$3,C15&gt;=$B$4,B15*$B$5)</f>
        <v>48400</v>
      </c>
    </row>
    <row r="16" spans="1:10" x14ac:dyDescent="0.35">
      <c r="A16" s="3" t="s">
        <v>6</v>
      </c>
      <c r="B16" s="46">
        <f>'PERHITNGAN BONUS'!E10*5000</f>
        <v>1000000</v>
      </c>
      <c r="C16" s="3">
        <f>'PERHITNGAN BONUS'!E10</f>
        <v>200</v>
      </c>
      <c r="D16" s="29">
        <f>(B16-$B$3)/$B$3+100%</f>
        <v>0.13386880856760375</v>
      </c>
      <c r="E16" s="46">
        <f>IF(B16&gt;=$B$3,C16&gt;=$B$4,B16*$B$5)</f>
        <v>20000</v>
      </c>
    </row>
    <row r="17" spans="1:5" x14ac:dyDescent="0.35">
      <c r="A17" s="1" t="s">
        <v>76</v>
      </c>
      <c r="B17" s="44">
        <f>SUM(B15:B16)</f>
        <v>3420000</v>
      </c>
      <c r="C17" s="3">
        <f t="shared" ref="C17:E17" si="2">SUM(C15:C16)</f>
        <v>684</v>
      </c>
      <c r="D17" s="51">
        <f t="shared" si="2"/>
        <v>0.45783132530120485</v>
      </c>
      <c r="E17" s="44">
        <f t="shared" si="2"/>
        <v>68400</v>
      </c>
    </row>
    <row r="19" spans="1:5" x14ac:dyDescent="0.35">
      <c r="A19" t="s">
        <v>112</v>
      </c>
      <c r="B19" s="26" t="str">
        <f>'PERHITNGAN BONUS'!A11</f>
        <v>SEPTEMBER</v>
      </c>
    </row>
    <row r="20" spans="1:5" x14ac:dyDescent="0.35">
      <c r="A20" s="39" t="s">
        <v>113</v>
      </c>
      <c r="B20" s="39" t="s">
        <v>114</v>
      </c>
      <c r="C20" s="39" t="s">
        <v>115</v>
      </c>
      <c r="D20" s="48" t="s">
        <v>77</v>
      </c>
      <c r="E20" s="39" t="s">
        <v>116</v>
      </c>
    </row>
    <row r="21" spans="1:5" x14ac:dyDescent="0.35">
      <c r="A21" s="3" t="s">
        <v>8</v>
      </c>
      <c r="B21" s="46">
        <f>'PERHITNGAN BONUS'!C11*5000</f>
        <v>1750000</v>
      </c>
      <c r="C21" s="3">
        <f>'PERHITNGAN BONUS'!C11</f>
        <v>350</v>
      </c>
      <c r="D21" s="29">
        <f>(B21-$B$3)/$B$3+100%</f>
        <v>0.23427041499330659</v>
      </c>
      <c r="E21" s="46">
        <f>IF(B21&gt;=$B$3,C21&gt;=$B$4,B21*$B$5)</f>
        <v>35000</v>
      </c>
    </row>
    <row r="22" spans="1:5" x14ac:dyDescent="0.35">
      <c r="A22" s="3" t="s">
        <v>6</v>
      </c>
      <c r="B22" s="46">
        <f>'PERHITNGAN BONUS'!E11*5000</f>
        <v>940000</v>
      </c>
      <c r="C22" s="3">
        <f>'PERHITNGAN BONUS'!E11</f>
        <v>188</v>
      </c>
      <c r="D22" s="29">
        <f>(B22-$B$3)/$B$3+100%</f>
        <v>0.12583668005354753</v>
      </c>
      <c r="E22" s="46">
        <f>IF(B22&gt;=$B$3,C22&gt;=$B$4,B22*$B$5)</f>
        <v>18800</v>
      </c>
    </row>
    <row r="23" spans="1:5" x14ac:dyDescent="0.35">
      <c r="A23" s="1" t="s">
        <v>76</v>
      </c>
      <c r="B23" s="44">
        <f>SUM(B21:B22)</f>
        <v>2690000</v>
      </c>
      <c r="C23" s="3">
        <f t="shared" ref="C23:E23" si="3">SUM(C21:C22)</f>
        <v>538</v>
      </c>
      <c r="D23" s="51">
        <f t="shared" si="3"/>
        <v>0.36010709504685412</v>
      </c>
      <c r="E23" s="44">
        <f t="shared" si="3"/>
        <v>53800</v>
      </c>
    </row>
  </sheetData>
  <mergeCells count="1">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19AF-2210-4D88-9BA9-9DD6A15E2553}">
  <dimension ref="A1:J23"/>
  <sheetViews>
    <sheetView workbookViewId="0">
      <selection activeCell="F9" sqref="F9"/>
    </sheetView>
  </sheetViews>
  <sheetFormatPr defaultRowHeight="14.5" x14ac:dyDescent="0.35"/>
  <cols>
    <col min="1" max="1" width="35.08984375" bestFit="1" customWidth="1"/>
    <col min="2" max="2" width="16.6328125" bestFit="1" customWidth="1"/>
    <col min="3" max="3" width="15.453125" bestFit="1" customWidth="1"/>
    <col min="4" max="4" width="5.26953125" style="40" bestFit="1" customWidth="1"/>
    <col min="5" max="5" width="12.453125" bestFit="1" customWidth="1"/>
    <col min="6" max="6" width="13.453125" bestFit="1" customWidth="1"/>
    <col min="7" max="7" width="13.36328125" bestFit="1" customWidth="1"/>
    <col min="8" max="8" width="12.90625" bestFit="1" customWidth="1"/>
    <col min="9" max="9" width="20.36328125" style="60" bestFit="1" customWidth="1"/>
  </cols>
  <sheetData>
    <row r="1" spans="1:10" x14ac:dyDescent="0.35">
      <c r="A1" s="123" t="s">
        <v>107</v>
      </c>
      <c r="B1" s="124"/>
      <c r="C1" s="124"/>
    </row>
    <row r="2" spans="1:10" x14ac:dyDescent="0.35">
      <c r="A2" s="39" t="s">
        <v>108</v>
      </c>
      <c r="B2" s="39" t="s">
        <v>109</v>
      </c>
      <c r="C2" s="47" t="s">
        <v>117</v>
      </c>
      <c r="F2" s="54" t="s">
        <v>124</v>
      </c>
      <c r="G2" s="54"/>
    </row>
    <row r="3" spans="1:10" x14ac:dyDescent="0.35">
      <c r="A3" s="12" t="s">
        <v>110</v>
      </c>
      <c r="B3" s="44">
        <f>1494*5000</f>
        <v>7470000</v>
      </c>
      <c r="C3" s="44">
        <f>B3*3</f>
        <v>22410000</v>
      </c>
      <c r="E3" s="55" t="str">
        <f>B7</f>
        <v>OCTOBER</v>
      </c>
      <c r="F3" s="56">
        <f>IF(B11&lt;=$B$3,B11*$B$5,IF(B11&gt;$B$3,B11*$C$5))</f>
        <v>0</v>
      </c>
      <c r="G3" s="25"/>
    </row>
    <row r="4" spans="1:10" x14ac:dyDescent="0.35">
      <c r="A4" s="12" t="s">
        <v>111</v>
      </c>
      <c r="B4" s="12">
        <v>1494</v>
      </c>
      <c r="C4" s="12">
        <f>B4*3+1000</f>
        <v>5482</v>
      </c>
      <c r="E4" t="str">
        <f>B13</f>
        <v>NOVEMBER</v>
      </c>
      <c r="F4" s="53">
        <f>IF(B17&lt;=$B$3,B17*$B$5,IF(B17&gt;$B$3,B17*$C$5))</f>
        <v>0</v>
      </c>
      <c r="G4" s="54"/>
    </row>
    <row r="5" spans="1:10" x14ac:dyDescent="0.35">
      <c r="A5" s="12" t="s">
        <v>116</v>
      </c>
      <c r="B5" s="45">
        <v>0.02</v>
      </c>
      <c r="C5" s="45">
        <v>0.03</v>
      </c>
      <c r="E5" t="str">
        <f>B19</f>
        <v>DECEMBER</v>
      </c>
      <c r="F5" s="53">
        <f>IF(B23&lt;=$B$3,B23*$B$5,IF(B23&gt;$B$3,B23*$C$5))</f>
        <v>0</v>
      </c>
      <c r="G5" s="54"/>
      <c r="I5" s="53"/>
    </row>
    <row r="7" spans="1:10" x14ac:dyDescent="0.35">
      <c r="A7" t="s">
        <v>112</v>
      </c>
      <c r="B7" s="26" t="str">
        <f>'PERHITNGAN BONUS'!A12</f>
        <v>OCTOBER</v>
      </c>
      <c r="C7" s="25" t="s">
        <v>136</v>
      </c>
      <c r="D7"/>
      <c r="H7" t="s">
        <v>141</v>
      </c>
      <c r="I7" s="60">
        <f>C4</f>
        <v>5482</v>
      </c>
    </row>
    <row r="8" spans="1:10" x14ac:dyDescent="0.35">
      <c r="A8" s="39" t="s">
        <v>113</v>
      </c>
      <c r="B8" s="39" t="s">
        <v>114</v>
      </c>
      <c r="C8" s="39" t="s">
        <v>115</v>
      </c>
      <c r="D8" s="48" t="s">
        <v>77</v>
      </c>
      <c r="E8" s="39" t="s">
        <v>116</v>
      </c>
      <c r="H8" t="s">
        <v>75</v>
      </c>
      <c r="I8" s="61">
        <f>B4*3</f>
        <v>4482</v>
      </c>
    </row>
    <row r="9" spans="1:10" x14ac:dyDescent="0.35">
      <c r="A9" s="3" t="s">
        <v>8</v>
      </c>
      <c r="B9" s="46">
        <f>'PERHITNGAN BONUS'!C12*5000</f>
        <v>0</v>
      </c>
      <c r="C9" s="3">
        <f>'PERHITNGAN BONUS'!C12</f>
        <v>0</v>
      </c>
      <c r="D9" s="29">
        <f>(B9-$B$3)/$B$3+100%</f>
        <v>0</v>
      </c>
      <c r="E9" s="46">
        <f>IF(B9&gt;=$B$3,C9&gt;=$B$4,B9*$B$5)</f>
        <v>0</v>
      </c>
      <c r="H9" s="25" t="s">
        <v>104</v>
      </c>
      <c r="I9" s="60">
        <f>C11+C17+C23</f>
        <v>0</v>
      </c>
      <c r="J9" s="62">
        <f>I9-I8</f>
        <v>-4482</v>
      </c>
    </row>
    <row r="10" spans="1:10" x14ac:dyDescent="0.35">
      <c r="A10" s="3" t="s">
        <v>6</v>
      </c>
      <c r="B10" s="46">
        <f>'PERHITNGAN BONUS'!E12*5000</f>
        <v>0</v>
      </c>
      <c r="C10" s="3">
        <f>'PERHITNGAN BONUS'!E12</f>
        <v>0</v>
      </c>
      <c r="D10" s="29">
        <f>(B10-$B$3)/$B$3+100%</f>
        <v>0</v>
      </c>
      <c r="E10" s="46">
        <f t="shared" ref="E10:E11" si="0">IF(B10&gt;=$B$3,C10&gt;=$B$4,B10*$B$5)</f>
        <v>0</v>
      </c>
      <c r="F10" s="49"/>
    </row>
    <row r="11" spans="1:10" x14ac:dyDescent="0.35">
      <c r="A11" s="1" t="s">
        <v>76</v>
      </c>
      <c r="B11" s="52">
        <f>SUM(B9:B10)</f>
        <v>0</v>
      </c>
      <c r="C11" s="3">
        <f t="shared" ref="C11:D11" si="1">SUM(C9:C10)</f>
        <v>0</v>
      </c>
      <c r="D11" s="51">
        <f t="shared" si="1"/>
        <v>0</v>
      </c>
      <c r="E11" s="46">
        <f t="shared" si="0"/>
        <v>0</v>
      </c>
      <c r="H11" t="s">
        <v>142</v>
      </c>
    </row>
    <row r="13" spans="1:10" x14ac:dyDescent="0.35">
      <c r="A13" t="s">
        <v>112</v>
      </c>
      <c r="B13" s="26" t="str">
        <f>'PERHITNGAN BONUS'!A13</f>
        <v>NOVEMBER</v>
      </c>
      <c r="H13" s="25"/>
    </row>
    <row r="14" spans="1:10" x14ac:dyDescent="0.35">
      <c r="A14" s="39" t="s">
        <v>113</v>
      </c>
      <c r="B14" s="39" t="s">
        <v>114</v>
      </c>
      <c r="C14" s="39" t="s">
        <v>115</v>
      </c>
      <c r="D14" s="48" t="s">
        <v>77</v>
      </c>
      <c r="E14" s="39" t="s">
        <v>116</v>
      </c>
    </row>
    <row r="15" spans="1:10" x14ac:dyDescent="0.35">
      <c r="A15" s="3" t="s">
        <v>8</v>
      </c>
      <c r="B15" s="46">
        <f>'PERHITNGAN BONUS'!C13*5000</f>
        <v>0</v>
      </c>
      <c r="C15" s="3">
        <f>'PERHITNGAN BONUS'!C13</f>
        <v>0</v>
      </c>
      <c r="D15" s="29">
        <f>(B15-$B$3)/$B$3+100%</f>
        <v>0</v>
      </c>
      <c r="E15" s="46">
        <f>IF(B15&gt;=$B$3,C15&gt;=$B$4,B15*$B$5)</f>
        <v>0</v>
      </c>
    </row>
    <row r="16" spans="1:10" x14ac:dyDescent="0.35">
      <c r="A16" s="3" t="s">
        <v>6</v>
      </c>
      <c r="B16" s="46">
        <f>'PERHITNGAN BONUS'!E13*5000</f>
        <v>0</v>
      </c>
      <c r="C16" s="3">
        <f>'PERHITNGAN BONUS'!E13</f>
        <v>0</v>
      </c>
      <c r="D16" s="29">
        <f>(B16-$B$3)/$B$3+100%</f>
        <v>0</v>
      </c>
      <c r="E16" s="46">
        <f>IF(B16&gt;=$B$3,C16&gt;=$B$4,B16*$B$5)</f>
        <v>0</v>
      </c>
    </row>
    <row r="17" spans="1:5" x14ac:dyDescent="0.35">
      <c r="A17" s="1" t="s">
        <v>76</v>
      </c>
      <c r="B17" s="44">
        <f>SUM(B15:B16)</f>
        <v>0</v>
      </c>
      <c r="C17" s="3">
        <f t="shared" ref="C17:E17" si="2">SUM(C15:C16)</f>
        <v>0</v>
      </c>
      <c r="D17" s="51">
        <f t="shared" si="2"/>
        <v>0</v>
      </c>
      <c r="E17" s="44">
        <f t="shared" si="2"/>
        <v>0</v>
      </c>
    </row>
    <row r="19" spans="1:5" x14ac:dyDescent="0.35">
      <c r="A19" t="s">
        <v>112</v>
      </c>
      <c r="B19" s="26" t="str">
        <f>'PERHITNGAN BONUS'!A14</f>
        <v>DECEMBER</v>
      </c>
    </row>
    <row r="20" spans="1:5" x14ac:dyDescent="0.35">
      <c r="A20" s="39" t="s">
        <v>113</v>
      </c>
      <c r="B20" s="39" t="s">
        <v>114</v>
      </c>
      <c r="C20" s="39" t="s">
        <v>115</v>
      </c>
      <c r="D20" s="48" t="s">
        <v>77</v>
      </c>
      <c r="E20" s="39" t="s">
        <v>116</v>
      </c>
    </row>
    <row r="21" spans="1:5" x14ac:dyDescent="0.35">
      <c r="A21" s="3" t="s">
        <v>8</v>
      </c>
      <c r="B21" s="46">
        <f>'PERHITNGAN BONUS'!C14*5000</f>
        <v>0</v>
      </c>
      <c r="C21" s="3">
        <f>'PERHITNGAN BONUS'!C14</f>
        <v>0</v>
      </c>
      <c r="D21" s="29">
        <f>(B21-$B$3)/$B$3+100%</f>
        <v>0</v>
      </c>
      <c r="E21" s="46">
        <f>IF(B21&gt;=$B$3,C21&gt;=$B$4,B21*$B$5)</f>
        <v>0</v>
      </c>
    </row>
    <row r="22" spans="1:5" x14ac:dyDescent="0.35">
      <c r="A22" s="3" t="s">
        <v>6</v>
      </c>
      <c r="B22" s="46">
        <f>'PERHITNGAN BONUS'!E14*5000</f>
        <v>0</v>
      </c>
      <c r="C22" s="3">
        <f>'PERHITNGAN BONUS'!E14</f>
        <v>0</v>
      </c>
      <c r="D22" s="29">
        <f>(B22-$B$3)/$B$3+100%</f>
        <v>0</v>
      </c>
      <c r="E22" s="46">
        <f>IF(B22&gt;=$B$3,C22&gt;=$B$4,B22*$B$5)</f>
        <v>0</v>
      </c>
    </row>
    <row r="23" spans="1:5" x14ac:dyDescent="0.35">
      <c r="A23" s="1" t="s">
        <v>76</v>
      </c>
      <c r="B23" s="44">
        <f>SUM(B21:B22)</f>
        <v>0</v>
      </c>
      <c r="C23" s="3">
        <f t="shared" ref="C23:E23" si="3">SUM(C21:C22)</f>
        <v>0</v>
      </c>
      <c r="D23" s="51">
        <f t="shared" si="3"/>
        <v>0</v>
      </c>
      <c r="E23" s="44">
        <f t="shared" si="3"/>
        <v>0</v>
      </c>
    </row>
  </sheetData>
  <mergeCells count="1">
    <mergeCell ref="A1:C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197C0-06A6-42AF-ADD5-EFDF19D562BC}">
  <dimension ref="A1:I23"/>
  <sheetViews>
    <sheetView workbookViewId="0">
      <selection activeCell="B7" sqref="B7"/>
    </sheetView>
  </sheetViews>
  <sheetFormatPr defaultRowHeight="14.5" x14ac:dyDescent="0.35"/>
  <cols>
    <col min="1" max="1" width="35.08984375" bestFit="1" customWidth="1"/>
    <col min="2" max="2" width="16.6328125" bestFit="1" customWidth="1"/>
    <col min="3" max="3" width="15.453125" bestFit="1" customWidth="1"/>
    <col min="4" max="4" width="5.26953125" style="40" bestFit="1" customWidth="1"/>
    <col min="5" max="5" width="12.453125" bestFit="1" customWidth="1"/>
    <col min="6" max="6" width="13.453125" bestFit="1" customWidth="1"/>
    <col min="7" max="7" width="13.36328125" bestFit="1" customWidth="1"/>
    <col min="8" max="9" width="10.81640625" bestFit="1" customWidth="1"/>
  </cols>
  <sheetData>
    <row r="1" spans="1:9" x14ac:dyDescent="0.35">
      <c r="A1" s="123" t="s">
        <v>107</v>
      </c>
      <c r="B1" s="124"/>
      <c r="C1" s="124"/>
    </row>
    <row r="2" spans="1:9" x14ac:dyDescent="0.35">
      <c r="A2" s="39" t="s">
        <v>108</v>
      </c>
      <c r="B2" s="39" t="s">
        <v>109</v>
      </c>
      <c r="C2" s="47" t="s">
        <v>117</v>
      </c>
      <c r="F2" s="54" t="s">
        <v>124</v>
      </c>
      <c r="G2" s="54"/>
    </row>
    <row r="3" spans="1:9" x14ac:dyDescent="0.35">
      <c r="A3" s="12" t="s">
        <v>110</v>
      </c>
      <c r="B3" s="44">
        <f>1375*5000</f>
        <v>6875000</v>
      </c>
      <c r="C3" s="44">
        <f>B3*3</f>
        <v>20625000</v>
      </c>
      <c r="E3" s="55" t="s">
        <v>126</v>
      </c>
      <c r="F3" s="56">
        <f>IF(B11&lt;=$B$3,B11*$B$5,IF(B11&gt;$B$3,B11*$C$5))</f>
        <v>292800</v>
      </c>
      <c r="G3" s="25"/>
    </row>
    <row r="4" spans="1:9" x14ac:dyDescent="0.35">
      <c r="A4" s="12" t="s">
        <v>111</v>
      </c>
      <c r="B4" s="12">
        <v>1494</v>
      </c>
      <c r="C4" s="12">
        <f>B4*3+1000</f>
        <v>5482</v>
      </c>
      <c r="E4" t="s">
        <v>127</v>
      </c>
      <c r="F4" s="53">
        <f>IF(B17&lt;=$B$3,B17*$B$5,IF(B17&gt;$B$3,B17*$C$5))</f>
        <v>103700</v>
      </c>
      <c r="G4" s="54"/>
    </row>
    <row r="5" spans="1:9" x14ac:dyDescent="0.35">
      <c r="A5" s="12" t="s">
        <v>116</v>
      </c>
      <c r="B5" s="45">
        <v>0.02</v>
      </c>
      <c r="C5" s="45">
        <v>0.03</v>
      </c>
      <c r="E5" t="s">
        <v>125</v>
      </c>
      <c r="F5" s="53">
        <f>IF(B23&lt;=$B$3,B23*$B$5,IF(B23&gt;$B$3,B23*$C$5))</f>
        <v>60000</v>
      </c>
      <c r="G5" s="54"/>
      <c r="I5" s="25"/>
    </row>
    <row r="7" spans="1:9" x14ac:dyDescent="0.35">
      <c r="A7" t="s">
        <v>112</v>
      </c>
      <c r="B7" s="26" t="s">
        <v>66</v>
      </c>
      <c r="C7" s="25" t="s">
        <v>136</v>
      </c>
      <c r="D7"/>
    </row>
    <row r="8" spans="1:9" x14ac:dyDescent="0.35">
      <c r="A8" s="39" t="s">
        <v>113</v>
      </c>
      <c r="B8" s="39" t="s">
        <v>114</v>
      </c>
      <c r="C8" s="39" t="s">
        <v>115</v>
      </c>
      <c r="D8" s="48" t="s">
        <v>77</v>
      </c>
      <c r="E8" s="39" t="s">
        <v>116</v>
      </c>
    </row>
    <row r="9" spans="1:9" x14ac:dyDescent="0.35">
      <c r="A9" s="3" t="s">
        <v>8</v>
      </c>
      <c r="B9" s="46">
        <f>'PERHITNGAN BONUS'!C6*5000</f>
        <v>5790000</v>
      </c>
      <c r="C9" s="3">
        <f>'PERHITNGAN BONUS'!C6</f>
        <v>1158</v>
      </c>
      <c r="D9" s="29">
        <f>(B9-$B$3)/$B$3+100%</f>
        <v>0.84218181818181814</v>
      </c>
      <c r="E9" s="46">
        <f>IF(B9&gt;=$B$3,C9&gt;=$B$4,B9*$C$5)</f>
        <v>173700</v>
      </c>
      <c r="F9" s="25"/>
    </row>
    <row r="10" spans="1:9" x14ac:dyDescent="0.35">
      <c r="A10" s="3" t="s">
        <v>6</v>
      </c>
      <c r="B10" s="46">
        <f>'PERHITNGAN BONUS'!E6*5000</f>
        <v>3970000</v>
      </c>
      <c r="C10" s="3">
        <f>'PERHITNGAN BONUS'!E6</f>
        <v>794</v>
      </c>
      <c r="D10" s="29">
        <f>(B10-$B$3)/$B$3+100%</f>
        <v>0.57745454545454544</v>
      </c>
      <c r="E10" s="46">
        <f>IF(B10&gt;=$B$3,C10&gt;=$B$4,B10*$C$5)</f>
        <v>119100</v>
      </c>
      <c r="F10" s="49"/>
    </row>
    <row r="11" spans="1:9" x14ac:dyDescent="0.35">
      <c r="A11" s="1" t="s">
        <v>76</v>
      </c>
      <c r="B11" s="52">
        <f>SUM(B9:B10)</f>
        <v>9760000</v>
      </c>
      <c r="C11" s="3">
        <f t="shared" ref="C11:E11" si="0">SUM(C9:C10)</f>
        <v>1952</v>
      </c>
      <c r="D11" s="51">
        <f t="shared" si="0"/>
        <v>1.4196363636363636</v>
      </c>
      <c r="E11" s="44">
        <f t="shared" si="0"/>
        <v>292800</v>
      </c>
    </row>
    <row r="13" spans="1:9" x14ac:dyDescent="0.35">
      <c r="A13" t="s">
        <v>112</v>
      </c>
      <c r="B13" s="26" t="s">
        <v>121</v>
      </c>
      <c r="H13" s="25"/>
    </row>
    <row r="14" spans="1:9" x14ac:dyDescent="0.35">
      <c r="A14" s="39" t="s">
        <v>113</v>
      </c>
      <c r="B14" s="39" t="s">
        <v>114</v>
      </c>
      <c r="C14" s="39" t="s">
        <v>115</v>
      </c>
      <c r="D14" s="48" t="s">
        <v>77</v>
      </c>
      <c r="E14" s="39" t="s">
        <v>116</v>
      </c>
    </row>
    <row r="15" spans="1:9" x14ac:dyDescent="0.35">
      <c r="A15" s="3" t="s">
        <v>8</v>
      </c>
      <c r="B15" s="46">
        <f>'PERHITNGAN BONUS'!C7*5000</f>
        <v>2940000</v>
      </c>
      <c r="C15" s="3">
        <f>'PERHITNGAN BONUS'!C7</f>
        <v>588</v>
      </c>
      <c r="D15" s="29">
        <f>(B15-$B$3)/$B$3+100%</f>
        <v>0.42763636363636359</v>
      </c>
      <c r="E15" s="46">
        <f>IF(B15&gt;=$B$3,C15&gt;=$B$4,B15*$B$5)</f>
        <v>58800</v>
      </c>
    </row>
    <row r="16" spans="1:9" x14ac:dyDescent="0.35">
      <c r="A16" s="3" t="s">
        <v>6</v>
      </c>
      <c r="B16" s="46">
        <f>'PERHITNGAN BONUS'!E7*5000</f>
        <v>2245000</v>
      </c>
      <c r="C16" s="3">
        <f>'PERHITNGAN BONUS'!E7</f>
        <v>449</v>
      </c>
      <c r="D16" s="29">
        <f>(B16-$B$3)/$B$3+100%</f>
        <v>0.32654545454545458</v>
      </c>
      <c r="E16" s="46">
        <f>IF(B16&gt;=$B$3,C16&gt;=$B$4,B16*$B$5)</f>
        <v>44900</v>
      </c>
    </row>
    <row r="17" spans="1:5" x14ac:dyDescent="0.35">
      <c r="A17" s="1" t="s">
        <v>76</v>
      </c>
      <c r="B17" s="44">
        <f>SUM(B15:B16)</f>
        <v>5185000</v>
      </c>
      <c r="C17" s="3">
        <f t="shared" ref="C17" si="1">SUM(C15:C16)</f>
        <v>1037</v>
      </c>
      <c r="D17" s="51">
        <f t="shared" ref="D17" si="2">SUM(D15:D16)</f>
        <v>0.75418181818181818</v>
      </c>
      <c r="E17" s="44">
        <f t="shared" ref="E17" si="3">SUM(E15:E16)</f>
        <v>103700</v>
      </c>
    </row>
    <row r="19" spans="1:5" x14ac:dyDescent="0.35">
      <c r="A19" t="s">
        <v>112</v>
      </c>
      <c r="B19" s="26" t="s">
        <v>122</v>
      </c>
    </row>
    <row r="20" spans="1:5" x14ac:dyDescent="0.35">
      <c r="A20" s="39" t="s">
        <v>113</v>
      </c>
      <c r="B20" s="39" t="s">
        <v>114</v>
      </c>
      <c r="C20" s="39" t="s">
        <v>115</v>
      </c>
      <c r="D20" s="48" t="s">
        <v>77</v>
      </c>
      <c r="E20" s="39" t="s">
        <v>116</v>
      </c>
    </row>
    <row r="21" spans="1:5" x14ac:dyDescent="0.35">
      <c r="A21" s="3" t="s">
        <v>8</v>
      </c>
      <c r="B21" s="46">
        <f>'PERHITNGAN BONUS'!C8*5000</f>
        <v>1710000</v>
      </c>
      <c r="C21" s="3">
        <f>'PERHITNGAN BONUS'!C8</f>
        <v>342</v>
      </c>
      <c r="D21" s="29">
        <f>(B21-$B$3)/$B$3+100%</f>
        <v>0.24872727272727269</v>
      </c>
      <c r="E21" s="46">
        <f>IF(B21&gt;=$B$3,C21&gt;=$B$4,B21*$B$5)</f>
        <v>34200</v>
      </c>
    </row>
    <row r="22" spans="1:5" x14ac:dyDescent="0.35">
      <c r="A22" s="3" t="s">
        <v>6</v>
      </c>
      <c r="B22" s="46">
        <f>'PERHITNGAN BONUS'!E8*5000</f>
        <v>1290000</v>
      </c>
      <c r="C22" s="3">
        <f>'PERHITNGAN BONUS'!E8</f>
        <v>258</v>
      </c>
      <c r="D22" s="29">
        <f>(B22-$B$3)/$B$3+100%</f>
        <v>0.1876363636363636</v>
      </c>
      <c r="E22" s="46">
        <f>IF(B22&gt;=$B$3,C22&gt;=$B$4,B22*$B$5)</f>
        <v>25800</v>
      </c>
    </row>
    <row r="23" spans="1:5" x14ac:dyDescent="0.35">
      <c r="A23" s="1" t="s">
        <v>76</v>
      </c>
      <c r="B23" s="44">
        <f>SUM(B21:B22)</f>
        <v>3000000</v>
      </c>
      <c r="C23" s="3">
        <f t="shared" ref="C23" si="4">SUM(C21:C22)</f>
        <v>600</v>
      </c>
      <c r="D23" s="51">
        <f t="shared" ref="D23" si="5">SUM(D21:D22)</f>
        <v>0.43636363636363629</v>
      </c>
      <c r="E23" s="44">
        <f t="shared" ref="E23" si="6">SUM(E21:E22)</f>
        <v>60000</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EGA</vt:lpstr>
      <vt:lpstr>GEFIRA</vt:lpstr>
      <vt:lpstr>EKI</vt:lpstr>
      <vt:lpstr>RADIT</vt:lpstr>
      <vt:lpstr>rumus</vt:lpstr>
      <vt:lpstr>RULES</vt:lpstr>
      <vt:lpstr>PERHITNGAN BONUS</vt:lpstr>
      <vt:lpstr>Sheet1</vt:lpstr>
      <vt:lpstr>BONUS APRL,MEI,JUN</vt:lpstr>
      <vt:lpstr>BONUS JULI,AUG,SEPT</vt:lpstr>
      <vt:lpstr>BONUS OKT,NOV,DES</vt:lpstr>
      <vt:lpstr>YANG INI UNTUK BONUS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deti fitriani</cp:lastModifiedBy>
  <dcterms:created xsi:type="dcterms:W3CDTF">2025-02-20T09:58:43Z</dcterms:created>
  <dcterms:modified xsi:type="dcterms:W3CDTF">2026-09-30T01:19:01Z</dcterms:modified>
</cp:coreProperties>
</file>