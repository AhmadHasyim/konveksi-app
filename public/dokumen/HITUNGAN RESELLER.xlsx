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7e17176d894b1ca2/Documents/File persiapan/"/>
    </mc:Choice>
  </mc:AlternateContent>
  <xr:revisionPtr revIDLastSave="920" documentId="8_{A61CC640-7C34-42B0-BB5D-EBA919A92BB0}" xr6:coauthVersionLast="47" xr6:coauthVersionMax="47" xr10:uidLastSave="{CF1AD5DC-8D31-4112-B7DF-6D1AAF4680B9}"/>
  <bookViews>
    <workbookView xWindow="-110" yWindow="-110" windowWidth="19420" windowHeight="10300" xr2:uid="{081CF48F-1405-4F1D-A036-8039A4B736E9}"/>
  </bookViews>
  <sheets>
    <sheet name="HOME" sheetId="6" r:id="rId1"/>
    <sheet name="JOING" sheetId="1" r:id="rId2"/>
    <sheet name="PAJIM" sheetId="2" r:id="rId3"/>
    <sheet name="RAJIL" sheetId="3" r:id="rId4"/>
    <sheet name="RANGGA" sheetId="4" r:id="rId5"/>
    <sheet name="REZA" sheetId="5" r:id="rId6"/>
  </sheets>
  <definedNames>
    <definedName name="Slicer_DAY">#N/A</definedName>
    <definedName name="Slicer_DAY1">#N/A</definedName>
    <definedName name="Slicer_DAY2">#N/A</definedName>
    <definedName name="Slicer_DAY3">#N/A</definedName>
    <definedName name="Slicer_DAY4">#N/A</definedName>
    <definedName name="Slicer_MONTH">#N/A</definedName>
    <definedName name="Slicer_MONTH1">#N/A</definedName>
    <definedName name="Slicer_MONTH2">#N/A</definedName>
    <definedName name="Slicer_MONTH3">#N/A</definedName>
    <definedName name="Slicer_MONTH4">#N/A</definedName>
  </definedNames>
  <calcPr calcId="191029"/>
  <pivotCaches>
    <pivotCache cacheId="9" r:id="rId7"/>
    <pivotCache cacheId="14" r:id="rId8"/>
    <pivotCache cacheId="19" r:id="rId9"/>
    <pivotCache cacheId="24" r:id="rId10"/>
    <pivotCache cacheId="29"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1" i="2" l="1"/>
  <c r="O32" i="2"/>
  <c r="O33" i="2"/>
  <c r="O34" i="2"/>
  <c r="O35" i="2"/>
  <c r="O36" i="2"/>
  <c r="O37" i="2"/>
  <c r="O38" i="2"/>
  <c r="O39" i="2"/>
  <c r="O40" i="2"/>
  <c r="O41" i="2"/>
  <c r="B31" i="2"/>
  <c r="C31" i="2"/>
  <c r="B32" i="2"/>
  <c r="C32" i="2"/>
  <c r="B33" i="2"/>
  <c r="C33" i="2"/>
  <c r="B34" i="2"/>
  <c r="C34" i="2"/>
  <c r="B35" i="2"/>
  <c r="C35" i="2"/>
  <c r="B36" i="2"/>
  <c r="C36" i="2"/>
  <c r="B37" i="2"/>
  <c r="C37" i="2"/>
  <c r="B38" i="2"/>
  <c r="C38" i="2"/>
  <c r="B39" i="2"/>
  <c r="C39" i="2"/>
  <c r="B40" i="2"/>
  <c r="C40" i="2"/>
  <c r="B41" i="2"/>
  <c r="C41" i="2"/>
  <c r="O48" i="4"/>
  <c r="O49" i="4"/>
  <c r="O50" i="4"/>
  <c r="O51" i="4"/>
  <c r="O52" i="4"/>
  <c r="O53" i="4"/>
  <c r="O54" i="4"/>
  <c r="O55" i="4"/>
  <c r="O56" i="4"/>
  <c r="O57" i="4"/>
  <c r="O58" i="4"/>
  <c r="O59" i="4"/>
  <c r="O60" i="4"/>
  <c r="B48" i="4"/>
  <c r="C48" i="4"/>
  <c r="B49" i="4"/>
  <c r="C49" i="4"/>
  <c r="B50" i="4"/>
  <c r="C50" i="4"/>
  <c r="B51" i="4"/>
  <c r="C51" i="4"/>
  <c r="B52" i="4"/>
  <c r="C52" i="4"/>
  <c r="B53" i="4"/>
  <c r="C53" i="4"/>
  <c r="B54" i="4"/>
  <c r="C54" i="4"/>
  <c r="B55" i="4"/>
  <c r="C55" i="4"/>
  <c r="B56" i="4"/>
  <c r="C56" i="4"/>
  <c r="B57" i="4"/>
  <c r="C57" i="4"/>
  <c r="B58" i="4"/>
  <c r="C58" i="4"/>
  <c r="B59" i="4"/>
  <c r="C59" i="4"/>
  <c r="O48" i="3"/>
  <c r="O49" i="3"/>
  <c r="O50" i="3"/>
  <c r="O51" i="3"/>
  <c r="O52" i="3"/>
  <c r="O53" i="3"/>
  <c r="O54" i="3"/>
  <c r="O55" i="3"/>
  <c r="O56" i="3"/>
  <c r="O57" i="3"/>
  <c r="B48" i="3"/>
  <c r="C48" i="3"/>
  <c r="B49" i="3"/>
  <c r="C49" i="3"/>
  <c r="B50" i="3"/>
  <c r="C50" i="3"/>
  <c r="B51" i="3"/>
  <c r="C51" i="3"/>
  <c r="B52" i="3"/>
  <c r="C52" i="3"/>
  <c r="B53" i="3"/>
  <c r="C53" i="3"/>
  <c r="B54" i="3"/>
  <c r="C54" i="3"/>
  <c r="B55" i="3"/>
  <c r="C55" i="3"/>
  <c r="B56" i="3"/>
  <c r="C56" i="3"/>
  <c r="B57" i="3"/>
  <c r="C57" i="3"/>
  <c r="M76" i="5"/>
  <c r="O34" i="5"/>
  <c r="G23" i="5"/>
  <c r="D23" i="5"/>
  <c r="O36" i="5"/>
  <c r="O37" i="5"/>
  <c r="O38" i="5"/>
  <c r="O39" i="5"/>
  <c r="O40" i="5"/>
  <c r="O41" i="5"/>
  <c r="O42" i="5"/>
  <c r="O43" i="5"/>
  <c r="O44" i="5"/>
  <c r="O45" i="5"/>
  <c r="O46" i="5"/>
  <c r="O47" i="5"/>
  <c r="O48" i="5"/>
  <c r="O49" i="5"/>
  <c r="O50" i="5"/>
  <c r="B48" i="5"/>
  <c r="C48" i="5"/>
  <c r="B49" i="5"/>
  <c r="C49" i="5"/>
  <c r="B50" i="5"/>
  <c r="C50" i="5"/>
  <c r="B36" i="5"/>
  <c r="C36" i="5"/>
  <c r="B37" i="5"/>
  <c r="C37" i="5"/>
  <c r="B38" i="5"/>
  <c r="C38" i="5"/>
  <c r="B39" i="5"/>
  <c r="C39" i="5"/>
  <c r="B40" i="5"/>
  <c r="C40" i="5"/>
  <c r="B41" i="5"/>
  <c r="C41" i="5"/>
  <c r="B42" i="5"/>
  <c r="C42" i="5"/>
  <c r="B43" i="5"/>
  <c r="C43" i="5"/>
  <c r="B44" i="5"/>
  <c r="C44" i="5"/>
  <c r="B45" i="5"/>
  <c r="C45" i="5"/>
  <c r="B46" i="5"/>
  <c r="C46" i="5"/>
  <c r="B47" i="5"/>
  <c r="C47" i="5"/>
  <c r="O41" i="4"/>
  <c r="O42" i="4"/>
  <c r="O43" i="4"/>
  <c r="O44" i="4"/>
  <c r="O45" i="4"/>
  <c r="O46" i="4"/>
  <c r="O47" i="4"/>
  <c r="O61" i="4"/>
  <c r="O62" i="4"/>
  <c r="B62" i="4"/>
  <c r="C62" i="4"/>
  <c r="B42" i="4"/>
  <c r="C42" i="4"/>
  <c r="B43" i="4"/>
  <c r="C43" i="4"/>
  <c r="B44" i="4"/>
  <c r="C44" i="4"/>
  <c r="B45" i="4"/>
  <c r="C45" i="4"/>
  <c r="B46" i="4"/>
  <c r="C46" i="4"/>
  <c r="B47" i="4"/>
  <c r="C47" i="4"/>
  <c r="B60" i="4"/>
  <c r="C60" i="4"/>
  <c r="B61" i="4"/>
  <c r="C61" i="4"/>
  <c r="B41" i="4"/>
  <c r="C41" i="4"/>
  <c r="O39" i="3"/>
  <c r="O40" i="3"/>
  <c r="O41" i="3"/>
  <c r="O42" i="3"/>
  <c r="O43" i="3"/>
  <c r="O44" i="3"/>
  <c r="O45" i="3"/>
  <c r="O46" i="3"/>
  <c r="O47" i="3"/>
  <c r="O58" i="3"/>
  <c r="O59" i="3"/>
  <c r="O60" i="3"/>
  <c r="O61" i="3"/>
  <c r="O62" i="3"/>
  <c r="O63" i="3"/>
  <c r="O64" i="3"/>
  <c r="B67" i="3"/>
  <c r="C67" i="3"/>
  <c r="B39" i="3"/>
  <c r="C39" i="3"/>
  <c r="B40" i="3"/>
  <c r="C40" i="3"/>
  <c r="B41" i="3"/>
  <c r="C41" i="3"/>
  <c r="B42" i="3"/>
  <c r="C42" i="3"/>
  <c r="B43" i="3"/>
  <c r="C43" i="3"/>
  <c r="B44" i="3"/>
  <c r="C44" i="3"/>
  <c r="B45" i="3"/>
  <c r="C45" i="3"/>
  <c r="B46" i="3"/>
  <c r="C46" i="3"/>
  <c r="B47" i="3"/>
  <c r="C47" i="3"/>
  <c r="O36" i="4"/>
  <c r="O37" i="4"/>
  <c r="O38" i="4"/>
  <c r="O39" i="4"/>
  <c r="O40" i="4"/>
  <c r="O63" i="4"/>
  <c r="O64" i="4"/>
  <c r="O65" i="4"/>
  <c r="O66" i="4"/>
  <c r="O67" i="4"/>
  <c r="B63" i="4"/>
  <c r="C63" i="4"/>
  <c r="B64" i="4"/>
  <c r="C64" i="4"/>
  <c r="B65" i="4"/>
  <c r="C65" i="4"/>
  <c r="B66" i="4"/>
  <c r="C66" i="4"/>
  <c r="B67" i="4"/>
  <c r="C67" i="4"/>
  <c r="B58" i="3"/>
  <c r="C58" i="3"/>
  <c r="B59" i="3"/>
  <c r="C59" i="3"/>
  <c r="B60" i="3"/>
  <c r="C60" i="3"/>
  <c r="B61" i="3"/>
  <c r="C61" i="3"/>
  <c r="B62" i="3"/>
  <c r="C62" i="3"/>
  <c r="B63" i="3"/>
  <c r="C63" i="3"/>
  <c r="B64" i="3"/>
  <c r="C64" i="3"/>
  <c r="B36" i="4"/>
  <c r="C36" i="4"/>
  <c r="B37" i="4"/>
  <c r="C37" i="4"/>
  <c r="B38" i="4"/>
  <c r="C38" i="4"/>
  <c r="B39" i="4"/>
  <c r="C39" i="4"/>
  <c r="B40" i="4"/>
  <c r="C40" i="4"/>
  <c r="C68" i="4"/>
  <c r="C69" i="4"/>
  <c r="I75" i="5"/>
  <c r="K75" i="5" s="1"/>
  <c r="I74" i="5"/>
  <c r="K74" i="5" s="1"/>
  <c r="I73" i="5"/>
  <c r="K73" i="5" s="1"/>
  <c r="M73" i="5" s="1"/>
  <c r="I71" i="5"/>
  <c r="G71" i="5" s="1"/>
  <c r="I70" i="5"/>
  <c r="G70" i="5" s="1"/>
  <c r="I69" i="5"/>
  <c r="G69" i="5" s="1"/>
  <c r="I68" i="5"/>
  <c r="G68" i="5" s="1"/>
  <c r="I67" i="5"/>
  <c r="G67" i="5" s="1"/>
  <c r="I66" i="5"/>
  <c r="G66" i="5" s="1"/>
  <c r="I65" i="5"/>
  <c r="G65" i="5" s="1"/>
  <c r="I64" i="5"/>
  <c r="G64" i="5" s="1"/>
  <c r="H62" i="5"/>
  <c r="O56" i="5"/>
  <c r="O55" i="5"/>
  <c r="C55" i="5"/>
  <c r="B55" i="5"/>
  <c r="O54" i="5"/>
  <c r="C54" i="5"/>
  <c r="B54" i="5"/>
  <c r="O53" i="5"/>
  <c r="C53" i="5"/>
  <c r="B53" i="5"/>
  <c r="O52" i="5"/>
  <c r="C52" i="5"/>
  <c r="B52" i="5"/>
  <c r="O51" i="5"/>
  <c r="C51" i="5"/>
  <c r="B51" i="5"/>
  <c r="O35" i="5"/>
  <c r="C35" i="5"/>
  <c r="B35" i="5"/>
  <c r="C34" i="5"/>
  <c r="B34" i="5"/>
  <c r="O33" i="5"/>
  <c r="C33" i="5"/>
  <c r="B33" i="5"/>
  <c r="O32" i="5"/>
  <c r="C32" i="5"/>
  <c r="B32" i="5"/>
  <c r="O31" i="5"/>
  <c r="C31" i="5"/>
  <c r="B31" i="5"/>
  <c r="C30" i="5"/>
  <c r="B30" i="5"/>
  <c r="O29" i="5"/>
  <c r="C29" i="5"/>
  <c r="B29" i="5"/>
  <c r="O28" i="5"/>
  <c r="C28" i="5"/>
  <c r="B28" i="5"/>
  <c r="N23" i="5"/>
  <c r="M23" i="5"/>
  <c r="L23" i="5"/>
  <c r="J23" i="5"/>
  <c r="I23" i="5"/>
  <c r="H23" i="5"/>
  <c r="F23" i="5"/>
  <c r="E23" i="5"/>
  <c r="I92" i="4"/>
  <c r="K92" i="4" s="1"/>
  <c r="I91" i="4"/>
  <c r="K91" i="4" s="1"/>
  <c r="I90" i="4"/>
  <c r="K90" i="4" s="1"/>
  <c r="M90" i="4" s="1"/>
  <c r="M93" i="4" s="1"/>
  <c r="I88" i="4"/>
  <c r="G88" i="4" s="1"/>
  <c r="I87" i="4"/>
  <c r="G87" i="4" s="1"/>
  <c r="I86" i="4"/>
  <c r="G86" i="4" s="1"/>
  <c r="I85" i="4"/>
  <c r="G85" i="4" s="1"/>
  <c r="I84" i="4"/>
  <c r="G84" i="4" s="1"/>
  <c r="I83" i="4"/>
  <c r="G83" i="4" s="1"/>
  <c r="I82" i="4"/>
  <c r="G82" i="4" s="1"/>
  <c r="I81" i="4"/>
  <c r="G81" i="4" s="1"/>
  <c r="H79" i="4"/>
  <c r="O73" i="4"/>
  <c r="O72" i="4"/>
  <c r="C72" i="4"/>
  <c r="B72" i="4"/>
  <c r="O71" i="4"/>
  <c r="C71" i="4"/>
  <c r="B71" i="4"/>
  <c r="O70" i="4"/>
  <c r="C70" i="4"/>
  <c r="B70" i="4"/>
  <c r="O69" i="4"/>
  <c r="B69" i="4"/>
  <c r="O68" i="4"/>
  <c r="B68" i="4"/>
  <c r="O35" i="4"/>
  <c r="C35" i="4"/>
  <c r="B35" i="4"/>
  <c r="O34" i="4"/>
  <c r="C34" i="4"/>
  <c r="B34" i="4"/>
  <c r="O33" i="4"/>
  <c r="C33" i="4"/>
  <c r="B33" i="4"/>
  <c r="O32" i="4"/>
  <c r="C32" i="4"/>
  <c r="B32" i="4"/>
  <c r="O31" i="4"/>
  <c r="C31" i="4"/>
  <c r="B31" i="4"/>
  <c r="O30" i="4"/>
  <c r="C30" i="4"/>
  <c r="B30" i="4"/>
  <c r="O29" i="4"/>
  <c r="C29" i="4"/>
  <c r="B29" i="4"/>
  <c r="O28" i="4"/>
  <c r="C28" i="4"/>
  <c r="B28" i="4"/>
  <c r="N23" i="4"/>
  <c r="M23" i="4"/>
  <c r="L23" i="4"/>
  <c r="K23" i="4"/>
  <c r="J23" i="4"/>
  <c r="I23" i="4"/>
  <c r="H23" i="4"/>
  <c r="G23" i="4"/>
  <c r="F23" i="4"/>
  <c r="E23" i="4"/>
  <c r="D23" i="4"/>
  <c r="I86" i="3"/>
  <c r="G86" i="3" s="1"/>
  <c r="I85" i="3"/>
  <c r="K85" i="3" s="1"/>
  <c r="I84" i="3"/>
  <c r="K84" i="3" s="1"/>
  <c r="M84" i="3" s="1"/>
  <c r="M87" i="3" s="1"/>
  <c r="I82" i="3"/>
  <c r="G82" i="3" s="1"/>
  <c r="I81" i="3"/>
  <c r="G81" i="3" s="1"/>
  <c r="I80" i="3"/>
  <c r="G80" i="3" s="1"/>
  <c r="I79" i="3"/>
  <c r="G79" i="3" s="1"/>
  <c r="I78" i="3"/>
  <c r="G78" i="3" s="1"/>
  <c r="I77" i="3"/>
  <c r="G77" i="3" s="1"/>
  <c r="I76" i="3"/>
  <c r="G76" i="3" s="1"/>
  <c r="I75" i="3"/>
  <c r="G75" i="3" s="1"/>
  <c r="H73" i="3"/>
  <c r="O67" i="3"/>
  <c r="O66" i="3"/>
  <c r="C66" i="3"/>
  <c r="B66" i="3"/>
  <c r="O65" i="3"/>
  <c r="C65" i="3"/>
  <c r="B65" i="3"/>
  <c r="O38" i="3"/>
  <c r="C38" i="3"/>
  <c r="B38" i="3"/>
  <c r="O37" i="3"/>
  <c r="C37" i="3"/>
  <c r="B37" i="3"/>
  <c r="O36" i="3"/>
  <c r="C36" i="3"/>
  <c r="B36" i="3"/>
  <c r="O35" i="3"/>
  <c r="C35" i="3"/>
  <c r="B35" i="3"/>
  <c r="O34" i="3"/>
  <c r="C34" i="3"/>
  <c r="B34" i="3"/>
  <c r="O33" i="3"/>
  <c r="C33" i="3"/>
  <c r="B33" i="3"/>
  <c r="O32" i="3"/>
  <c r="C32" i="3"/>
  <c r="B32" i="3"/>
  <c r="O31" i="3"/>
  <c r="C31" i="3"/>
  <c r="B31" i="3"/>
  <c r="O30" i="3"/>
  <c r="C30" i="3"/>
  <c r="B30" i="3"/>
  <c r="O29" i="3"/>
  <c r="C29" i="3"/>
  <c r="B29" i="3"/>
  <c r="O28" i="3"/>
  <c r="C28" i="3"/>
  <c r="B28" i="3"/>
  <c r="N23" i="3"/>
  <c r="M23" i="3"/>
  <c r="L23" i="3"/>
  <c r="K23" i="3"/>
  <c r="J23" i="3"/>
  <c r="I23" i="3"/>
  <c r="H23" i="3"/>
  <c r="G23" i="3"/>
  <c r="F23" i="3"/>
  <c r="E23" i="3"/>
  <c r="D23" i="3"/>
  <c r="I70" i="2"/>
  <c r="K70" i="2" s="1"/>
  <c r="I69" i="2"/>
  <c r="K69" i="2" s="1"/>
  <c r="I68" i="2"/>
  <c r="K68" i="2" s="1"/>
  <c r="M68" i="2" s="1"/>
  <c r="M71" i="2" s="1"/>
  <c r="I66" i="2"/>
  <c r="K66" i="2" s="1"/>
  <c r="I65" i="2"/>
  <c r="K65" i="2" s="1"/>
  <c r="M65" i="2" s="1"/>
  <c r="I64" i="2"/>
  <c r="G64" i="2" s="1"/>
  <c r="I63" i="2"/>
  <c r="K63" i="2" s="1"/>
  <c r="M63" i="2" s="1"/>
  <c r="I62" i="2"/>
  <c r="K62" i="2" s="1"/>
  <c r="I61" i="2"/>
  <c r="G61" i="2" s="1"/>
  <c r="I60" i="2"/>
  <c r="G60" i="2" s="1"/>
  <c r="I59" i="2"/>
  <c r="K59" i="2" s="1"/>
  <c r="M59" i="2" s="1"/>
  <c r="H57" i="2"/>
  <c r="O51" i="2"/>
  <c r="O50" i="2"/>
  <c r="C50" i="2"/>
  <c r="B50" i="2"/>
  <c r="O49" i="2"/>
  <c r="C49" i="2"/>
  <c r="B49" i="2"/>
  <c r="O48" i="2"/>
  <c r="C48" i="2"/>
  <c r="B48" i="2"/>
  <c r="O47" i="2"/>
  <c r="C47" i="2"/>
  <c r="B47" i="2"/>
  <c r="O46" i="2"/>
  <c r="C46" i="2"/>
  <c r="B46" i="2"/>
  <c r="O45" i="2"/>
  <c r="C45" i="2"/>
  <c r="B45" i="2"/>
  <c r="O44" i="2"/>
  <c r="C44" i="2"/>
  <c r="B44" i="2"/>
  <c r="O43" i="2"/>
  <c r="C43" i="2"/>
  <c r="B43" i="2"/>
  <c r="O42" i="2"/>
  <c r="C42" i="2"/>
  <c r="B42" i="2"/>
  <c r="O30" i="2"/>
  <c r="C30" i="2"/>
  <c r="B30" i="2"/>
  <c r="O29" i="2"/>
  <c r="C29" i="2"/>
  <c r="B29" i="2"/>
  <c r="O28" i="2"/>
  <c r="C28" i="2"/>
  <c r="B28" i="2"/>
  <c r="N23" i="2"/>
  <c r="M23" i="2"/>
  <c r="L23" i="2"/>
  <c r="K23" i="2"/>
  <c r="J23" i="2"/>
  <c r="I23" i="2"/>
  <c r="H23" i="2"/>
  <c r="G23" i="2"/>
  <c r="F23" i="2"/>
  <c r="E23" i="2"/>
  <c r="D23" i="2"/>
  <c r="M75" i="5" l="1"/>
  <c r="M74" i="5"/>
  <c r="K23" i="5"/>
  <c r="B23" i="5" s="1"/>
  <c r="O30" i="5"/>
  <c r="O23" i="3"/>
  <c r="B23" i="2"/>
  <c r="E4" i="2" s="1"/>
  <c r="G85" i="3"/>
  <c r="B23" i="3"/>
  <c r="E4" i="3" s="1"/>
  <c r="G70" i="2"/>
  <c r="K71" i="5"/>
  <c r="M71" i="5" s="1"/>
  <c r="G59" i="2"/>
  <c r="G65" i="2"/>
  <c r="B23" i="4"/>
  <c r="E4" i="4" s="1"/>
  <c r="M64" i="5"/>
  <c r="K65" i="5"/>
  <c r="M65" i="5" s="1"/>
  <c r="K75" i="3"/>
  <c r="M75" i="3" s="1"/>
  <c r="K66" i="5"/>
  <c r="M66" i="5" s="1"/>
  <c r="K67" i="5"/>
  <c r="M67" i="5" s="1"/>
  <c r="K70" i="5"/>
  <c r="M70" i="5" s="1"/>
  <c r="G66" i="2"/>
  <c r="G73" i="5"/>
  <c r="G92" i="4"/>
  <c r="G63" i="2"/>
  <c r="G74" i="5"/>
  <c r="K86" i="3"/>
  <c r="G62" i="2"/>
  <c r="G90" i="4"/>
  <c r="K77" i="3"/>
  <c r="M77" i="3" s="1"/>
  <c r="K61" i="2"/>
  <c r="M61" i="2" s="1"/>
  <c r="K79" i="3"/>
  <c r="M79" i="3" s="1"/>
  <c r="G91" i="4"/>
  <c r="G75" i="5"/>
  <c r="K81" i="3"/>
  <c r="M81" i="3" s="1"/>
  <c r="G69" i="2"/>
  <c r="K68" i="5"/>
  <c r="M68" i="5" s="1"/>
  <c r="K69" i="5"/>
  <c r="M69" i="5" s="1"/>
  <c r="K84" i="4"/>
  <c r="M84" i="4" s="1"/>
  <c r="K88" i="4"/>
  <c r="M88" i="4" s="1"/>
  <c r="K86" i="4"/>
  <c r="M86" i="4" s="1"/>
  <c r="K81" i="4"/>
  <c r="M81" i="4" s="1"/>
  <c r="K83" i="4"/>
  <c r="M83" i="4" s="1"/>
  <c r="K85" i="4"/>
  <c r="M85" i="4" s="1"/>
  <c r="K87" i="4"/>
  <c r="M87" i="4" s="1"/>
  <c r="K82" i="4"/>
  <c r="M82" i="4" s="1"/>
  <c r="K80" i="3"/>
  <c r="M80" i="3" s="1"/>
  <c r="K76" i="3"/>
  <c r="M76" i="3" s="1"/>
  <c r="K78" i="3"/>
  <c r="M78" i="3" s="1"/>
  <c r="K82" i="3"/>
  <c r="M82" i="3" s="1"/>
  <c r="G84" i="3"/>
  <c r="G68" i="2"/>
  <c r="K60" i="2"/>
  <c r="M60" i="2" s="1"/>
  <c r="K64" i="2"/>
  <c r="M64" i="2" s="1"/>
  <c r="M62" i="2"/>
  <c r="M66" i="2"/>
  <c r="M77" i="5" l="1"/>
  <c r="E4" i="5"/>
  <c r="M72" i="5"/>
  <c r="M89" i="4"/>
  <c r="M95" i="4" s="1"/>
  <c r="M83" i="3"/>
  <c r="M89" i="3" s="1"/>
  <c r="M67" i="2"/>
  <c r="M73" i="2" s="1"/>
  <c r="M79" i="5" l="1"/>
  <c r="I55" i="1"/>
  <c r="G55" i="1" s="1"/>
  <c r="O41" i="1"/>
  <c r="O29" i="1"/>
  <c r="O30" i="1"/>
  <c r="O31" i="1"/>
  <c r="O32" i="1"/>
  <c r="O33" i="1"/>
  <c r="O34" i="1"/>
  <c r="O35" i="1"/>
  <c r="O36" i="1"/>
  <c r="O37" i="1"/>
  <c r="O38" i="1"/>
  <c r="O39" i="1"/>
  <c r="O40" i="1"/>
  <c r="O28" i="1"/>
  <c r="B29" i="1"/>
  <c r="C29" i="1"/>
  <c r="B30" i="1"/>
  <c r="C30" i="1"/>
  <c r="B31" i="1"/>
  <c r="C31" i="1"/>
  <c r="B32" i="1"/>
  <c r="C32" i="1"/>
  <c r="B33" i="1"/>
  <c r="C33" i="1"/>
  <c r="B34" i="1"/>
  <c r="C34" i="1"/>
  <c r="B35" i="1"/>
  <c r="C35" i="1"/>
  <c r="B36" i="1"/>
  <c r="C36" i="1"/>
  <c r="B37" i="1"/>
  <c r="C37" i="1"/>
  <c r="B38" i="1"/>
  <c r="C38" i="1"/>
  <c r="B39" i="1"/>
  <c r="C39" i="1"/>
  <c r="B40" i="1"/>
  <c r="C40" i="1"/>
  <c r="I60" i="1"/>
  <c r="G60" i="1" s="1"/>
  <c r="I59" i="1"/>
  <c r="K59" i="1" s="1"/>
  <c r="I58" i="1"/>
  <c r="I56" i="1"/>
  <c r="G56" i="1" s="1"/>
  <c r="I54" i="1"/>
  <c r="G54" i="1" s="1"/>
  <c r="I53" i="1"/>
  <c r="G53" i="1" s="1"/>
  <c r="I52" i="1"/>
  <c r="G52" i="1" s="1"/>
  <c r="I51" i="1"/>
  <c r="G51" i="1" s="1"/>
  <c r="I50" i="1"/>
  <c r="G50" i="1" s="1"/>
  <c r="I49" i="1"/>
  <c r="G49" i="1" s="1"/>
  <c r="H47" i="1"/>
  <c r="L23" i="1"/>
  <c r="M23" i="1"/>
  <c r="N23" i="1"/>
  <c r="E23" i="1"/>
  <c r="F23" i="1"/>
  <c r="G23" i="1"/>
  <c r="H23" i="1"/>
  <c r="I23" i="1"/>
  <c r="J23" i="1"/>
  <c r="K23" i="1"/>
  <c r="D23" i="1"/>
  <c r="C28" i="1"/>
  <c r="B28" i="1"/>
  <c r="G58" i="1" l="1"/>
  <c r="K58" i="1"/>
  <c r="M58" i="1" s="1"/>
  <c r="M61" i="1" s="1"/>
  <c r="K60" i="1"/>
  <c r="G59" i="1"/>
  <c r="K49" i="1"/>
  <c r="M49" i="1" s="1"/>
  <c r="K51" i="1"/>
  <c r="M51" i="1" s="1"/>
  <c r="K53" i="1"/>
  <c r="M53" i="1" s="1"/>
  <c r="K55" i="1"/>
  <c r="M55" i="1" s="1"/>
  <c r="K50" i="1"/>
  <c r="M50" i="1" s="1"/>
  <c r="K52" i="1"/>
  <c r="M52" i="1" s="1"/>
  <c r="K54" i="1"/>
  <c r="M54" i="1" s="1"/>
  <c r="K56" i="1"/>
  <c r="M56" i="1" s="1"/>
  <c r="B23" i="1"/>
  <c r="E4" i="1" s="1"/>
  <c r="M57" i="1" l="1"/>
  <c r="M63" i="1" s="1"/>
</calcChain>
</file>

<file path=xl/sharedStrings.xml><?xml version="1.0" encoding="utf-8"?>
<sst xmlns="http://schemas.openxmlformats.org/spreadsheetml/2006/main" count="380" uniqueCount="48">
  <si>
    <t>DAY</t>
  </si>
  <si>
    <t>WEEK</t>
  </si>
  <si>
    <t>MONTH</t>
  </si>
  <si>
    <t>GOTIK DUYUNG</t>
  </si>
  <si>
    <t>GOTIK PLISKET</t>
  </si>
  <si>
    <t>SLAYER DUYUNG</t>
  </si>
  <si>
    <t>SLAYER PLISKET</t>
  </si>
  <si>
    <t>ROK PLISKET</t>
  </si>
  <si>
    <t>ATASAN GOTIK</t>
  </si>
  <si>
    <t>ATASAN SLAYER</t>
  </si>
  <si>
    <t>KUTUBARU</t>
  </si>
  <si>
    <t>NAMA RESELLER</t>
  </si>
  <si>
    <t>JOING</t>
  </si>
  <si>
    <t>NAMA RESELLER :</t>
  </si>
  <si>
    <t>PLASTIK PACKING</t>
  </si>
  <si>
    <t>INDAH</t>
  </si>
  <si>
    <t>MAYANG</t>
  </si>
  <si>
    <t>HARGA</t>
  </si>
  <si>
    <t>TOTAL</t>
  </si>
  <si>
    <t>SISA PIUTANG :</t>
  </si>
  <si>
    <t>Sum of GOTIK DUYUNG</t>
  </si>
  <si>
    <t>Sum of GOTIK PLISKET</t>
  </si>
  <si>
    <t>Sum of SLAYER DUYUNG</t>
  </si>
  <si>
    <t>Sum of SLAYER PLISKET</t>
  </si>
  <si>
    <t>Sum of ATASAN GOTIK</t>
  </si>
  <si>
    <t>Sum of PLASTIK PACKING</t>
  </si>
  <si>
    <t>PERIODE</t>
  </si>
  <si>
    <t>:</t>
  </si>
  <si>
    <t>-</t>
  </si>
  <si>
    <t>NAMA PRODUK</t>
  </si>
  <si>
    <t>x</t>
  </si>
  <si>
    <t>=</t>
  </si>
  <si>
    <t>tambahan</t>
  </si>
  <si>
    <t>GRAND TOTAL :</t>
  </si>
  <si>
    <t>Sum of ROK PLISKET</t>
  </si>
  <si>
    <t>Sum of ATASAN SLAYER</t>
  </si>
  <si>
    <t>Sum of KUTUBARU</t>
  </si>
  <si>
    <t>Sum of INDAH</t>
  </si>
  <si>
    <t>Sum of MAYANG</t>
  </si>
  <si>
    <t>KETERANGAN</t>
  </si>
  <si>
    <t>PIUTANG</t>
  </si>
  <si>
    <t>BAYAR</t>
  </si>
  <si>
    <t>REZA</t>
  </si>
  <si>
    <t>RANGGA</t>
  </si>
  <si>
    <t>RAJIL</t>
  </si>
  <si>
    <t>PAJIM</t>
  </si>
  <si>
    <t>RESELLER KEBAYA AUTHENTIC BANDUNG</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</si>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</sst>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p&quot;* #,##0.00_-;\-&quot;Rp&quot;* #,##0.00_-;_-&quot;Rp&quot;* &quot;-&quot;??_-;_-@_-"/>
    <numFmt numFmtId="43" formatCode="_-* #,##0.00_-;\-* #,##0.00_-;_-* &quot;-&quot;??_-;_-@_-"/>
    <numFmt numFmtId="164" formatCode="_-* #,##0_-;\-* #,##0_-;_-* &quot;-&quot;??_-;_-@_-"/>
    <numFmt numFmtId="165" formatCode="_-&quot;Rp&quot;* #,##0_-;\-&quot;Rp&quot;* #,##0_-;_-&quot;Rp&quot;*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u/>
      <sz val="20"/>
      <color theme="1"/>
      <name val="Calibri"/>
      <family val="2"/>
      <scheme val="minor"/>
    </font>
    <font>
      <b/>
      <sz val="12"/>
      <color rgb="FFFF0000"/>
      <name val="Calibri"/>
      <family val="2"/>
      <scheme val="minor"/>
    </font>
    <font>
      <b/>
      <sz val="11"/>
      <color rgb="FFFF0000"/>
      <name val="Calibri"/>
      <family val="2"/>
      <scheme val="minor"/>
    </font>
    <font>
      <b/>
      <sz val="14"/>
      <color rgb="FFFF0000"/>
      <name val="Calibri"/>
      <family val="2"/>
      <scheme val="minor"/>
    </font>
    <font>
      <b/>
      <u val="singleAccounting"/>
      <sz val="16"/>
      <color rgb="FFFF0000"/>
      <name val="Calibri"/>
      <family val="2"/>
      <scheme val="minor"/>
    </font>
    <font>
      <b/>
      <u val="singleAccounting"/>
      <sz val="11"/>
      <color rgb="FFFF0000"/>
      <name val="Calibri"/>
      <family val="2"/>
      <scheme val="minor"/>
    </font>
    <font>
      <b/>
      <sz val="14"/>
      <color theme="1"/>
      <name val="Calibri"/>
      <family val="2"/>
      <scheme val="minor"/>
    </font>
    <font>
      <b/>
      <sz val="18"/>
      <color rgb="FFFF0000"/>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71">
    <xf numFmtId="0" fontId="0" fillId="0" borderId="0" xfId="0"/>
    <xf numFmtId="0" fontId="2" fillId="0" borderId="1" xfId="0" applyFont="1" applyBorder="1" applyAlignment="1">
      <alignment horizontal="center"/>
    </xf>
    <xf numFmtId="0" fontId="0" fillId="0" borderId="0" xfId="0" applyAlignment="1">
      <alignment horizontal="center"/>
    </xf>
    <xf numFmtId="0" fontId="2" fillId="0" borderId="0" xfId="0" applyFont="1" applyAlignment="1">
      <alignment horizontal="center" vertical="center"/>
    </xf>
    <xf numFmtId="0" fontId="0" fillId="0" borderId="1" xfId="0"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14" fontId="0" fillId="0" borderId="1" xfId="0" applyNumberFormat="1" applyBorder="1" applyAlignment="1">
      <alignment horizontal="center"/>
    </xf>
    <xf numFmtId="164" fontId="5" fillId="0" borderId="0" xfId="0" applyNumberFormat="1" applyFont="1" applyAlignment="1">
      <alignment horizontal="left" vertical="center"/>
    </xf>
    <xf numFmtId="164" fontId="0" fillId="6" borderId="3" xfId="1" applyNumberFormat="1" applyFont="1" applyFill="1" applyBorder="1" applyAlignment="1">
      <alignment vertical="top"/>
    </xf>
    <xf numFmtId="0" fontId="0" fillId="6" borderId="3" xfId="0" applyFill="1" applyBorder="1"/>
    <xf numFmtId="0" fontId="0" fillId="6" borderId="0" xfId="0" applyFill="1"/>
    <xf numFmtId="164" fontId="0" fillId="0" borderId="0" xfId="1" applyNumberFormat="1" applyFont="1" applyFill="1" applyBorder="1" applyAlignment="1">
      <alignment vertical="top"/>
    </xf>
    <xf numFmtId="0" fontId="0" fillId="0" borderId="2" xfId="0" applyBorder="1"/>
    <xf numFmtId="0" fontId="2" fillId="0" borderId="0" xfId="0" applyFont="1" applyAlignment="1">
      <alignment horizontal="center"/>
    </xf>
    <xf numFmtId="164" fontId="8" fillId="0" borderId="0" xfId="0" applyNumberFormat="1" applyFont="1" applyAlignment="1">
      <alignment vertical="center"/>
    </xf>
    <xf numFmtId="164" fontId="8" fillId="0" borderId="0" xfId="0" applyNumberFormat="1" applyFont="1" applyAlignment="1">
      <alignment horizontal="center" vertical="center"/>
    </xf>
    <xf numFmtId="0" fontId="2" fillId="7" borderId="1" xfId="0" applyFont="1" applyFill="1" applyBorder="1" applyAlignment="1">
      <alignment horizontal="center" vertical="center"/>
    </xf>
    <xf numFmtId="14" fontId="2" fillId="0" borderId="1" xfId="0" applyNumberFormat="1" applyFont="1" applyBorder="1" applyAlignment="1">
      <alignment horizontal="center" vertical="center"/>
    </xf>
    <xf numFmtId="165" fontId="2" fillId="0" borderId="0" xfId="0" applyNumberFormat="1" applyFont="1" applyAlignment="1">
      <alignment horizontal="center" vertical="center"/>
    </xf>
    <xf numFmtId="165" fontId="2" fillId="7" borderId="1" xfId="0" applyNumberFormat="1" applyFont="1" applyFill="1" applyBorder="1" applyAlignment="1">
      <alignment horizontal="center" vertical="center"/>
    </xf>
    <xf numFmtId="165" fontId="2"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0" fontId="2" fillId="8" borderId="4" xfId="0" applyFont="1" applyFill="1" applyBorder="1"/>
    <xf numFmtId="0" fontId="0" fillId="8" borderId="5" xfId="0" applyFill="1" applyBorder="1"/>
    <xf numFmtId="16" fontId="0" fillId="8" borderId="5" xfId="0" applyNumberFormat="1" applyFill="1" applyBorder="1"/>
    <xf numFmtId="0" fontId="0" fillId="8" borderId="5" xfId="0" quotePrefix="1" applyFill="1" applyBorder="1"/>
    <xf numFmtId="16" fontId="0" fillId="8" borderId="5" xfId="0" applyNumberFormat="1" applyFill="1" applyBorder="1" applyAlignment="1">
      <alignment horizontal="left"/>
    </xf>
    <xf numFmtId="0" fontId="0" fillId="8" borderId="6" xfId="0" applyFill="1" applyBorder="1"/>
    <xf numFmtId="0" fontId="2" fillId="8" borderId="7" xfId="0" applyFont="1" applyFill="1" applyBorder="1"/>
    <xf numFmtId="0" fontId="0" fillId="8" borderId="0" xfId="0" applyFill="1"/>
    <xf numFmtId="0" fontId="0" fillId="8" borderId="8" xfId="0" applyFill="1" applyBorder="1"/>
    <xf numFmtId="0" fontId="0" fillId="8" borderId="7" xfId="0" applyFill="1" applyBorder="1" applyAlignment="1">
      <alignment horizontal="right"/>
    </xf>
    <xf numFmtId="165" fontId="0" fillId="8" borderId="8" xfId="0" applyNumberFormat="1" applyFill="1" applyBorder="1"/>
    <xf numFmtId="165" fontId="0" fillId="8" borderId="9" xfId="0" applyNumberFormat="1" applyFill="1" applyBorder="1"/>
    <xf numFmtId="165" fontId="6" fillId="8" borderId="8" xfId="0" applyNumberFormat="1" applyFont="1" applyFill="1" applyBorder="1"/>
    <xf numFmtId="0" fontId="0" fillId="8" borderId="10" xfId="0" applyFill="1" applyBorder="1"/>
    <xf numFmtId="0" fontId="0" fillId="8" borderId="11" xfId="0" applyFill="1" applyBorder="1"/>
    <xf numFmtId="165" fontId="0" fillId="8" borderId="11" xfId="0" applyNumberFormat="1" applyFill="1" applyBorder="1"/>
    <xf numFmtId="0" fontId="0" fillId="8" borderId="9" xfId="0" applyFill="1" applyBorder="1"/>
    <xf numFmtId="0" fontId="2" fillId="8" borderId="0" xfId="0" applyFont="1" applyFill="1" applyAlignment="1">
      <alignment horizontal="left"/>
    </xf>
    <xf numFmtId="44" fontId="0" fillId="8" borderId="0" xfId="0" applyNumberFormat="1" applyFill="1" applyAlignment="1">
      <alignment horizontal="left"/>
    </xf>
    <xf numFmtId="0" fontId="2" fillId="3" borderId="1" xfId="0" applyFont="1" applyFill="1" applyBorder="1" applyAlignment="1">
      <alignment horizontal="center" wrapText="1"/>
    </xf>
    <xf numFmtId="0" fontId="0" fillId="5" borderId="1" xfId="0" applyFill="1" applyBorder="1" applyAlignment="1">
      <alignment horizontal="center" wrapText="1"/>
    </xf>
    <xf numFmtId="0" fontId="0" fillId="8" borderId="7" xfId="0" applyFill="1" applyBorder="1"/>
    <xf numFmtId="165" fontId="2" fillId="8" borderId="8" xfId="0" applyNumberFormat="1" applyFont="1" applyFill="1" applyBorder="1"/>
    <xf numFmtId="165" fontId="9" fillId="8" borderId="9" xfId="0" applyNumberFormat="1" applyFont="1" applyFill="1" applyBorder="1"/>
    <xf numFmtId="0" fontId="0" fillId="5" borderId="0" xfId="0" applyFill="1" applyAlignment="1">
      <alignment horizontal="center" wrapText="1"/>
    </xf>
    <xf numFmtId="164" fontId="2" fillId="7" borderId="1" xfId="0" applyNumberFormat="1" applyFont="1" applyFill="1" applyBorder="1" applyAlignment="1">
      <alignment horizontal="center" vertical="center"/>
    </xf>
    <xf numFmtId="0" fontId="0" fillId="9" borderId="12" xfId="0" applyFill="1" applyBorder="1"/>
    <xf numFmtId="0" fontId="0" fillId="9" borderId="1" xfId="0" applyFill="1" applyBorder="1"/>
    <xf numFmtId="164" fontId="12" fillId="0" borderId="1" xfId="0" applyNumberFormat="1" applyFont="1" applyBorder="1" applyAlignment="1">
      <alignment horizontal="center" vertical="center"/>
    </xf>
    <xf numFmtId="0" fontId="12" fillId="0" borderId="1" xfId="0" applyFont="1" applyBorder="1" applyAlignment="1">
      <alignment horizontal="center"/>
    </xf>
    <xf numFmtId="164" fontId="13" fillId="0" borderId="1" xfId="0" applyNumberFormat="1" applyFont="1" applyBorder="1" applyAlignment="1">
      <alignment horizontal="center" vertical="center"/>
    </xf>
    <xf numFmtId="164" fontId="0" fillId="0" borderId="0" xfId="0" applyNumberFormat="1"/>
    <xf numFmtId="0" fontId="0" fillId="2" borderId="1" xfId="0" applyFill="1" applyBorder="1" applyAlignment="1">
      <alignment horizontal="center"/>
    </xf>
    <xf numFmtId="165" fontId="0" fillId="8" borderId="0" xfId="0" applyNumberFormat="1" applyFill="1"/>
    <xf numFmtId="0" fontId="2" fillId="8" borderId="11" xfId="0" applyFont="1" applyFill="1" applyBorder="1" applyAlignment="1">
      <alignment horizontal="left"/>
    </xf>
    <xf numFmtId="0" fontId="0" fillId="8" borderId="11" xfId="0" applyFill="1" applyBorder="1" applyAlignment="1">
      <alignment horizontal="left"/>
    </xf>
    <xf numFmtId="14" fontId="0" fillId="2" borderId="1" xfId="0" applyNumberFormat="1" applyFill="1" applyBorder="1" applyAlignment="1">
      <alignment horizontal="center"/>
    </xf>
    <xf numFmtId="0" fontId="10" fillId="8" borderId="0" xfId="0" applyFont="1" applyFill="1" applyAlignment="1">
      <alignment horizontal="center" vertical="center"/>
    </xf>
    <xf numFmtId="165" fontId="11" fillId="8" borderId="8" xfId="0" applyNumberFormat="1" applyFont="1" applyFill="1" applyBorder="1" applyAlignment="1">
      <alignment horizontal="left" vertical="center"/>
    </xf>
    <xf numFmtId="0" fontId="2" fillId="4" borderId="0" xfId="0" applyFont="1" applyFill="1" applyAlignment="1">
      <alignment horizontal="center" vertical="center"/>
    </xf>
    <xf numFmtId="0" fontId="4" fillId="4" borderId="0" xfId="0" applyFont="1" applyFill="1" applyAlignment="1">
      <alignment horizontal="center" vertical="center"/>
    </xf>
    <xf numFmtId="0" fontId="2" fillId="0" borderId="0" xfId="0" applyFont="1" applyAlignment="1">
      <alignment horizontal="center" vertical="center"/>
    </xf>
    <xf numFmtId="165" fontId="8" fillId="0" borderId="0" xfId="0" applyNumberFormat="1" applyFont="1" applyAlignment="1">
      <alignment horizontal="center" vertical="center"/>
    </xf>
    <xf numFmtId="164" fontId="7" fillId="0" borderId="0" xfId="0" applyNumberFormat="1" applyFont="1" applyAlignment="1">
      <alignment horizontal="center" vertical="center"/>
    </xf>
    <xf numFmtId="0" fontId="7" fillId="0" borderId="0" xfId="0" applyFont="1" applyAlignment="1">
      <alignment horizontal="center" vertical="center"/>
    </xf>
    <xf numFmtId="0" fontId="2" fillId="2" borderId="0" xfId="0" applyFont="1" applyFill="1" applyAlignment="1">
      <alignment horizontal="center"/>
    </xf>
    <xf numFmtId="0" fontId="14" fillId="2"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pivotCacheDefinition" Target="pivotCache/pivotCacheDefinition4.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RANGGA!A1"/><Relationship Id="rId2" Type="http://schemas.openxmlformats.org/officeDocument/2006/relationships/hyperlink" Target="#REZA!A1"/><Relationship Id="rId1" Type="http://schemas.openxmlformats.org/officeDocument/2006/relationships/hyperlink" Target="#JOING!A1"/><Relationship Id="rId5" Type="http://schemas.openxmlformats.org/officeDocument/2006/relationships/hyperlink" Target="#PAJIM!A1"/><Relationship Id="rId4" Type="http://schemas.openxmlformats.org/officeDocument/2006/relationships/hyperlink" Target="#RAJIL!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2</xdr:col>
      <xdr:colOff>266700</xdr:colOff>
      <xdr:row>9</xdr:row>
      <xdr:rowOff>101600</xdr:rowOff>
    </xdr:from>
    <xdr:to>
      <xdr:col>4</xdr:col>
      <xdr:colOff>63500</xdr:colOff>
      <xdr:row>11</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FA89609-07BC-B0CD-83D1-56237A323A7C}"/>
            </a:ext>
          </a:extLst>
        </xdr:cNvPr>
        <xdr:cNvSpPr/>
      </xdr:nvSpPr>
      <xdr:spPr>
        <a:xfrm>
          <a:off x="1485900" y="469900"/>
          <a:ext cx="10160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JOING</a:t>
          </a:r>
        </a:p>
      </xdr:txBody>
    </xdr:sp>
    <xdr:clientData/>
  </xdr:twoCellAnchor>
  <xdr:twoCellAnchor>
    <xdr:from>
      <xdr:col>10</xdr:col>
      <xdr:colOff>12700</xdr:colOff>
      <xdr:row>9</xdr:row>
      <xdr:rowOff>82550</xdr:rowOff>
    </xdr:from>
    <xdr:to>
      <xdr:col>11</xdr:col>
      <xdr:colOff>419100</xdr:colOff>
      <xdr:row>11</xdr:row>
      <xdr:rowOff>133350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78E3A148-CE5E-453F-9EC8-D1D04FFDD705}"/>
            </a:ext>
          </a:extLst>
        </xdr:cNvPr>
        <xdr:cNvSpPr/>
      </xdr:nvSpPr>
      <xdr:spPr>
        <a:xfrm>
          <a:off x="6108700" y="450850"/>
          <a:ext cx="10160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REZA</a:t>
          </a:r>
        </a:p>
      </xdr:txBody>
    </xdr:sp>
    <xdr:clientData/>
  </xdr:twoCellAnchor>
  <xdr:twoCellAnchor>
    <xdr:from>
      <xdr:col>8</xdr:col>
      <xdr:colOff>76200</xdr:colOff>
      <xdr:row>9</xdr:row>
      <xdr:rowOff>88900</xdr:rowOff>
    </xdr:from>
    <xdr:to>
      <xdr:col>9</xdr:col>
      <xdr:colOff>482600</xdr:colOff>
      <xdr:row>11</xdr:row>
      <xdr:rowOff>139700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D715847F-64A9-4577-B187-F33585CE66E8}"/>
            </a:ext>
          </a:extLst>
        </xdr:cNvPr>
        <xdr:cNvSpPr/>
      </xdr:nvSpPr>
      <xdr:spPr>
        <a:xfrm>
          <a:off x="4953000" y="457200"/>
          <a:ext cx="10160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RANGGA</a:t>
          </a:r>
        </a:p>
      </xdr:txBody>
    </xdr:sp>
    <xdr:clientData/>
  </xdr:twoCellAnchor>
  <xdr:twoCellAnchor>
    <xdr:from>
      <xdr:col>6</xdr:col>
      <xdr:colOff>146050</xdr:colOff>
      <xdr:row>9</xdr:row>
      <xdr:rowOff>101600</xdr:rowOff>
    </xdr:from>
    <xdr:to>
      <xdr:col>7</xdr:col>
      <xdr:colOff>552450</xdr:colOff>
      <xdr:row>11</xdr:row>
      <xdr:rowOff>152400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9BF3E69E-D497-4C42-8CE3-C1E85770EB5C}"/>
            </a:ext>
          </a:extLst>
        </xdr:cNvPr>
        <xdr:cNvSpPr/>
      </xdr:nvSpPr>
      <xdr:spPr>
        <a:xfrm>
          <a:off x="3803650" y="469900"/>
          <a:ext cx="10160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RAJIL</a:t>
          </a:r>
        </a:p>
      </xdr:txBody>
    </xdr:sp>
    <xdr:clientData/>
  </xdr:twoCellAnchor>
  <xdr:twoCellAnchor>
    <xdr:from>
      <xdr:col>4</xdr:col>
      <xdr:colOff>203200</xdr:colOff>
      <xdr:row>9</xdr:row>
      <xdr:rowOff>107950</xdr:rowOff>
    </xdr:from>
    <xdr:to>
      <xdr:col>6</xdr:col>
      <xdr:colOff>0</xdr:colOff>
      <xdr:row>11</xdr:row>
      <xdr:rowOff>158750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FD7A6DBF-6277-4A0D-B6BB-18B164BC8E77}"/>
            </a:ext>
          </a:extLst>
        </xdr:cNvPr>
        <xdr:cNvSpPr/>
      </xdr:nvSpPr>
      <xdr:spPr>
        <a:xfrm>
          <a:off x="2641600" y="476250"/>
          <a:ext cx="10160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PAJIM</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333962</xdr:colOff>
      <xdr:row>44</xdr:row>
      <xdr:rowOff>182831</xdr:rowOff>
    </xdr:from>
    <xdr:to>
      <xdr:col>18</xdr:col>
      <xdr:colOff>151189</xdr:colOff>
      <xdr:row>60</xdr:row>
      <xdr:rowOff>50397</xdr:rowOff>
    </xdr:to>
    <mc:AlternateContent xmlns:mc="http://schemas.openxmlformats.org/markup-compatibility/2006" xmlns:a14="http://schemas.microsoft.com/office/drawing/2010/main">
      <mc:Choice Requires="a14">
        <xdr:graphicFrame macro="">
          <xdr:nvGraphicFramePr>
            <xdr:cNvPr id="2" name="DAY">
              <a:extLst>
                <a:ext uri="{FF2B5EF4-FFF2-40B4-BE49-F238E27FC236}">
                  <a16:creationId xmlns:a16="http://schemas.microsoft.com/office/drawing/2014/main" id="{729203BD-BF1F-15F3-3159-AFBE02660148}"/>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2792057" y="8357196"/>
              <a:ext cx="3889291" cy="28208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138754</xdr:colOff>
      <xdr:row>44</xdr:row>
      <xdr:rowOff>24725</xdr:rowOff>
    </xdr:from>
    <xdr:to>
      <xdr:col>2</xdr:col>
      <xdr:colOff>593137</xdr:colOff>
      <xdr:row>57</xdr:row>
      <xdr:rowOff>71772</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24412D8A-4DFC-AB09-15D1-9063ABAD69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8754" y="8199090"/>
              <a:ext cx="1825177" cy="24257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423333</xdr:colOff>
      <xdr:row>3</xdr:row>
      <xdr:rowOff>141111</xdr:rowOff>
    </xdr:from>
    <xdr:to>
      <xdr:col>10</xdr:col>
      <xdr:colOff>342699</xdr:colOff>
      <xdr:row>5</xdr:row>
      <xdr:rowOff>171349</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749F2B1-9217-87BB-6D03-CD6B31E8DCB2}"/>
            </a:ext>
          </a:extLst>
        </xdr:cNvPr>
        <xdr:cNvSpPr/>
      </xdr:nvSpPr>
      <xdr:spPr>
        <a:xfrm>
          <a:off x="8204603" y="685397"/>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twoCellAnchor>
    <xdr:from>
      <xdr:col>13</xdr:col>
      <xdr:colOff>0</xdr:colOff>
      <xdr:row>68</xdr:row>
      <xdr:rowOff>0</xdr:rowOff>
    </xdr:from>
    <xdr:to>
      <xdr:col>14</xdr:col>
      <xdr:colOff>151191</xdr:colOff>
      <xdr:row>70</xdr:row>
      <xdr:rowOff>30238</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C323F9BF-847E-4D04-A2E9-7C721035CA22}"/>
            </a:ext>
          </a:extLst>
        </xdr:cNvPr>
        <xdr:cNvSpPr/>
      </xdr:nvSpPr>
      <xdr:spPr>
        <a:xfrm>
          <a:off x="11853333" y="12589127"/>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166511</xdr:colOff>
      <xdr:row>54</xdr:row>
      <xdr:rowOff>163062</xdr:rowOff>
    </xdr:from>
    <xdr:to>
      <xdr:col>17</xdr:col>
      <xdr:colOff>1344083</xdr:colOff>
      <xdr:row>70</xdr:row>
      <xdr:rowOff>1</xdr:rowOff>
    </xdr:to>
    <mc:AlternateContent xmlns:mc="http://schemas.openxmlformats.org/markup-compatibility/2006" xmlns:a14="http://schemas.microsoft.com/office/drawing/2010/main">
      <mc:Choice Requires="a14">
        <xdr:graphicFrame macro="">
          <xdr:nvGraphicFramePr>
            <xdr:cNvPr id="4" name="DAY 1">
              <a:extLst>
                <a:ext uri="{FF2B5EF4-FFF2-40B4-BE49-F238E27FC236}">
                  <a16:creationId xmlns:a16="http://schemas.microsoft.com/office/drawing/2014/main" id="{84945E2F-B418-BCE5-C42B-17DF35033DA6}"/>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2718344" y="8269895"/>
              <a:ext cx="3823405" cy="276852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280968</xdr:colOff>
      <xdr:row>55</xdr:row>
      <xdr:rowOff>86235</xdr:rowOff>
    </xdr:from>
    <xdr:to>
      <xdr:col>4</xdr:col>
      <xdr:colOff>1126696</xdr:colOff>
      <xdr:row>69</xdr:row>
      <xdr:rowOff>78199</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61935288-0168-A4C1-7FCD-2616CBABBB3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23551" y="8383568"/>
              <a:ext cx="1819394" cy="25213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3</xdr:row>
      <xdr:rowOff>0</xdr:rowOff>
    </xdr:from>
    <xdr:to>
      <xdr:col>9</xdr:col>
      <xdr:colOff>755953</xdr:colOff>
      <xdr:row>5</xdr:row>
      <xdr:rowOff>33262</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53B17218-D649-407F-B4A4-CC9709603D9C}"/>
            </a:ext>
          </a:extLst>
        </xdr:cNvPr>
        <xdr:cNvSpPr/>
      </xdr:nvSpPr>
      <xdr:spPr>
        <a:xfrm>
          <a:off x="7863417" y="539750"/>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twoCellAnchor>
    <xdr:from>
      <xdr:col>16</xdr:col>
      <xdr:colOff>0</xdr:colOff>
      <xdr:row>76</xdr:row>
      <xdr:rowOff>0</xdr:rowOff>
    </xdr:from>
    <xdr:to>
      <xdr:col>16</xdr:col>
      <xdr:colOff>755953</xdr:colOff>
      <xdr:row>78</xdr:row>
      <xdr:rowOff>33262</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9875361E-ABCF-47B1-A306-D50D3A96F315}"/>
            </a:ext>
          </a:extLst>
        </xdr:cNvPr>
        <xdr:cNvSpPr/>
      </xdr:nvSpPr>
      <xdr:spPr>
        <a:xfrm>
          <a:off x="13779500" y="12128500"/>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100794</xdr:colOff>
      <xdr:row>71</xdr:row>
      <xdr:rowOff>100995</xdr:rowOff>
    </xdr:from>
    <xdr:to>
      <xdr:col>18</xdr:col>
      <xdr:colOff>251984</xdr:colOff>
      <xdr:row>88</xdr:row>
      <xdr:rowOff>40318</xdr:rowOff>
    </xdr:to>
    <mc:AlternateContent xmlns:mc="http://schemas.openxmlformats.org/markup-compatibility/2006" xmlns:a14="http://schemas.microsoft.com/office/drawing/2010/main">
      <mc:Choice Requires="a14">
        <xdr:graphicFrame macro="">
          <xdr:nvGraphicFramePr>
            <xdr:cNvPr id="4" name="DAY 2">
              <a:extLst>
                <a:ext uri="{FF2B5EF4-FFF2-40B4-BE49-F238E27FC236}">
                  <a16:creationId xmlns:a16="http://schemas.microsoft.com/office/drawing/2014/main" id="{7BF5F8A3-A726-00F1-5C65-85F6A2BF3920}"/>
                </a:ext>
              </a:extLst>
            </xdr:cNvPr>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12558889" y="8466868"/>
              <a:ext cx="4344206" cy="306392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284741</xdr:colOff>
      <xdr:row>71</xdr:row>
      <xdr:rowOff>133754</xdr:rowOff>
    </xdr:from>
    <xdr:to>
      <xdr:col>4</xdr:col>
      <xdr:colOff>1135843</xdr:colOff>
      <xdr:row>85</xdr:row>
      <xdr:rowOff>107800</xdr:rowOff>
    </xdr:to>
    <mc:AlternateContent xmlns:mc="http://schemas.openxmlformats.org/markup-compatibility/2006" xmlns:a14="http://schemas.microsoft.com/office/drawing/2010/main">
      <mc:Choice Requires="a14">
        <xdr:graphicFrame macro="">
          <xdr:nvGraphicFramePr>
            <xdr:cNvPr id="5" name="MONTH 2">
              <a:extLst>
                <a:ext uri="{FF2B5EF4-FFF2-40B4-BE49-F238E27FC236}">
                  <a16:creationId xmlns:a16="http://schemas.microsoft.com/office/drawing/2014/main" id="{D8981CE3-A2E1-E785-35FB-9BCFFFEDEA9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320773" y="8499627"/>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3</xdr:row>
      <xdr:rowOff>0</xdr:rowOff>
    </xdr:from>
    <xdr:to>
      <xdr:col>9</xdr:col>
      <xdr:colOff>755953</xdr:colOff>
      <xdr:row>5</xdr:row>
      <xdr:rowOff>30238</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1F98998E-E640-46E5-8DC1-A377EC26DBC0}"/>
            </a:ext>
          </a:extLst>
        </xdr:cNvPr>
        <xdr:cNvSpPr/>
      </xdr:nvSpPr>
      <xdr:spPr>
        <a:xfrm>
          <a:off x="7781270" y="544286"/>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twoCellAnchor>
    <xdr:from>
      <xdr:col>14</xdr:col>
      <xdr:colOff>0</xdr:colOff>
      <xdr:row>95</xdr:row>
      <xdr:rowOff>0</xdr:rowOff>
    </xdr:from>
    <xdr:to>
      <xdr:col>15</xdr:col>
      <xdr:colOff>151191</xdr:colOff>
      <xdr:row>97</xdr:row>
      <xdr:rowOff>30238</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BD52B519-5EBC-49D5-B46E-CAA1EF9898F4}"/>
            </a:ext>
          </a:extLst>
        </xdr:cNvPr>
        <xdr:cNvSpPr/>
      </xdr:nvSpPr>
      <xdr:spPr>
        <a:xfrm>
          <a:off x="12458095" y="12770556"/>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221746</xdr:colOff>
      <xdr:row>77</xdr:row>
      <xdr:rowOff>32353</xdr:rowOff>
    </xdr:from>
    <xdr:to>
      <xdr:col>18</xdr:col>
      <xdr:colOff>191507</xdr:colOff>
      <xdr:row>93</xdr:row>
      <xdr:rowOff>60476</xdr:rowOff>
    </xdr:to>
    <mc:AlternateContent xmlns:mc="http://schemas.openxmlformats.org/markup-compatibility/2006" xmlns:a14="http://schemas.microsoft.com/office/drawing/2010/main">
      <mc:Choice Requires="a14">
        <xdr:graphicFrame macro="">
          <xdr:nvGraphicFramePr>
            <xdr:cNvPr id="4" name="DAY 3">
              <a:extLst>
                <a:ext uri="{FF2B5EF4-FFF2-40B4-BE49-F238E27FC236}">
                  <a16:creationId xmlns:a16="http://schemas.microsoft.com/office/drawing/2014/main" id="{75CB03E7-365C-9A3E-D690-17C3C83F4942}"/>
                </a:ext>
              </a:extLst>
            </xdr:cNvPr>
            <xdr:cNvGraphicFramePr/>
          </xdr:nvGraphicFramePr>
          <xdr:xfrm>
            <a:off x="0" y="0"/>
            <a:ext cx="0" cy="0"/>
          </xdr:xfrm>
          <a:graphic>
            <a:graphicData uri="http://schemas.microsoft.com/office/drawing/2010/slicer">
              <sle:slicer xmlns:sle="http://schemas.microsoft.com/office/drawing/2010/slicer" name="DAY 3"/>
            </a:graphicData>
          </a:graphic>
        </xdr:graphicFrame>
      </mc:Choice>
      <mc:Fallback xmlns="">
        <xdr:sp macro="" textlink="">
          <xdr:nvSpPr>
            <xdr:cNvPr id="0" name=""/>
            <xdr:cNvSpPr>
              <a:spLocks noTextEdit="1"/>
            </xdr:cNvSpPr>
          </xdr:nvSpPr>
          <xdr:spPr>
            <a:xfrm>
              <a:off x="12679841" y="8398226"/>
              <a:ext cx="4041825" cy="297129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385537</xdr:colOff>
      <xdr:row>77</xdr:row>
      <xdr:rowOff>75192</xdr:rowOff>
    </xdr:from>
    <xdr:to>
      <xdr:col>4</xdr:col>
      <xdr:colOff>1236639</xdr:colOff>
      <xdr:row>91</xdr:row>
      <xdr:rowOff>49237</xdr:rowOff>
    </xdr:to>
    <mc:AlternateContent xmlns:mc="http://schemas.openxmlformats.org/markup-compatibility/2006" xmlns:a14="http://schemas.microsoft.com/office/drawing/2010/main">
      <mc:Choice Requires="a14">
        <xdr:graphicFrame macro="">
          <xdr:nvGraphicFramePr>
            <xdr:cNvPr id="5" name="MONTH 3">
              <a:extLst>
                <a:ext uri="{FF2B5EF4-FFF2-40B4-BE49-F238E27FC236}">
                  <a16:creationId xmlns:a16="http://schemas.microsoft.com/office/drawing/2014/main" id="{FF1704EE-B153-EB43-378F-9880694C53B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421569" y="844106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3</xdr:row>
      <xdr:rowOff>0</xdr:rowOff>
    </xdr:from>
    <xdr:to>
      <xdr:col>9</xdr:col>
      <xdr:colOff>755953</xdr:colOff>
      <xdr:row>5</xdr:row>
      <xdr:rowOff>30238</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2A5997FD-A2D5-448F-B395-8E5AFA66E9AF}"/>
            </a:ext>
          </a:extLst>
        </xdr:cNvPr>
        <xdr:cNvSpPr/>
      </xdr:nvSpPr>
      <xdr:spPr>
        <a:xfrm>
          <a:off x="7781270" y="544286"/>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twoCellAnchor>
    <xdr:from>
      <xdr:col>13</xdr:col>
      <xdr:colOff>0</xdr:colOff>
      <xdr:row>100</xdr:row>
      <xdr:rowOff>0</xdr:rowOff>
    </xdr:from>
    <xdr:to>
      <xdr:col>14</xdr:col>
      <xdr:colOff>151191</xdr:colOff>
      <xdr:row>102</xdr:row>
      <xdr:rowOff>30238</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611774A-3856-43F3-86CB-81684E73D0D2}"/>
            </a:ext>
          </a:extLst>
        </xdr:cNvPr>
        <xdr:cNvSpPr/>
      </xdr:nvSpPr>
      <xdr:spPr>
        <a:xfrm>
          <a:off x="11853333" y="12589127"/>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181429</xdr:colOff>
      <xdr:row>60</xdr:row>
      <xdr:rowOff>22276</xdr:rowOff>
    </xdr:from>
    <xdr:to>
      <xdr:col>18</xdr:col>
      <xdr:colOff>498901</xdr:colOff>
      <xdr:row>75</xdr:row>
      <xdr:rowOff>48916</xdr:rowOff>
    </xdr:to>
    <mc:AlternateContent xmlns:mc="http://schemas.openxmlformats.org/markup-compatibility/2006" xmlns:a14="http://schemas.microsoft.com/office/drawing/2010/main">
      <mc:Choice Requires="a14">
        <xdr:graphicFrame macro="">
          <xdr:nvGraphicFramePr>
            <xdr:cNvPr id="4" name="DAY 4">
              <a:extLst>
                <a:ext uri="{FF2B5EF4-FFF2-40B4-BE49-F238E27FC236}">
                  <a16:creationId xmlns:a16="http://schemas.microsoft.com/office/drawing/2014/main" id="{3EDF7A48-7F0A-D99A-841D-3539070C4FBB}"/>
                </a:ext>
              </a:extLst>
            </xdr:cNvPr>
            <xdr:cNvGraphicFramePr/>
          </xdr:nvGraphicFramePr>
          <xdr:xfrm>
            <a:off x="0" y="0"/>
            <a:ext cx="0" cy="0"/>
          </xdr:xfrm>
          <a:graphic>
            <a:graphicData uri="http://schemas.microsoft.com/office/drawing/2010/slicer">
              <sle:slicer xmlns:sle="http://schemas.microsoft.com/office/drawing/2010/slicer" name="DAY 4"/>
            </a:graphicData>
          </a:graphic>
        </xdr:graphicFrame>
      </mc:Choice>
      <mc:Fallback xmlns="">
        <xdr:sp macro="" textlink="">
          <xdr:nvSpPr>
            <xdr:cNvPr id="0" name=""/>
            <xdr:cNvSpPr>
              <a:spLocks noTextEdit="1"/>
            </xdr:cNvSpPr>
          </xdr:nvSpPr>
          <xdr:spPr>
            <a:xfrm>
              <a:off x="12951985" y="8388149"/>
              <a:ext cx="4313968" cy="276970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564000</xdr:colOff>
      <xdr:row>59</xdr:row>
      <xdr:rowOff>121143</xdr:rowOff>
    </xdr:from>
    <xdr:to>
      <xdr:col>4</xdr:col>
      <xdr:colOff>1415102</xdr:colOff>
      <xdr:row>73</xdr:row>
      <xdr:rowOff>95189</xdr:rowOff>
    </xdr:to>
    <mc:AlternateContent xmlns:mc="http://schemas.openxmlformats.org/markup-compatibility/2006" xmlns:a14="http://schemas.microsoft.com/office/drawing/2010/main">
      <mc:Choice Requires="a14">
        <xdr:graphicFrame macro="">
          <xdr:nvGraphicFramePr>
            <xdr:cNvPr id="5" name="MONTH 4">
              <a:extLst>
                <a:ext uri="{FF2B5EF4-FFF2-40B4-BE49-F238E27FC236}">
                  <a16:creationId xmlns:a16="http://schemas.microsoft.com/office/drawing/2014/main" id="{654754F9-2ED7-4D0D-B208-38B77C3A5711}"/>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625308" y="11258066"/>
              <a:ext cx="1828025" cy="2592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20158</xdr:colOff>
      <xdr:row>3</xdr:row>
      <xdr:rowOff>131031</xdr:rowOff>
    </xdr:from>
    <xdr:to>
      <xdr:col>9</xdr:col>
      <xdr:colOff>776111</xdr:colOff>
      <xdr:row>5</xdr:row>
      <xdr:rowOff>161269</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D498A53C-69C0-4C1E-B50D-847F7EF71AC2}"/>
            </a:ext>
          </a:extLst>
        </xdr:cNvPr>
        <xdr:cNvSpPr/>
      </xdr:nvSpPr>
      <xdr:spPr>
        <a:xfrm>
          <a:off x="7932460" y="675317"/>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twoCellAnchor>
    <xdr:from>
      <xdr:col>13</xdr:col>
      <xdr:colOff>0</xdr:colOff>
      <xdr:row>90</xdr:row>
      <xdr:rowOff>0</xdr:rowOff>
    </xdr:from>
    <xdr:to>
      <xdr:col>14</xdr:col>
      <xdr:colOff>151191</xdr:colOff>
      <xdr:row>92</xdr:row>
      <xdr:rowOff>30238</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F9D0404-9058-4418-9CA5-3EF06B3C8088}"/>
            </a:ext>
          </a:extLst>
        </xdr:cNvPr>
        <xdr:cNvSpPr/>
      </xdr:nvSpPr>
      <xdr:spPr>
        <a:xfrm>
          <a:off x="12165794" y="13859127"/>
          <a:ext cx="755953" cy="3930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BACK</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991745833337" createdVersion="8" refreshedVersion="8" minRefreshableVersion="3" recordCount="24" xr:uid="{F7170670-C5F3-461A-AA29-22337FC4F353}">
  <cacheSource type="worksheet">
    <worksheetSource ref="A27:N51" sheet="PAJIM"/>
  </cacheSource>
  <cacheFields count="14">
    <cacheField name="DAY" numFmtId="0">
      <sharedItems containsNonDate="0" containsString="0" containsBlank="1" count="1">
        <m/>
      </sharedItems>
    </cacheField>
    <cacheField name="WEEK" numFmtId="0">
      <sharedItems containsString="0" containsBlank="1" containsNumber="1" containsInteger="1" minValue="0" maxValue="0"/>
    </cacheField>
    <cacheField name="MONTH" numFmtId="0">
      <sharedItems containsBlank="1" count="3">
        <s v="January"/>
        <m/>
        <s v="November" u="1"/>
      </sharedItems>
    </cacheField>
    <cacheField name="GOTIK DUYUNG" numFmtId="0">
      <sharedItems containsNonDate="0" containsString="0" containsBlank="1"/>
    </cacheField>
    <cacheField name="GOTIK PLISKET" numFmtId="0">
      <sharedItems containsNonDate="0" containsString="0" containsBlank="1"/>
    </cacheField>
    <cacheField name="SLAYER DUYUNG" numFmtId="0">
      <sharedItems containsNonDate="0" containsString="0" containsBlank="1"/>
    </cacheField>
    <cacheField name="SLAYER PLISKET" numFmtId="0">
      <sharedItems containsNonDate="0" containsString="0" containsBlank="1"/>
    </cacheField>
    <cacheField name="ROK PLISKET" numFmtId="0">
      <sharedItems containsNonDate="0" containsString="0" containsBlank="1"/>
    </cacheField>
    <cacheField name="ATASAN GOTIK" numFmtId="0">
      <sharedItems containsNonDate="0" containsString="0" containsBlank="1"/>
    </cacheField>
    <cacheField name="ATASAN SLAYER" numFmtId="0">
      <sharedItems containsNonDate="0" containsString="0" containsBlank="1"/>
    </cacheField>
    <cacheField name="KUTUBARU" numFmtId="0">
      <sharedItems containsNonDate="0" containsString="0" containsBlank="1"/>
    </cacheField>
    <cacheField name="PLASTIK PACKING" numFmtId="0">
      <sharedItems containsNonDate="0" containsString="0" containsBlank="1"/>
    </cacheField>
    <cacheField name="INDAH" numFmtId="0">
      <sharedItems containsNonDate="0" containsString="0" containsBlank="1"/>
    </cacheField>
    <cacheField name="MAYANG" numFmtId="0">
      <sharedItems containsNonDate="0" containsString="0" containsBlank="1"/>
    </cacheField>
  </cacheFields>
  <extLst>
    <ext xmlns:x14="http://schemas.microsoft.com/office/spreadsheetml/2009/9/main" uri="{725AE2AE-9491-48be-B2B4-4EB974FC3084}">
      <x14:pivotCacheDefinition pivotCacheId="18216874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991746180553" createdVersion="8" refreshedVersion="8" minRefreshableVersion="3" recordCount="46" xr:uid="{4D1C5B6A-1FB9-4EFD-99DB-D08D6834CF44}">
  <cacheSource type="worksheet">
    <worksheetSource ref="A27:N73" sheet="RANGGA"/>
  </cacheSource>
  <cacheFields count="14">
    <cacheField name="DAY" numFmtId="14">
      <sharedItems containsNonDate="0" containsString="0" containsBlank="1" count="1">
        <m/>
      </sharedItems>
    </cacheField>
    <cacheField name="WEEK" numFmtId="0">
      <sharedItems containsString="0" containsBlank="1" containsNumber="1" containsInteger="1" minValue="0" maxValue="0"/>
    </cacheField>
    <cacheField name="MONTH" numFmtId="0">
      <sharedItems containsBlank="1" count="4">
        <s v="January"/>
        <m/>
        <s v="October" u="1"/>
        <s v="November" u="1"/>
      </sharedItems>
    </cacheField>
    <cacheField name="GOTIK DUYUNG" numFmtId="0">
      <sharedItems containsNonDate="0" containsString="0" containsBlank="1"/>
    </cacheField>
    <cacheField name="GOTIK PLISKET" numFmtId="0">
      <sharedItems containsNonDate="0" containsString="0" containsBlank="1"/>
    </cacheField>
    <cacheField name="SLAYER DUYUNG" numFmtId="0">
      <sharedItems containsNonDate="0" containsString="0" containsBlank="1"/>
    </cacheField>
    <cacheField name="SLAYER PLISKET" numFmtId="0">
      <sharedItems containsNonDate="0" containsString="0" containsBlank="1"/>
    </cacheField>
    <cacheField name="ROK PLISKET" numFmtId="0">
      <sharedItems containsNonDate="0" containsString="0" containsBlank="1"/>
    </cacheField>
    <cacheField name="ATASAN GOTIK" numFmtId="0">
      <sharedItems containsNonDate="0" containsString="0" containsBlank="1"/>
    </cacheField>
    <cacheField name="ATASAN SLAYER" numFmtId="0">
      <sharedItems containsNonDate="0" containsString="0" containsBlank="1"/>
    </cacheField>
    <cacheField name="KUTUBARU" numFmtId="0">
      <sharedItems containsNonDate="0" containsString="0" containsBlank="1"/>
    </cacheField>
    <cacheField name="PLASTIK PACKING" numFmtId="0">
      <sharedItems containsNonDate="0" containsString="0" containsBlank="1"/>
    </cacheField>
    <cacheField name="INDAH" numFmtId="0">
      <sharedItems containsNonDate="0" containsString="0" containsBlank="1"/>
    </cacheField>
    <cacheField name="MAYANG" numFmtId="0">
      <sharedItems containsNonDate="0" containsString="0" containsBlank="1"/>
    </cacheField>
  </cacheFields>
  <extLst>
    <ext xmlns:x14="http://schemas.microsoft.com/office/spreadsheetml/2009/9/main" uri="{725AE2AE-9491-48be-B2B4-4EB974FC3084}">
      <x14:pivotCacheDefinition pivotCacheId="21255013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991746412037" createdVersion="8" refreshedVersion="8" minRefreshableVersion="3" recordCount="14" xr:uid="{C6E29235-FF81-4567-9CE6-641116688B95}">
  <cacheSource type="worksheet">
    <worksheetSource ref="A27:N41" sheet="JOING"/>
  </cacheSource>
  <cacheFields count="14">
    <cacheField name="DAY" numFmtId="0">
      <sharedItems containsNonDate="0" containsString="0" containsBlank="1" count="1">
        <m/>
      </sharedItems>
    </cacheField>
    <cacheField name="WEEK" numFmtId="0">
      <sharedItems containsString="0" containsBlank="1" containsNumber="1" containsInteger="1" minValue="0" maxValue="0"/>
    </cacheField>
    <cacheField name="MONTH" numFmtId="0">
      <sharedItems containsBlank="1" count="4">
        <s v="January"/>
        <m/>
        <s v="October" u="1"/>
        <s v="November" u="1"/>
      </sharedItems>
    </cacheField>
    <cacheField name="GOTIK DUYUNG" numFmtId="0">
      <sharedItems containsNonDate="0" containsString="0" containsBlank="1"/>
    </cacheField>
    <cacheField name="GOTIK PLISKET" numFmtId="0">
      <sharedItems containsNonDate="0" containsString="0" containsBlank="1"/>
    </cacheField>
    <cacheField name="SLAYER DUYUNG" numFmtId="0">
      <sharedItems containsNonDate="0" containsString="0" containsBlank="1"/>
    </cacheField>
    <cacheField name="SLAYER PLISKET" numFmtId="0">
      <sharedItems containsNonDate="0" containsString="0" containsBlank="1"/>
    </cacheField>
    <cacheField name="ROK PLISKET" numFmtId="0">
      <sharedItems containsNonDate="0" containsString="0" containsBlank="1"/>
    </cacheField>
    <cacheField name="ATASAN GOTIK" numFmtId="0">
      <sharedItems containsNonDate="0" containsString="0" containsBlank="1"/>
    </cacheField>
    <cacheField name="ATASAN SLAYER" numFmtId="0">
      <sharedItems containsNonDate="0" containsString="0" containsBlank="1"/>
    </cacheField>
    <cacheField name="KUTUBARU" numFmtId="0">
      <sharedItems containsNonDate="0" containsString="0" containsBlank="1"/>
    </cacheField>
    <cacheField name="PLASTIK PACKING" numFmtId="0">
      <sharedItems containsNonDate="0" containsString="0" containsBlank="1"/>
    </cacheField>
    <cacheField name="INDAH" numFmtId="0">
      <sharedItems containsNonDate="0" containsString="0" containsBlank="1"/>
    </cacheField>
    <cacheField name="MAYANG" numFmtId="0">
      <sharedItems containsNonDate="0" containsString="0" containsBlank="1"/>
    </cacheField>
  </cacheFields>
  <extLst>
    <ext xmlns:x14="http://schemas.microsoft.com/office/spreadsheetml/2009/9/main" uri="{725AE2AE-9491-48be-B2B4-4EB974FC3084}">
      <x14:pivotCacheDefinition pivotCacheId="33190339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991746527776" createdVersion="8" refreshedVersion="8" minRefreshableVersion="3" recordCount="29" xr:uid="{03ACF83E-F3F9-4B1D-9D65-E28130074769}">
  <cacheSource type="worksheet">
    <worksheetSource ref="A27:N56" sheet="REZA"/>
  </cacheSource>
  <cacheFields count="14">
    <cacheField name="DAY" numFmtId="0">
      <sharedItems containsNonDate="0" containsString="0" containsBlank="1" count="1">
        <m/>
      </sharedItems>
    </cacheField>
    <cacheField name="WEEK" numFmtId="0">
      <sharedItems containsString="0" containsBlank="1" containsNumber="1" containsInteger="1" minValue="0" maxValue="0"/>
    </cacheField>
    <cacheField name="MONTH" numFmtId="0">
      <sharedItems containsBlank="1" count="3">
        <s v="January"/>
        <m/>
        <s v="November" u="1"/>
      </sharedItems>
    </cacheField>
    <cacheField name="GOTIK DUYUNG" numFmtId="0">
      <sharedItems containsNonDate="0" containsString="0" containsBlank="1"/>
    </cacheField>
    <cacheField name="GOTIK PLISKET" numFmtId="0">
      <sharedItems containsNonDate="0" containsString="0" containsBlank="1"/>
    </cacheField>
    <cacheField name="SLAYER DUYUNG" numFmtId="0">
      <sharedItems containsNonDate="0" containsString="0" containsBlank="1"/>
    </cacheField>
    <cacheField name="SLAYER PLISKET" numFmtId="0">
      <sharedItems containsNonDate="0" containsString="0" containsBlank="1"/>
    </cacheField>
    <cacheField name="ROK PLISKET" numFmtId="0">
      <sharedItems containsNonDate="0" containsString="0" containsBlank="1"/>
    </cacheField>
    <cacheField name="ATASAN GOTIK" numFmtId="0">
      <sharedItems containsNonDate="0" containsString="0" containsBlank="1"/>
    </cacheField>
    <cacheField name="ATASAN SLAYER" numFmtId="0">
      <sharedItems containsNonDate="0" containsString="0" containsBlank="1"/>
    </cacheField>
    <cacheField name="KUTUBARU" numFmtId="0">
      <sharedItems containsNonDate="0" containsString="0" containsBlank="1"/>
    </cacheField>
    <cacheField name="PLASTIK PACKING" numFmtId="0">
      <sharedItems containsNonDate="0" containsString="0" containsBlank="1"/>
    </cacheField>
    <cacheField name="INDAH" numFmtId="0">
      <sharedItems containsNonDate="0" containsString="0" containsBlank="1"/>
    </cacheField>
    <cacheField name="MAYANG" numFmtId="0">
      <sharedItems containsNonDate="0" containsString="0" containsBlank="1"/>
    </cacheField>
  </cacheFields>
  <extLst>
    <ext xmlns:x14="http://schemas.microsoft.com/office/spreadsheetml/2009/9/main" uri="{725AE2AE-9491-48be-B2B4-4EB974FC3084}">
      <x14:pivotCacheDefinition pivotCacheId="82949103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99174675926" createdVersion="8" refreshedVersion="8" minRefreshableVersion="3" recordCount="40" xr:uid="{8144905B-3578-4F9D-83FC-6BF7CA5C29B8}">
  <cacheSource type="worksheet">
    <worksheetSource ref="A27:N67" sheet="RAJIL"/>
  </cacheSource>
  <cacheFields count="14">
    <cacheField name="DAY" numFmtId="14">
      <sharedItems containsNonDate="0" containsString="0" containsBlank="1" count="1">
        <m/>
      </sharedItems>
    </cacheField>
    <cacheField name="WEEK" numFmtId="0">
      <sharedItems containsSemiMixedTypes="0" containsString="0" containsNumber="1" containsInteger="1" minValue="0" maxValue="0"/>
    </cacheField>
    <cacheField name="MONTH" numFmtId="14">
      <sharedItems containsBlank="1" count="4">
        <s v="January"/>
        <s v="October" u="1"/>
        <s v="November" u="1"/>
        <m u="1"/>
      </sharedItems>
    </cacheField>
    <cacheField name="GOTIK DUYUNG" numFmtId="0">
      <sharedItems containsNonDate="0" containsString="0" containsBlank="1"/>
    </cacheField>
    <cacheField name="GOTIK PLISKET" numFmtId="0">
      <sharedItems containsNonDate="0" containsString="0" containsBlank="1"/>
    </cacheField>
    <cacheField name="SLAYER DUYUNG" numFmtId="0">
      <sharedItems containsNonDate="0" containsString="0" containsBlank="1"/>
    </cacheField>
    <cacheField name="SLAYER PLISKET" numFmtId="0">
      <sharedItems containsNonDate="0" containsString="0" containsBlank="1"/>
    </cacheField>
    <cacheField name="ROK PLISKET" numFmtId="0">
      <sharedItems containsNonDate="0" containsString="0" containsBlank="1"/>
    </cacheField>
    <cacheField name="ATASAN GOTIK" numFmtId="0">
      <sharedItems containsNonDate="0" containsString="0" containsBlank="1"/>
    </cacheField>
    <cacheField name="ATASAN SLAYER" numFmtId="0">
      <sharedItems containsNonDate="0" containsString="0" containsBlank="1"/>
    </cacheField>
    <cacheField name="KUTUBARU" numFmtId="0">
      <sharedItems containsNonDate="0" containsString="0" containsBlank="1"/>
    </cacheField>
    <cacheField name="PLASTIK PACKING" numFmtId="0">
      <sharedItems containsNonDate="0" containsString="0" containsBlank="1"/>
    </cacheField>
    <cacheField name="INDAH" numFmtId="0">
      <sharedItems containsNonDate="0" containsString="0" containsBlank="1"/>
    </cacheField>
    <cacheField name="MAYANG" numFmtId="0">
      <sharedItems containsNonDate="0" containsString="0" containsBlank="1"/>
    </cacheField>
  </cacheFields>
  <extLst>
    <ext xmlns:x14="http://schemas.microsoft.com/office/spreadsheetml/2009/9/main" uri="{725AE2AE-9491-48be-B2B4-4EB974FC3084}">
      <x14:pivotCacheDefinition pivotCacheId="1873451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m/>
    <x v="1"/>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m/>
    <x v="1"/>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m/>
    <x v="1"/>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m/>
    <x v="1"/>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r>
    <x v="0"/>
    <n v="0"/>
    <x v="0"/>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1FE65D-0826-4AFB-9B30-81F459137DFE}" name="PivotTable1"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27:AA28" firstHeaderRow="0" firstDataRow="1" firstDataCol="0"/>
  <pivotFields count="14">
    <pivotField showAll="0" defaultSubtotal="0">
      <items count="1">
        <item x="0"/>
      </items>
    </pivotField>
    <pivotField showAll="0" defaultSubtotal="0"/>
    <pivotField showAll="0" defaultSubtotal="0">
      <items count="4">
        <item x="0"/>
        <item h="1" m="1" x="2"/>
        <item h="1" m="1" x="3"/>
        <item x="1"/>
      </items>
    </pivotField>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Items count="1">
    <i/>
  </rowItems>
  <colFields count="1">
    <field x="-2"/>
  </colFields>
  <colItems count="11">
    <i>
      <x/>
    </i>
    <i i="1">
      <x v="1"/>
    </i>
    <i i="2">
      <x v="2"/>
    </i>
    <i i="3">
      <x v="3"/>
    </i>
    <i i="4">
      <x v="4"/>
    </i>
    <i i="5">
      <x v="5"/>
    </i>
    <i i="6">
      <x v="6"/>
    </i>
    <i i="7">
      <x v="7"/>
    </i>
    <i i="8">
      <x v="8"/>
    </i>
    <i i="9">
      <x v="9"/>
    </i>
    <i i="10">
      <x v="10"/>
    </i>
  </colItems>
  <dataFields count="11">
    <dataField name="Sum of GOTIK DUYUNG" fld="3" baseField="0" baseItem="0"/>
    <dataField name="Sum of GOTIK PLISKET" fld="4" baseField="0" baseItem="0"/>
    <dataField name="Sum of SLAYER DUYUNG" fld="5" baseField="0" baseItem="0"/>
    <dataField name="Sum of SLAYER PLISKET" fld="6" baseField="0" baseItem="0"/>
    <dataField name="Sum of ROK PLISKET" fld="7" baseField="0" baseItem="1"/>
    <dataField name="Sum of ATASAN GOTIK" fld="8" baseField="0" baseItem="0"/>
    <dataField name="Sum of ATASAN SLAYER" fld="9" baseField="0" baseItem="1"/>
    <dataField name="Sum of KUTUBARU" fld="10" baseField="0" baseItem="1"/>
    <dataField name="Sum of PLASTIK PACKING" fld="11" baseField="0" baseItem="0"/>
    <dataField name="Sum of INDAH" fld="12" baseField="0" baseItem="1"/>
    <dataField name="Sum of MAYANG" fld="13"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D5F835-27B9-4B2E-B9A4-22092A79E724}"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7:AA28" firstHeaderRow="0" firstDataRow="1" firstDataCol="0"/>
  <pivotFields count="14">
    <pivotField showAll="0">
      <items count="2">
        <item x="0"/>
        <item t="default"/>
      </items>
    </pivotField>
    <pivotField showAll="0"/>
    <pivotField showAll="0">
      <items count="4">
        <item x="0"/>
        <item m="1" x="2"/>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11">
    <i>
      <x/>
    </i>
    <i i="1">
      <x v="1"/>
    </i>
    <i i="2">
      <x v="2"/>
    </i>
    <i i="3">
      <x v="3"/>
    </i>
    <i i="4">
      <x v="4"/>
    </i>
    <i i="5">
      <x v="5"/>
    </i>
    <i i="6">
      <x v="6"/>
    </i>
    <i i="7">
      <x v="7"/>
    </i>
    <i i="8">
      <x v="8"/>
    </i>
    <i i="9">
      <x v="9"/>
    </i>
    <i i="10">
      <x v="10"/>
    </i>
  </colItems>
  <dataFields count="11">
    <dataField name="Sum of GOTIK DUYUNG" fld="3" baseField="0" baseItem="0"/>
    <dataField name="Sum of GOTIK PLISKET" fld="4" baseField="0" baseItem="0"/>
    <dataField name="Sum of SLAYER DUYUNG" fld="5" baseField="0" baseItem="0"/>
    <dataField name="Sum of SLAYER PLISKET" fld="6" baseField="0" baseItem="1"/>
    <dataField name="Sum of ROK PLISKET" fld="7" baseField="0" baseItem="0"/>
    <dataField name="Sum of ATASAN GOTIK" fld="8" baseField="0" baseItem="1"/>
    <dataField name="Sum of ATASAN SLAYER" fld="9" baseField="0" baseItem="1"/>
    <dataField name="Sum of KUTUBARU" fld="10" baseField="0" baseItem="1"/>
    <dataField name="Sum of PLASTIK PACKING" fld="11" baseField="0" baseItem="1"/>
    <dataField name="Sum of INDAH" fld="12" baseField="0" baseItem="1"/>
    <dataField name="Sum of MAYANG" fld="13"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2721C-97DD-4488-A540-05B5C8DE512B}"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7:AA28" firstHeaderRow="0" firstDataRow="1" firstDataCol="0"/>
  <pivotFields count="14">
    <pivotField showAll="0">
      <items count="2">
        <item x="0"/>
        <item t="default"/>
      </items>
    </pivotField>
    <pivotField showAll="0"/>
    <pivotField showAll="0">
      <items count="5">
        <item x="0"/>
        <item h="1" m="1" x="1"/>
        <item h="1" m="1" x="2"/>
        <item h="1" m="1"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11">
    <i>
      <x/>
    </i>
    <i i="1">
      <x v="1"/>
    </i>
    <i i="2">
      <x v="2"/>
    </i>
    <i i="3">
      <x v="3"/>
    </i>
    <i i="4">
      <x v="4"/>
    </i>
    <i i="5">
      <x v="5"/>
    </i>
    <i i="6">
      <x v="6"/>
    </i>
    <i i="7">
      <x v="7"/>
    </i>
    <i i="8">
      <x v="8"/>
    </i>
    <i i="9">
      <x v="9"/>
    </i>
    <i i="10">
      <x v="10"/>
    </i>
  </colItems>
  <dataFields count="11">
    <dataField name="Sum of GOTIK DUYUNG" fld="3" baseField="0" baseItem="0"/>
    <dataField name="Sum of GOTIK PLISKET" fld="4" baseField="0" baseItem="0"/>
    <dataField name="Sum of SLAYER DUYUNG" fld="5" baseField="0" baseItem="0"/>
    <dataField name="Sum of SLAYER PLISKET" fld="6" baseField="0" baseItem="0"/>
    <dataField name="Sum of ROK PLISKET" fld="7" baseField="0" baseItem="0"/>
    <dataField name="Sum of ATASAN GOTIK" fld="8" baseField="0" baseItem="0"/>
    <dataField name="Sum of ATASAN SLAYER" fld="9" baseField="0" baseItem="0"/>
    <dataField name="Sum of KUTUBARU" fld="10" baseField="0" baseItem="0"/>
    <dataField name="Sum of PLASTIK PACKING" fld="11" baseField="0" baseItem="1"/>
    <dataField name="Sum of INDAH" fld="12" baseField="0" baseItem="1"/>
    <dataField name="Sum of MAYANG" fld="13"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B4F619-0678-467F-91DC-6EE64D6AAB7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7:AA28" firstHeaderRow="0" firstDataRow="1" firstDataCol="0"/>
  <pivotFields count="14">
    <pivotField showAll="0">
      <items count="2">
        <item x="0"/>
        <item t="default"/>
      </items>
    </pivotField>
    <pivotField showAll="0"/>
    <pivotField showAll="0">
      <items count="5">
        <item x="0"/>
        <item m="1" x="2"/>
        <item m="1" x="3"/>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11">
    <i>
      <x/>
    </i>
    <i i="1">
      <x v="1"/>
    </i>
    <i i="2">
      <x v="2"/>
    </i>
    <i i="3">
      <x v="3"/>
    </i>
    <i i="4">
      <x v="4"/>
    </i>
    <i i="5">
      <x v="5"/>
    </i>
    <i i="6">
      <x v="6"/>
    </i>
    <i i="7">
      <x v="7"/>
    </i>
    <i i="8">
      <x v="8"/>
    </i>
    <i i="9">
      <x v="9"/>
    </i>
    <i i="10">
      <x v="10"/>
    </i>
  </colItems>
  <dataFields count="11">
    <dataField name="Sum of GOTIK DUYUNG" fld="3" baseField="0" baseItem="0"/>
    <dataField name="Sum of GOTIK PLISKET" fld="4" baseField="0" baseItem="0"/>
    <dataField name="Sum of SLAYER DUYUNG" fld="5" baseField="0" baseItem="0"/>
    <dataField name="Sum of SLAYER PLISKET" fld="6" baseField="0" baseItem="0"/>
    <dataField name="Sum of ROK PLISKET" fld="7" baseField="0" baseItem="0"/>
    <dataField name="Sum of ATASAN GOTIK" fld="8" baseField="0" baseItem="0"/>
    <dataField name="Sum of ATASAN SLAYER" fld="9" baseField="0" baseItem="0"/>
    <dataField name="Sum of KUTUBARU" fld="10" baseField="0" baseItem="0"/>
    <dataField name="Sum of PLASTIK PACKING" fld="11" baseField="0" baseItem="1"/>
    <dataField name="Sum of INDAH" fld="12" baseField="0" baseItem="1"/>
    <dataField name="Sum of MAYANG" fld="13"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559EF2-1AF5-4714-A424-EF58995B2866}"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7:AA28" firstHeaderRow="0" firstDataRow="1" firstDataCol="0"/>
  <pivotFields count="14">
    <pivotField showAll="0">
      <items count="2">
        <item x="0"/>
        <item t="default"/>
      </items>
    </pivotField>
    <pivotField showAll="0"/>
    <pivotField showAll="0">
      <items count="4">
        <item x="0"/>
        <item m="1" x="2"/>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11">
    <i>
      <x/>
    </i>
    <i i="1">
      <x v="1"/>
    </i>
    <i i="2">
      <x v="2"/>
    </i>
    <i i="3">
      <x v="3"/>
    </i>
    <i i="4">
      <x v="4"/>
    </i>
    <i i="5">
      <x v="5"/>
    </i>
    <i i="6">
      <x v="6"/>
    </i>
    <i i="7">
      <x v="7"/>
    </i>
    <i i="8">
      <x v="8"/>
    </i>
    <i i="9">
      <x v="9"/>
    </i>
    <i i="10">
      <x v="10"/>
    </i>
  </colItems>
  <dataFields count="11">
    <dataField name="Sum of GOTIK DUYUNG" fld="3" baseField="0" baseItem="0"/>
    <dataField name="Sum of GOTIK PLISKET" fld="4" baseField="0" baseItem="0"/>
    <dataField name="Sum of SLAYER DUYUNG" fld="5" baseField="0" baseItem="0"/>
    <dataField name="Sum of SLAYER PLISKET" fld="6" baseField="0" baseItem="0"/>
    <dataField name="Sum of ROK PLISKET" fld="7" baseField="0" baseItem="4"/>
    <dataField name="Sum of ATASAN GOTIK" fld="8" baseField="0" baseItem="4"/>
    <dataField name="Sum of ATASAN SLAYER" fld="9" baseField="0" baseItem="4"/>
    <dataField name="Sum of KUTUBARU" fld="10" baseField="0" baseItem="0"/>
    <dataField name="Sum of PLASTIK PACKING" fld="11" baseField="0" baseItem="4"/>
    <dataField name="Sum of INDAH" fld="12" baseField="0" baseItem="0"/>
    <dataField name="Sum of MAYANG"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FA26BE9D-1CFC-4A5F-8505-25F545E82428}" sourceName="DAY">
  <pivotTables>
    <pivotTable tabId="1" name="PivotTable1"/>
  </pivotTables>
  <data>
    <tabular pivotCacheId="331903396">
      <items count="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0DE9C8-60A7-4A7A-A54A-24223590E681}" sourceName="MONTH">
  <pivotTables>
    <pivotTable tabId="1" name="PivotTable1"/>
  </pivotTables>
  <data>
    <tabular pivotCacheId="331903396">
      <items count="4">
        <i x="0" s="1" nd="1"/>
        <i x="2" nd="1"/>
        <i x="3"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2" xr10:uid="{50441FC9-F300-4C85-9020-B382B8D397B5}" sourceName="DAY">
  <pivotTables>
    <pivotTable tabId="5" name="PivotTable1"/>
  </pivotTables>
  <data>
    <tabular pivotCacheId="829491039">
      <items count="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4436FDB0-C143-4B91-95D3-CB98B00ABB7E}" sourceName="MONTH">
  <pivotTables>
    <pivotTable tabId="5" name="PivotTable1"/>
  </pivotTables>
  <data>
    <tabular pivotCacheId="829491039">
      <items count="3">
        <i x="0" s="1" nd="1"/>
        <i x="2" s="1" nd="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3" xr10:uid="{23DCFF8B-1FBF-4501-92D6-E39EB1E240C6}" sourceName="DAY">
  <pivotTables>
    <pivotTable tabId="4" name="PivotTable2"/>
  </pivotTables>
  <data>
    <tabular pivotCacheId="2125501309">
      <items count="1">
        <i x="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7CD66D7B-C683-41DF-9EC5-3B5446A2A06B}" sourceName="MONTH">
  <pivotTables>
    <pivotTable tabId="4" name="PivotTable2"/>
  </pivotTables>
  <data>
    <tabular pivotCacheId="2125501309">
      <items count="4">
        <i x="0" s="1" nd="1"/>
        <i x="2" s="1" nd="1"/>
        <i x="3" s="1" nd="1"/>
        <i x="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4" xr10:uid="{A042CC5D-2988-4C6F-B66A-A9483E56B262}" sourceName="DAY">
  <pivotTables>
    <pivotTable tabId="3" name="PivotTable3"/>
  </pivotTables>
  <data>
    <tabular pivotCacheId="1873451361">
      <items count="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CEFA35E0-C4A5-40D3-8341-CE1E6B1BC344}" sourceName="MONTH">
  <pivotTables>
    <pivotTable tabId="3" name="PivotTable3"/>
  </pivotTables>
  <data>
    <tabular pivotCacheId="1873451361">
      <items count="4">
        <i x="0" s="1" nd="1"/>
        <i x="1" nd="1"/>
        <i x="2" nd="1"/>
        <i x="3"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45B24388-49B6-4576-A507-F3C357FD0035}" sourceName="DAY">
  <pivotTables>
    <pivotTable tabId="2" name="PivotTable4"/>
  </pivotTables>
  <data>
    <tabular pivotCacheId="1821687415">
      <items count="1">
        <i x="0"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776CDEC3-EC0E-4E4F-968B-5AC5AFF11416}" sourceName="MONTH">
  <pivotTables>
    <pivotTable tabId="2" name="PivotTable4"/>
  </pivotTables>
  <data>
    <tabular pivotCacheId="1821687415">
      <items count="3">
        <i x="0" s="1" nd="1"/>
        <i x="2"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3A49E83D-81A0-4236-89CF-326F361DCAAE}" cache="Slicer_DAY" caption="DAY" columnCount="7" rowHeight="241300"/>
  <slicer name="MONTH" xr10:uid="{110A5653-8835-4AB2-9EF5-C3E9AEAF6C9B}"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C492A74E-CD45-42BA-95AE-0F2DE77A5B21}" cache="Slicer_DAY1" caption="DAY" columnCount="7" rowHeight="241300"/>
  <slicer name="MONTH 1" xr10:uid="{FAE1ABFA-7935-4EB4-86BD-983BD998091C}" cache="Slicer_MONTH1" caption="MONT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2" xr10:uid="{CEFBE66F-908E-4DC8-B238-334FA5B22DB8}" cache="Slicer_DAY4" caption="DAY" columnCount="7" rowHeight="241300"/>
  <slicer name="MONTH 2" xr10:uid="{32765FBA-5C97-4C6D-9CFD-78DC95217D21}" cache="Slicer_MONTH4" caption="MONTH"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3" xr10:uid="{809C56E7-653B-495D-9586-8550701F8B90}" cache="Slicer_DAY3" caption="DAY" columnCount="7" rowHeight="241300"/>
  <slicer name="MONTH 3" xr10:uid="{E38586A9-C558-4A98-AFCF-78D10BF18392}" cache="Slicer_MONTH3" caption="MONTH"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4" xr10:uid="{35860341-E1E3-4975-AF9B-7C7D5253DB9A}" cache="Slicer_DAY2" caption="DAY" columnCount="7" rowHeight="241300"/>
  <slicer name="MONTH 4" xr10:uid="{170A5BB5-9CCE-4F15-8410-E587E7A0981C}" cache="Slicer_MONTH2"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E1AD-2647-48D6-B1DC-039EF8B0C435}">
  <dimension ref="A1:F3"/>
  <sheetViews>
    <sheetView showGridLines="0" tabSelected="1" workbookViewId="0">
      <selection sqref="A1:F3"/>
    </sheetView>
  </sheetViews>
  <sheetFormatPr defaultRowHeight="14.5" x14ac:dyDescent="0.35"/>
  <sheetData>
    <row r="1" spans="1:6" x14ac:dyDescent="0.35">
      <c r="A1" s="69" t="s">
        <v>46</v>
      </c>
      <c r="B1" s="69"/>
      <c r="C1" s="69"/>
      <c r="D1" s="69"/>
      <c r="E1" s="69"/>
      <c r="F1" s="69"/>
    </row>
    <row r="2" spans="1:6" x14ac:dyDescent="0.35">
      <c r="A2" s="69"/>
      <c r="B2" s="69"/>
      <c r="C2" s="69"/>
      <c r="D2" s="69"/>
      <c r="E2" s="69"/>
      <c r="F2" s="69"/>
    </row>
    <row r="3" spans="1:6" x14ac:dyDescent="0.35">
      <c r="A3" s="69"/>
      <c r="B3" s="69"/>
      <c r="C3" s="69"/>
      <c r="D3" s="69"/>
      <c r="E3" s="69"/>
      <c r="F3" s="69"/>
    </row>
  </sheetData>
  <mergeCells count="1">
    <mergeCell ref="A1:F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4A5EC-4B27-4290-B51F-37EA77CEF4EE}">
  <dimension ref="A1:AA66"/>
  <sheetViews>
    <sheetView showGridLines="0" topLeftCell="A40" zoomScale="63" zoomScaleNormal="63" workbookViewId="0">
      <selection activeCell="T37" sqref="T37"/>
    </sheetView>
  </sheetViews>
  <sheetFormatPr defaultRowHeight="14.5" x14ac:dyDescent="0.35"/>
  <cols>
    <col min="1" max="1" width="10.453125" style="2" bestFit="1" customWidth="1"/>
    <col min="2" max="2" width="9.1796875" style="2" bestFit="1" customWidth="1"/>
    <col min="3" max="3" width="9.54296875" style="2" bestFit="1" customWidth="1"/>
    <col min="4" max="4" width="14" style="2" bestFit="1" customWidth="1"/>
    <col min="5" max="5" width="17.6328125" style="2" customWidth="1"/>
    <col min="6" max="6" width="14.81640625" style="2" bestFit="1" customWidth="1"/>
    <col min="7" max="7" width="14.7265625" style="2" bestFit="1" customWidth="1"/>
    <col min="8" max="8" width="10.08984375" style="2" bestFit="1" customWidth="1"/>
    <col min="9" max="9" width="10.90625" style="2" customWidth="1"/>
    <col min="10" max="10" width="11.90625" style="2" bestFit="1" customWidth="1"/>
    <col min="11" max="11" width="10.08984375" style="2" bestFit="1" customWidth="1"/>
    <col min="12" max="12" width="15.1796875" style="2" bestFit="1" customWidth="1"/>
    <col min="13" max="13" width="21" style="2" bestFit="1" customWidth="1"/>
    <col min="14" max="15" width="8.7265625" style="2"/>
    <col min="17" max="17" width="20.90625" bestFit="1" customWidth="1"/>
    <col min="18" max="18" width="20" bestFit="1" customWidth="1"/>
    <col min="19" max="19" width="21.90625" bestFit="1" customWidth="1"/>
    <col min="20" max="20" width="20.90625" bestFit="1" customWidth="1"/>
    <col min="21" max="21" width="18.26953125" bestFit="1" customWidth="1"/>
    <col min="22" max="22" width="20.1796875" bestFit="1" customWidth="1"/>
    <col min="23" max="23" width="21" bestFit="1" customWidth="1"/>
    <col min="24" max="24" width="17" bestFit="1" customWidth="1"/>
    <col min="25" max="25" width="22.453125" bestFit="1" customWidth="1"/>
    <col min="26" max="26" width="12.90625" bestFit="1" customWidth="1"/>
    <col min="27" max="27" width="15.08984375" bestFit="1" customWidth="1"/>
  </cols>
  <sheetData>
    <row r="1" spans="1:8" ht="14.5" customHeight="1" x14ac:dyDescent="0.35">
      <c r="A1" s="62" t="s">
        <v>13</v>
      </c>
      <c r="B1" s="62"/>
      <c r="C1" s="62"/>
      <c r="D1" s="63" t="s">
        <v>12</v>
      </c>
      <c r="E1" s="6"/>
      <c r="H1" s="15"/>
    </row>
    <row r="2" spans="1:8" ht="14.5" customHeight="1" x14ac:dyDescent="0.35">
      <c r="A2" s="62"/>
      <c r="B2" s="62"/>
      <c r="C2" s="62"/>
      <c r="D2" s="63"/>
      <c r="E2" s="6"/>
      <c r="H2" s="15"/>
    </row>
    <row r="3" spans="1:8" ht="14.5" customHeight="1" x14ac:dyDescent="0.35">
      <c r="A3" s="3"/>
      <c r="B3" s="3"/>
      <c r="C3" s="3"/>
      <c r="D3" s="5"/>
      <c r="E3" s="6"/>
      <c r="F3" s="3"/>
      <c r="G3" s="16"/>
      <c r="H3" s="15"/>
    </row>
    <row r="4" spans="1:8" ht="14.5" customHeight="1" x14ac:dyDescent="0.35">
      <c r="A4" s="3"/>
      <c r="B4" s="3"/>
      <c r="C4" s="3"/>
      <c r="D4" s="64" t="s">
        <v>19</v>
      </c>
      <c r="E4" s="65">
        <f>SUM(E7:E20)-B23</f>
        <v>0</v>
      </c>
      <c r="F4" s="19"/>
      <c r="G4" s="16"/>
      <c r="H4" s="15"/>
    </row>
    <row r="5" spans="1:8" ht="14.5" customHeight="1" x14ac:dyDescent="0.35">
      <c r="A5" s="3"/>
      <c r="B5" s="3"/>
      <c r="C5" s="3"/>
      <c r="D5" s="64"/>
      <c r="E5" s="65"/>
      <c r="F5" s="19"/>
      <c r="G5" s="16"/>
      <c r="H5" s="15"/>
    </row>
    <row r="6" spans="1:8" ht="14.5" customHeight="1" x14ac:dyDescent="0.35">
      <c r="A6"/>
      <c r="B6"/>
      <c r="C6"/>
      <c r="D6" s="17" t="s">
        <v>0</v>
      </c>
      <c r="E6" s="20" t="s">
        <v>41</v>
      </c>
      <c r="F6" s="20" t="s">
        <v>40</v>
      </c>
      <c r="G6" s="48" t="s">
        <v>39</v>
      </c>
      <c r="H6" s="15"/>
    </row>
    <row r="7" spans="1:8" ht="14.5" customHeight="1" x14ac:dyDescent="0.35">
      <c r="A7"/>
      <c r="B7"/>
      <c r="C7"/>
      <c r="D7" s="18"/>
      <c r="E7" s="21"/>
      <c r="F7" s="22"/>
      <c r="G7" s="51"/>
      <c r="H7" s="15"/>
    </row>
    <row r="8" spans="1:8" ht="14.5" customHeight="1" x14ac:dyDescent="0.35">
      <c r="A8"/>
      <c r="B8"/>
      <c r="C8"/>
      <c r="D8" s="18"/>
      <c r="E8" s="21"/>
      <c r="F8" s="21"/>
      <c r="G8" s="51"/>
      <c r="H8" s="15"/>
    </row>
    <row r="9" spans="1:8" ht="14.5" customHeight="1" x14ac:dyDescent="0.35">
      <c r="A9"/>
      <c r="B9"/>
      <c r="C9"/>
      <c r="D9" s="18"/>
      <c r="E9" s="21"/>
      <c r="F9" s="21"/>
      <c r="G9" s="51"/>
      <c r="H9" s="15"/>
    </row>
    <row r="10" spans="1:8" ht="14.5" customHeight="1" x14ac:dyDescent="0.35">
      <c r="A10"/>
      <c r="B10"/>
      <c r="C10"/>
      <c r="D10" s="18"/>
      <c r="E10" s="21"/>
      <c r="F10" s="21"/>
      <c r="G10" s="51"/>
      <c r="H10" s="15"/>
    </row>
    <row r="11" spans="1:8" ht="14.5" customHeight="1" x14ac:dyDescent="0.35">
      <c r="A11"/>
      <c r="B11"/>
      <c r="C11"/>
      <c r="D11" s="18"/>
      <c r="E11" s="21"/>
      <c r="F11" s="21"/>
      <c r="G11" s="51"/>
      <c r="H11" s="15"/>
    </row>
    <row r="12" spans="1:8" ht="14.5" customHeight="1" x14ac:dyDescent="0.35">
      <c r="A12"/>
      <c r="B12"/>
      <c r="C12"/>
      <c r="D12" s="18"/>
      <c r="E12" s="21"/>
      <c r="F12" s="21"/>
      <c r="G12" s="51"/>
      <c r="H12" s="15"/>
    </row>
    <row r="13" spans="1:8" ht="14.5" customHeight="1" x14ac:dyDescent="0.35">
      <c r="A13"/>
      <c r="B13"/>
      <c r="C13"/>
      <c r="D13" s="18"/>
      <c r="E13" s="21"/>
      <c r="F13" s="21"/>
      <c r="G13" s="51"/>
      <c r="H13" s="15"/>
    </row>
    <row r="14" spans="1:8" ht="14.5" customHeight="1" x14ac:dyDescent="0.35">
      <c r="A14"/>
      <c r="B14"/>
      <c r="C14"/>
      <c r="D14" s="18"/>
      <c r="E14" s="21"/>
      <c r="F14" s="21"/>
      <c r="G14" s="51"/>
      <c r="H14" s="15"/>
    </row>
    <row r="15" spans="1:8" ht="14.5" customHeight="1" x14ac:dyDescent="0.35">
      <c r="A15"/>
      <c r="B15"/>
      <c r="C15"/>
      <c r="D15" s="18"/>
      <c r="E15" s="21"/>
      <c r="F15" s="21"/>
      <c r="G15" s="51"/>
      <c r="H15" s="15"/>
    </row>
    <row r="16" spans="1:8" ht="14.5" customHeight="1" x14ac:dyDescent="0.35">
      <c r="A16"/>
      <c r="B16"/>
      <c r="C16"/>
      <c r="D16" s="18"/>
      <c r="E16" s="21"/>
      <c r="F16" s="21"/>
      <c r="G16" s="51"/>
      <c r="H16" s="15"/>
    </row>
    <row r="17" spans="1:27" ht="14.5" customHeight="1" x14ac:dyDescent="0.35">
      <c r="A17"/>
      <c r="B17"/>
      <c r="C17"/>
      <c r="D17" s="18"/>
      <c r="E17" s="21"/>
      <c r="F17" s="21"/>
      <c r="G17" s="51"/>
      <c r="H17" s="15"/>
    </row>
    <row r="18" spans="1:27" ht="14.5" customHeight="1" x14ac:dyDescent="0.35">
      <c r="A18"/>
      <c r="B18"/>
      <c r="C18"/>
      <c r="D18" s="18"/>
      <c r="E18" s="21"/>
      <c r="F18" s="21"/>
      <c r="G18" s="51"/>
      <c r="H18" s="15"/>
    </row>
    <row r="19" spans="1:27" ht="14.5" customHeight="1" x14ac:dyDescent="0.35">
      <c r="A19"/>
      <c r="B19"/>
      <c r="C19"/>
      <c r="D19" s="18"/>
      <c r="E19" s="21"/>
      <c r="F19" s="21"/>
      <c r="G19" s="51"/>
      <c r="H19" s="15"/>
    </row>
    <row r="20" spans="1:27" ht="14.5" customHeight="1" x14ac:dyDescent="0.35">
      <c r="A20"/>
      <c r="B20"/>
      <c r="C20"/>
      <c r="D20" s="18"/>
      <c r="E20" s="21"/>
      <c r="F20" s="21"/>
      <c r="G20" s="52"/>
    </row>
    <row r="21" spans="1:27" ht="14.5" customHeight="1" x14ac:dyDescent="0.35">
      <c r="A21" s="3"/>
      <c r="B21" s="3"/>
      <c r="C21" s="3"/>
      <c r="D21" s="5"/>
      <c r="E21" s="6"/>
    </row>
    <row r="22" spans="1:27" ht="14.5" customHeight="1" x14ac:dyDescent="0.35">
      <c r="A22" s="3"/>
      <c r="B22" s="3"/>
      <c r="C22" s="3"/>
      <c r="D22" s="5"/>
      <c r="E22" s="6"/>
    </row>
    <row r="23" spans="1:27" ht="14.5" customHeight="1" x14ac:dyDescent="0.35">
      <c r="A23" s="3" t="s">
        <v>18</v>
      </c>
      <c r="B23" s="66">
        <f>SUM(D23:N23)</f>
        <v>0</v>
      </c>
      <c r="C23" s="67"/>
      <c r="D23" s="8">
        <f>SUM(D28:D41)*D24</f>
        <v>0</v>
      </c>
      <c r="E23" s="8">
        <f t="shared" ref="E23:K23" si="0">SUM(E28:E41)*E24</f>
        <v>0</v>
      </c>
      <c r="F23" s="8">
        <f t="shared" si="0"/>
        <v>0</v>
      </c>
      <c r="G23" s="8">
        <f t="shared" si="0"/>
        <v>0</v>
      </c>
      <c r="H23" s="8">
        <f t="shared" si="0"/>
        <v>0</v>
      </c>
      <c r="I23" s="8">
        <f t="shared" si="0"/>
        <v>0</v>
      </c>
      <c r="J23" s="8">
        <f t="shared" si="0"/>
        <v>0</v>
      </c>
      <c r="K23" s="8">
        <f t="shared" si="0"/>
        <v>0</v>
      </c>
      <c r="L23" s="8">
        <f t="shared" ref="L23" si="1">SUM(L28:L41)*L24</f>
        <v>0</v>
      </c>
      <c r="M23" s="8">
        <f t="shared" ref="M23" si="2">SUM(M28:M41)*M24</f>
        <v>0</v>
      </c>
      <c r="N23" s="8">
        <f t="shared" ref="N23" si="3">SUM(N28:N41)*N24</f>
        <v>0</v>
      </c>
      <c r="O23" s="8"/>
    </row>
    <row r="24" spans="1:27" x14ac:dyDescent="0.35">
      <c r="A24" s="14" t="s">
        <v>17</v>
      </c>
      <c r="B24"/>
      <c r="C24" s="13"/>
      <c r="D24" s="9">
        <v>68000</v>
      </c>
      <c r="E24" s="9">
        <v>70000</v>
      </c>
      <c r="F24" s="9">
        <v>81000</v>
      </c>
      <c r="G24" s="9">
        <v>81000</v>
      </c>
      <c r="H24" s="9">
        <v>32000</v>
      </c>
      <c r="I24" s="9">
        <v>39000</v>
      </c>
      <c r="J24" s="9">
        <v>51000</v>
      </c>
      <c r="K24" s="9">
        <v>45000</v>
      </c>
      <c r="L24" s="10">
        <v>18000</v>
      </c>
      <c r="M24" s="10">
        <v>70000</v>
      </c>
      <c r="N24" s="10">
        <v>72000</v>
      </c>
      <c r="O24" s="11"/>
    </row>
    <row r="25" spans="1:27" x14ac:dyDescent="0.35">
      <c r="D25" s="12"/>
      <c r="E25" s="12"/>
      <c r="F25" s="12"/>
      <c r="G25" s="12"/>
      <c r="H25" s="12"/>
      <c r="I25" s="12"/>
      <c r="J25" s="12"/>
      <c r="K25" s="12"/>
      <c r="L25"/>
      <c r="M25"/>
      <c r="N25"/>
      <c r="O25"/>
    </row>
    <row r="26" spans="1:27" x14ac:dyDescent="0.35">
      <c r="D26" s="12"/>
      <c r="E26" s="12"/>
      <c r="F26" s="12"/>
      <c r="G26" s="12"/>
      <c r="H26" s="12"/>
      <c r="I26" s="12"/>
      <c r="J26" s="12"/>
      <c r="K26" s="12"/>
      <c r="L26"/>
      <c r="M26"/>
      <c r="N26"/>
      <c r="O26"/>
    </row>
    <row r="27" spans="1:27" ht="29" x14ac:dyDescent="0.35">
      <c r="A27" s="1" t="s">
        <v>0</v>
      </c>
      <c r="B27" s="1" t="s">
        <v>1</v>
      </c>
      <c r="C27" s="1" t="s">
        <v>2</v>
      </c>
      <c r="D27" s="42" t="s">
        <v>3</v>
      </c>
      <c r="E27" s="42" t="s">
        <v>4</v>
      </c>
      <c r="F27" s="42" t="s">
        <v>5</v>
      </c>
      <c r="G27" s="42" t="s">
        <v>6</v>
      </c>
      <c r="H27" s="42" t="s">
        <v>7</v>
      </c>
      <c r="I27" s="42" t="s">
        <v>8</v>
      </c>
      <c r="J27" s="42" t="s">
        <v>9</v>
      </c>
      <c r="K27" s="42" t="s">
        <v>10</v>
      </c>
      <c r="L27" s="43" t="s">
        <v>14</v>
      </c>
      <c r="M27" s="43" t="s">
        <v>15</v>
      </c>
      <c r="N27" s="43" t="s">
        <v>16</v>
      </c>
      <c r="O27" s="47" t="s">
        <v>18</v>
      </c>
      <c r="Q27" t="s">
        <v>20</v>
      </c>
      <c r="R27" t="s">
        <v>21</v>
      </c>
      <c r="S27" t="s">
        <v>22</v>
      </c>
      <c r="T27" t="s">
        <v>23</v>
      </c>
      <c r="U27" t="s">
        <v>34</v>
      </c>
      <c r="V27" t="s">
        <v>24</v>
      </c>
      <c r="W27" t="s">
        <v>35</v>
      </c>
      <c r="X27" t="s">
        <v>36</v>
      </c>
      <c r="Y27" t="s">
        <v>25</v>
      </c>
      <c r="Z27" t="s">
        <v>37</v>
      </c>
      <c r="AA27" t="s">
        <v>38</v>
      </c>
    </row>
    <row r="28" spans="1:27" x14ac:dyDescent="0.35">
      <c r="A28" s="7"/>
      <c r="B28" s="4">
        <f>WEEKNUM(A28)</f>
        <v>0</v>
      </c>
      <c r="C28" s="7" t="str">
        <f>TEXT(A28,"mmmm")</f>
        <v>January</v>
      </c>
      <c r="D28" s="4"/>
      <c r="E28" s="4"/>
      <c r="F28" s="4"/>
      <c r="G28" s="4"/>
      <c r="H28" s="4"/>
      <c r="I28" s="4"/>
      <c r="J28" s="4"/>
      <c r="K28" s="4"/>
      <c r="L28" s="4"/>
      <c r="M28" s="4"/>
      <c r="N28" s="4"/>
      <c r="O28" s="2">
        <f>SUM(D28:N28)</f>
        <v>0</v>
      </c>
      <c r="Q28" s="70"/>
      <c r="R28" s="70"/>
      <c r="S28" s="70"/>
      <c r="T28" s="70"/>
      <c r="U28" s="70"/>
      <c r="V28" s="70"/>
      <c r="W28" s="70"/>
      <c r="X28" s="70"/>
      <c r="Y28" s="70"/>
      <c r="Z28" s="70"/>
      <c r="AA28" s="70"/>
    </row>
    <row r="29" spans="1:27" x14ac:dyDescent="0.35">
      <c r="A29" s="7"/>
      <c r="B29" s="4">
        <f t="shared" ref="B29:B40" si="4">WEEKNUM(A29)</f>
        <v>0</v>
      </c>
      <c r="C29" s="7" t="str">
        <f t="shared" ref="C29:C40" si="5">TEXT(A29,"mmmm")</f>
        <v>January</v>
      </c>
      <c r="D29" s="4"/>
      <c r="E29" s="4"/>
      <c r="F29" s="4"/>
      <c r="G29" s="4"/>
      <c r="H29" s="4"/>
      <c r="I29" s="4"/>
      <c r="J29" s="4"/>
      <c r="K29" s="4"/>
      <c r="L29" s="4"/>
      <c r="M29" s="4"/>
      <c r="N29" s="4"/>
      <c r="O29" s="2">
        <f t="shared" ref="O29:O41" si="6">SUM(D29:N29)</f>
        <v>0</v>
      </c>
    </row>
    <row r="30" spans="1:27" x14ac:dyDescent="0.35">
      <c r="A30" s="7"/>
      <c r="B30" s="4">
        <f t="shared" si="4"/>
        <v>0</v>
      </c>
      <c r="C30" s="7" t="str">
        <f t="shared" si="5"/>
        <v>January</v>
      </c>
      <c r="D30" s="4"/>
      <c r="E30" s="4"/>
      <c r="F30" s="4"/>
      <c r="G30" s="4"/>
      <c r="H30" s="4"/>
      <c r="I30" s="4"/>
      <c r="J30" s="4"/>
      <c r="K30" s="4"/>
      <c r="L30" s="4"/>
      <c r="M30" s="4"/>
      <c r="N30" s="4"/>
      <c r="O30" s="2">
        <f t="shared" si="6"/>
        <v>0</v>
      </c>
    </row>
    <row r="31" spans="1:27" x14ac:dyDescent="0.35">
      <c r="A31" s="7"/>
      <c r="B31" s="4">
        <f t="shared" si="4"/>
        <v>0</v>
      </c>
      <c r="C31" s="7" t="str">
        <f t="shared" si="5"/>
        <v>January</v>
      </c>
      <c r="D31" s="55"/>
      <c r="E31" s="55"/>
      <c r="F31" s="55"/>
      <c r="G31" s="55"/>
      <c r="H31" s="55"/>
      <c r="I31" s="55"/>
      <c r="J31" s="55"/>
      <c r="K31" s="55"/>
      <c r="L31" s="4"/>
      <c r="M31" s="4"/>
      <c r="N31" s="4"/>
      <c r="O31" s="2">
        <f t="shared" si="6"/>
        <v>0</v>
      </c>
    </row>
    <row r="32" spans="1:27" x14ac:dyDescent="0.35">
      <c r="A32" s="7"/>
      <c r="B32" s="4">
        <f t="shared" si="4"/>
        <v>0</v>
      </c>
      <c r="C32" s="7" t="str">
        <f t="shared" si="5"/>
        <v>January</v>
      </c>
      <c r="D32" s="55"/>
      <c r="E32" s="55"/>
      <c r="F32" s="55"/>
      <c r="G32" s="55"/>
      <c r="H32" s="55"/>
      <c r="I32" s="55"/>
      <c r="J32" s="55"/>
      <c r="K32" s="55"/>
      <c r="L32" s="4"/>
      <c r="M32" s="4"/>
      <c r="N32" s="4"/>
      <c r="O32" s="2">
        <f t="shared" si="6"/>
        <v>0</v>
      </c>
    </row>
    <row r="33" spans="1:15" x14ac:dyDescent="0.35">
      <c r="A33" s="4"/>
      <c r="B33" s="4">
        <f t="shared" si="4"/>
        <v>0</v>
      </c>
      <c r="C33" s="7" t="str">
        <f t="shared" si="5"/>
        <v>January</v>
      </c>
      <c r="D33" s="4"/>
      <c r="E33" s="4"/>
      <c r="F33" s="4"/>
      <c r="G33" s="4"/>
      <c r="H33" s="4"/>
      <c r="I33" s="4"/>
      <c r="J33" s="4"/>
      <c r="K33" s="4"/>
      <c r="L33" s="4"/>
      <c r="M33" s="4"/>
      <c r="N33" s="4"/>
      <c r="O33" s="2">
        <f t="shared" si="6"/>
        <v>0</v>
      </c>
    </row>
    <row r="34" spans="1:15" x14ac:dyDescent="0.35">
      <c r="A34" s="4"/>
      <c r="B34" s="4">
        <f t="shared" si="4"/>
        <v>0</v>
      </c>
      <c r="C34" s="7" t="str">
        <f t="shared" si="5"/>
        <v>January</v>
      </c>
      <c r="D34" s="4"/>
      <c r="E34" s="4"/>
      <c r="F34" s="4"/>
      <c r="G34" s="4"/>
      <c r="H34" s="4"/>
      <c r="I34" s="4"/>
      <c r="J34" s="4"/>
      <c r="K34" s="4"/>
      <c r="L34" s="4"/>
      <c r="M34" s="4"/>
      <c r="N34" s="4"/>
      <c r="O34" s="2">
        <f t="shared" si="6"/>
        <v>0</v>
      </c>
    </row>
    <row r="35" spans="1:15" x14ac:dyDescent="0.35">
      <c r="A35" s="4"/>
      <c r="B35" s="4">
        <f t="shared" si="4"/>
        <v>0</v>
      </c>
      <c r="C35" s="7" t="str">
        <f t="shared" si="5"/>
        <v>January</v>
      </c>
      <c r="D35" s="4"/>
      <c r="E35" s="4"/>
      <c r="F35" s="4"/>
      <c r="G35" s="4"/>
      <c r="H35" s="4"/>
      <c r="I35" s="4"/>
      <c r="J35" s="4"/>
      <c r="K35" s="4"/>
      <c r="L35" s="4"/>
      <c r="M35" s="4"/>
      <c r="N35" s="4"/>
      <c r="O35" s="2">
        <f t="shared" si="6"/>
        <v>0</v>
      </c>
    </row>
    <row r="36" spans="1:15" x14ac:dyDescent="0.35">
      <c r="A36" s="4"/>
      <c r="B36" s="4">
        <f t="shared" si="4"/>
        <v>0</v>
      </c>
      <c r="C36" s="7" t="str">
        <f t="shared" si="5"/>
        <v>January</v>
      </c>
      <c r="D36" s="4"/>
      <c r="E36" s="4"/>
      <c r="F36" s="4"/>
      <c r="G36" s="4"/>
      <c r="H36" s="4"/>
      <c r="I36" s="4"/>
      <c r="J36" s="4"/>
      <c r="K36" s="4"/>
      <c r="L36" s="4"/>
      <c r="M36" s="4"/>
      <c r="N36" s="4"/>
      <c r="O36" s="2">
        <f t="shared" si="6"/>
        <v>0</v>
      </c>
    </row>
    <row r="37" spans="1:15" x14ac:dyDescent="0.35">
      <c r="A37" s="4"/>
      <c r="B37" s="4">
        <f t="shared" si="4"/>
        <v>0</v>
      </c>
      <c r="C37" s="7" t="str">
        <f t="shared" si="5"/>
        <v>January</v>
      </c>
      <c r="D37" s="4"/>
      <c r="E37" s="4"/>
      <c r="F37" s="4"/>
      <c r="G37" s="4"/>
      <c r="H37" s="4"/>
      <c r="I37" s="4"/>
      <c r="J37" s="4"/>
      <c r="K37" s="4"/>
      <c r="L37" s="4"/>
      <c r="M37" s="4"/>
      <c r="N37" s="4"/>
      <c r="O37" s="2">
        <f t="shared" si="6"/>
        <v>0</v>
      </c>
    </row>
    <row r="38" spans="1:15" x14ac:dyDescent="0.35">
      <c r="A38" s="4"/>
      <c r="B38" s="4">
        <f t="shared" si="4"/>
        <v>0</v>
      </c>
      <c r="C38" s="7" t="str">
        <f t="shared" si="5"/>
        <v>January</v>
      </c>
      <c r="D38" s="4"/>
      <c r="E38" s="4"/>
      <c r="F38" s="4"/>
      <c r="G38" s="4"/>
      <c r="H38" s="4"/>
      <c r="I38" s="4"/>
      <c r="J38" s="4"/>
      <c r="K38" s="4"/>
      <c r="L38" s="4"/>
      <c r="M38" s="4"/>
      <c r="N38" s="4"/>
      <c r="O38" s="2">
        <f t="shared" si="6"/>
        <v>0</v>
      </c>
    </row>
    <row r="39" spans="1:15" x14ac:dyDescent="0.35">
      <c r="A39" s="4"/>
      <c r="B39" s="4">
        <f t="shared" si="4"/>
        <v>0</v>
      </c>
      <c r="C39" s="7" t="str">
        <f t="shared" si="5"/>
        <v>January</v>
      </c>
      <c r="D39" s="4"/>
      <c r="E39" s="4"/>
      <c r="F39" s="4"/>
      <c r="G39" s="4"/>
      <c r="H39" s="4"/>
      <c r="I39" s="4"/>
      <c r="J39" s="4"/>
      <c r="K39" s="4"/>
      <c r="L39" s="4"/>
      <c r="M39" s="4"/>
      <c r="N39" s="4"/>
      <c r="O39" s="2">
        <f t="shared" si="6"/>
        <v>0</v>
      </c>
    </row>
    <row r="40" spans="1:15" x14ac:dyDescent="0.35">
      <c r="A40" s="4"/>
      <c r="B40" s="4">
        <f t="shared" si="4"/>
        <v>0</v>
      </c>
      <c r="C40" s="7" t="str">
        <f t="shared" si="5"/>
        <v>January</v>
      </c>
      <c r="D40" s="4"/>
      <c r="E40" s="4"/>
      <c r="F40" s="4"/>
      <c r="G40" s="4"/>
      <c r="H40" s="4"/>
      <c r="I40" s="4"/>
      <c r="J40" s="4"/>
      <c r="K40" s="4"/>
      <c r="L40" s="4"/>
      <c r="M40" s="4"/>
      <c r="N40" s="4"/>
      <c r="O40" s="2">
        <f t="shared" si="6"/>
        <v>0</v>
      </c>
    </row>
    <row r="41" spans="1:15" x14ac:dyDescent="0.35">
      <c r="A41" s="4"/>
      <c r="B41" s="4"/>
      <c r="C41" s="4"/>
      <c r="D41" s="4"/>
      <c r="E41" s="4"/>
      <c r="F41" s="4"/>
      <c r="G41" s="4"/>
      <c r="H41" s="4"/>
      <c r="I41" s="4"/>
      <c r="J41" s="4"/>
      <c r="K41" s="4"/>
      <c r="L41" s="4"/>
      <c r="M41" s="4"/>
      <c r="N41" s="4"/>
      <c r="O41" s="2">
        <f t="shared" si="6"/>
        <v>0</v>
      </c>
    </row>
    <row r="45" spans="1:15" ht="15" thickBot="1" x14ac:dyDescent="0.4">
      <c r="F45"/>
      <c r="G45"/>
      <c r="H45"/>
      <c r="I45"/>
      <c r="J45"/>
      <c r="K45"/>
      <c r="L45"/>
      <c r="M45"/>
      <c r="N45"/>
      <c r="O45"/>
    </row>
    <row r="46" spans="1:15" x14ac:dyDescent="0.35">
      <c r="F46"/>
      <c r="G46" s="23" t="s">
        <v>26</v>
      </c>
      <c r="H46" s="24" t="s">
        <v>27</v>
      </c>
      <c r="I46" s="25">
        <v>45977</v>
      </c>
      <c r="J46" s="26" t="s">
        <v>28</v>
      </c>
      <c r="K46" s="27">
        <v>45983</v>
      </c>
      <c r="L46" s="24"/>
      <c r="M46" s="28"/>
      <c r="N46"/>
      <c r="O46"/>
    </row>
    <row r="47" spans="1:15" x14ac:dyDescent="0.35">
      <c r="F47"/>
      <c r="G47" s="29" t="s">
        <v>11</v>
      </c>
      <c r="H47" s="68" t="str">
        <f>D1</f>
        <v>JOING</v>
      </c>
      <c r="I47" s="68"/>
      <c r="J47" s="30"/>
      <c r="K47" s="30"/>
      <c r="L47" s="30"/>
      <c r="M47" s="31"/>
      <c r="N47"/>
      <c r="O47"/>
    </row>
    <row r="48" spans="1:15" x14ac:dyDescent="0.35">
      <c r="F48"/>
      <c r="G48" s="29" t="s">
        <v>29</v>
      </c>
      <c r="H48" s="30"/>
      <c r="I48" s="30"/>
      <c r="J48" s="30"/>
      <c r="K48" s="30"/>
      <c r="L48" s="30"/>
      <c r="M48" s="31"/>
      <c r="N48"/>
      <c r="O48"/>
    </row>
    <row r="49" spans="6:15" x14ac:dyDescent="0.35">
      <c r="F49"/>
      <c r="G49" s="32" t="str">
        <f>IF(I49=0,"","Gotik Duyung")</f>
        <v/>
      </c>
      <c r="H49" s="30" t="s">
        <v>27</v>
      </c>
      <c r="I49" s="40">
        <f>$Q$28</f>
        <v>0</v>
      </c>
      <c r="J49" s="30" t="s">
        <v>30</v>
      </c>
      <c r="K49" s="41" t="str">
        <f>IF(I49=0,"","68000")</f>
        <v/>
      </c>
      <c r="L49" s="30" t="s">
        <v>31</v>
      </c>
      <c r="M49" s="33" t="str">
        <f>IFERROR(I49*K49,"")</f>
        <v/>
      </c>
      <c r="N49"/>
      <c r="O49"/>
    </row>
    <row r="50" spans="6:15" x14ac:dyDescent="0.35">
      <c r="F50"/>
      <c r="G50" s="32" t="str">
        <f>IF(I50=0,"","Gotik Plisket")</f>
        <v/>
      </c>
      <c r="H50" s="30" t="s">
        <v>27</v>
      </c>
      <c r="I50" s="40">
        <f>$R$28</f>
        <v>0</v>
      </c>
      <c r="J50" s="30" t="s">
        <v>30</v>
      </c>
      <c r="K50" s="41" t="str">
        <f>IF(I50=0,"","70000")</f>
        <v/>
      </c>
      <c r="L50" s="30" t="s">
        <v>31</v>
      </c>
      <c r="M50" s="33" t="str">
        <f>IFERROR(I50*K50,"")</f>
        <v/>
      </c>
      <c r="N50"/>
      <c r="O50"/>
    </row>
    <row r="51" spans="6:15" x14ac:dyDescent="0.35">
      <c r="F51"/>
      <c r="G51" s="32" t="str">
        <f>IF(I51=0,"","Slayer Duyung")</f>
        <v/>
      </c>
      <c r="H51" s="30" t="s">
        <v>27</v>
      </c>
      <c r="I51" s="40">
        <f>S28</f>
        <v>0</v>
      </c>
      <c r="J51" s="30" t="s">
        <v>30</v>
      </c>
      <c r="K51" s="41" t="str">
        <f>IF(I51=0,"","81000")</f>
        <v/>
      </c>
      <c r="L51" s="30" t="s">
        <v>31</v>
      </c>
      <c r="M51" s="33" t="str">
        <f>IFERROR(I51*K51,"")</f>
        <v/>
      </c>
      <c r="N51"/>
      <c r="O51"/>
    </row>
    <row r="52" spans="6:15" x14ac:dyDescent="0.35">
      <c r="F52"/>
      <c r="G52" s="32" t="str">
        <f>IF(I52=0,"","Slayer Prisket")</f>
        <v/>
      </c>
      <c r="H52" s="30" t="s">
        <v>27</v>
      </c>
      <c r="I52" s="40">
        <f>T28</f>
        <v>0</v>
      </c>
      <c r="J52" s="30" t="s">
        <v>30</v>
      </c>
      <c r="K52" s="41" t="str">
        <f>IF(I52=0,"","81000")</f>
        <v/>
      </c>
      <c r="L52" s="30" t="s">
        <v>31</v>
      </c>
      <c r="M52" s="33" t="str">
        <f>IFERROR(I52*K52,"")</f>
        <v/>
      </c>
      <c r="N52"/>
      <c r="O52"/>
    </row>
    <row r="53" spans="6:15" x14ac:dyDescent="0.35">
      <c r="F53"/>
      <c r="G53" s="32" t="str">
        <f>IF(I53=0,"","Rok Prisket")</f>
        <v/>
      </c>
      <c r="H53" s="30" t="s">
        <v>27</v>
      </c>
      <c r="I53" s="40">
        <f>U28</f>
        <v>0</v>
      </c>
      <c r="J53" s="30" t="s">
        <v>30</v>
      </c>
      <c r="K53" s="41" t="str">
        <f>IF(I53=0,"","32000")</f>
        <v/>
      </c>
      <c r="L53" s="30" t="s">
        <v>31</v>
      </c>
      <c r="M53" s="33" t="str">
        <f t="shared" ref="M53:M56" si="7">IFERROR(I53*K53,"")</f>
        <v/>
      </c>
      <c r="N53"/>
      <c r="O53"/>
    </row>
    <row r="54" spans="6:15" x14ac:dyDescent="0.35">
      <c r="F54"/>
      <c r="G54" s="32" t="str">
        <f>IF(I54=0,"","Atasan Gotik")</f>
        <v/>
      </c>
      <c r="H54" s="30" t="s">
        <v>27</v>
      </c>
      <c r="I54" s="40">
        <f>V28</f>
        <v>0</v>
      </c>
      <c r="J54" s="30" t="s">
        <v>30</v>
      </c>
      <c r="K54" s="41" t="str">
        <f>IF(I54=0,"","39000")</f>
        <v/>
      </c>
      <c r="L54" s="30" t="s">
        <v>31</v>
      </c>
      <c r="M54" s="33" t="str">
        <f t="shared" si="7"/>
        <v/>
      </c>
      <c r="N54"/>
      <c r="O54"/>
    </row>
    <row r="55" spans="6:15" x14ac:dyDescent="0.35">
      <c r="F55"/>
      <c r="G55" s="32" t="str">
        <f>IF(I55=0,"","Atasan Slayer")</f>
        <v/>
      </c>
      <c r="H55" s="30" t="s">
        <v>27</v>
      </c>
      <c r="I55" s="40">
        <f>W28</f>
        <v>0</v>
      </c>
      <c r="J55" s="30" t="s">
        <v>30</v>
      </c>
      <c r="K55" s="41" t="str">
        <f>IF(I55=0,"","51000")</f>
        <v/>
      </c>
      <c r="L55" s="30" t="s">
        <v>31</v>
      </c>
      <c r="M55" s="33" t="str">
        <f t="shared" si="7"/>
        <v/>
      </c>
      <c r="N55"/>
      <c r="O55"/>
    </row>
    <row r="56" spans="6:15" ht="15" thickBot="1" x14ac:dyDescent="0.4">
      <c r="F56"/>
      <c r="G56" s="32" t="str">
        <f>IF(I56=0,"","Kutubaru")</f>
        <v/>
      </c>
      <c r="H56" s="30" t="s">
        <v>27</v>
      </c>
      <c r="I56" s="40">
        <f>X28</f>
        <v>0</v>
      </c>
      <c r="J56" s="30" t="s">
        <v>30</v>
      </c>
      <c r="K56" s="41" t="str">
        <f>IF(I56=0,"","45000")</f>
        <v/>
      </c>
      <c r="L56" s="30" t="s">
        <v>31</v>
      </c>
      <c r="M56" s="34" t="str">
        <f t="shared" si="7"/>
        <v/>
      </c>
      <c r="N56"/>
      <c r="O56"/>
    </row>
    <row r="57" spans="6:15" x14ac:dyDescent="0.35">
      <c r="F57"/>
      <c r="G57" s="29" t="s">
        <v>32</v>
      </c>
      <c r="H57" s="30"/>
      <c r="I57" s="30"/>
      <c r="J57" s="30"/>
      <c r="K57" s="30"/>
      <c r="L57" s="30"/>
      <c r="M57" s="35">
        <f>SUM(M49:M56)+I65</f>
        <v>0</v>
      </c>
      <c r="N57"/>
      <c r="O57"/>
    </row>
    <row r="58" spans="6:15" x14ac:dyDescent="0.35">
      <c r="F58"/>
      <c r="G58" s="44" t="str">
        <f>IF(I58=0,"","Plastik Packing")</f>
        <v/>
      </c>
      <c r="H58" s="30" t="s">
        <v>27</v>
      </c>
      <c r="I58" s="40">
        <f>Y28</f>
        <v>0</v>
      </c>
      <c r="J58" s="30" t="s">
        <v>30</v>
      </c>
      <c r="K58" s="41" t="str">
        <f>IF(I58=0,"","18000")</f>
        <v/>
      </c>
      <c r="L58" s="30" t="s">
        <v>31</v>
      </c>
      <c r="M58" s="45" t="str">
        <f>IFERROR(I58*K58,"")</f>
        <v/>
      </c>
      <c r="N58"/>
      <c r="O58"/>
    </row>
    <row r="59" spans="6:15" x14ac:dyDescent="0.35">
      <c r="F59"/>
      <c r="G59" s="44" t="str">
        <f>IF(I59=0,"","Indah")</f>
        <v/>
      </c>
      <c r="H59" s="30" t="s">
        <v>27</v>
      </c>
      <c r="I59" s="40">
        <f>Z28</f>
        <v>0</v>
      </c>
      <c r="J59" s="30" t="s">
        <v>30</v>
      </c>
      <c r="K59" s="41" t="str">
        <f>IF(I59=0,"","70000")</f>
        <v/>
      </c>
      <c r="L59" s="30" t="s">
        <v>31</v>
      </c>
      <c r="M59" s="35"/>
      <c r="N59"/>
      <c r="O59"/>
    </row>
    <row r="60" spans="6:15" ht="16.5" thickBot="1" x14ac:dyDescent="0.55000000000000004">
      <c r="G60" s="44" t="str">
        <f>IF(I60=0,"","Mayang")</f>
        <v/>
      </c>
      <c r="H60" s="30" t="s">
        <v>27</v>
      </c>
      <c r="I60" s="40">
        <f>AA28</f>
        <v>0</v>
      </c>
      <c r="J60" s="30" t="s">
        <v>30</v>
      </c>
      <c r="K60" s="41" t="str">
        <f>IF(I60=0,"","72000")</f>
        <v/>
      </c>
      <c r="L60" s="30" t="s">
        <v>31</v>
      </c>
      <c r="M60" s="46"/>
    </row>
    <row r="61" spans="6:15" x14ac:dyDescent="0.35">
      <c r="G61" s="29"/>
      <c r="H61" s="30"/>
      <c r="I61" s="30"/>
      <c r="J61" s="30"/>
      <c r="K61" s="30"/>
      <c r="L61" s="30"/>
      <c r="M61" s="35">
        <f>SUM(M58:M60)</f>
        <v>0</v>
      </c>
    </row>
    <row r="62" spans="6:15" x14ac:dyDescent="0.35">
      <c r="G62" s="29"/>
      <c r="H62" s="30"/>
      <c r="I62" s="30"/>
      <c r="J62" s="30"/>
      <c r="K62" s="30"/>
      <c r="L62" s="30"/>
      <c r="M62" s="35"/>
    </row>
    <row r="63" spans="6:15" ht="14.5" customHeight="1" x14ac:dyDescent="0.35">
      <c r="G63" s="29"/>
      <c r="H63" s="30"/>
      <c r="I63" s="30"/>
      <c r="J63" s="30"/>
      <c r="K63" s="60" t="s">
        <v>33</v>
      </c>
      <c r="L63" s="60"/>
      <c r="M63" s="61">
        <f>M57+M61</f>
        <v>0</v>
      </c>
    </row>
    <row r="64" spans="6:15" ht="14.5" customHeight="1" x14ac:dyDescent="0.35">
      <c r="G64" s="29"/>
      <c r="H64" s="30"/>
      <c r="I64" s="30"/>
      <c r="J64" s="30"/>
      <c r="K64" s="60"/>
      <c r="L64" s="60"/>
      <c r="M64" s="61"/>
    </row>
    <row r="65" spans="7:13" ht="15" thickBot="1" x14ac:dyDescent="0.4">
      <c r="G65" s="36"/>
      <c r="H65" s="37"/>
      <c r="I65" s="38"/>
      <c r="J65" s="37"/>
      <c r="K65" s="37"/>
      <c r="L65" s="37"/>
      <c r="M65" s="39"/>
    </row>
    <row r="66" spans="7:13" x14ac:dyDescent="0.35">
      <c r="G66"/>
      <c r="H66"/>
      <c r="I66"/>
      <c r="J66"/>
      <c r="K66"/>
      <c r="L66"/>
      <c r="M66"/>
    </row>
  </sheetData>
  <mergeCells count="8">
    <mergeCell ref="E4:E5"/>
    <mergeCell ref="H47:I47"/>
    <mergeCell ref="K63:L64"/>
    <mergeCell ref="M63:M64"/>
    <mergeCell ref="A1:C2"/>
    <mergeCell ref="D1:D2"/>
    <mergeCell ref="D4:D5"/>
    <mergeCell ref="B23:C2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057D2-04D6-446C-B31C-BCF3E759C4AB}">
  <dimension ref="A1:AA76"/>
  <sheetViews>
    <sheetView showGridLines="0" topLeftCell="A40" zoomScale="60" zoomScaleNormal="60" workbookViewId="0">
      <selection activeCell="D28" sqref="D28:K36"/>
    </sheetView>
  </sheetViews>
  <sheetFormatPr defaultRowHeight="14.5" x14ac:dyDescent="0.35"/>
  <cols>
    <col min="1" max="1" width="12.453125" style="2" customWidth="1"/>
    <col min="2" max="2" width="9.1796875" style="2" bestFit="1" customWidth="1"/>
    <col min="3" max="3" width="9.54296875" style="2" bestFit="1" customWidth="1"/>
    <col min="4" max="4" width="14" style="2" bestFit="1" customWidth="1"/>
    <col min="5" max="5" width="18.7265625" style="2" bestFit="1" customWidth="1"/>
    <col min="6" max="6" width="14.81640625" style="2" bestFit="1" customWidth="1"/>
    <col min="7" max="7" width="14.7265625" style="2" bestFit="1" customWidth="1"/>
    <col min="8" max="8" width="10.08984375" style="2" bestFit="1" customWidth="1"/>
    <col min="9" max="9" width="10.90625" style="2" customWidth="1"/>
    <col min="10" max="10" width="11.90625" style="2" bestFit="1" customWidth="1"/>
    <col min="11" max="11" width="10.08984375" style="2" bestFit="1" customWidth="1"/>
    <col min="12" max="12" width="15.1796875" style="2" bestFit="1" customWidth="1"/>
    <col min="13" max="13" width="21" style="2" bestFit="1" customWidth="1"/>
    <col min="14" max="15" width="8.7265625" style="2"/>
    <col min="17" max="17" width="20.36328125" bestFit="1" customWidth="1"/>
    <col min="18" max="18" width="19.453125" bestFit="1" customWidth="1"/>
    <col min="19" max="19" width="21.26953125" bestFit="1" customWidth="1"/>
    <col min="20" max="20" width="20.26953125" bestFit="1" customWidth="1"/>
    <col min="21" max="21" width="17.7265625" bestFit="1" customWidth="1"/>
    <col min="22" max="22" width="19.81640625" bestFit="1" customWidth="1"/>
    <col min="23" max="23" width="20.81640625" bestFit="1" customWidth="1"/>
    <col min="24" max="24" width="16.453125" bestFit="1" customWidth="1"/>
    <col min="25" max="25" width="22" bestFit="1" customWidth="1"/>
    <col min="26" max="26" width="12.6328125" bestFit="1" customWidth="1"/>
    <col min="27" max="27" width="15.08984375" bestFit="1" customWidth="1"/>
  </cols>
  <sheetData>
    <row r="1" spans="1:8" ht="14.5" customHeight="1" x14ac:dyDescent="0.35">
      <c r="A1" s="62" t="s">
        <v>13</v>
      </c>
      <c r="B1" s="62"/>
      <c r="C1" s="62"/>
      <c r="D1" s="63" t="s">
        <v>45</v>
      </c>
      <c r="E1" s="6"/>
      <c r="H1" s="15"/>
    </row>
    <row r="2" spans="1:8" ht="14.5" customHeight="1" x14ac:dyDescent="0.35">
      <c r="A2" s="62"/>
      <c r="B2" s="62"/>
      <c r="C2" s="62"/>
      <c r="D2" s="63"/>
      <c r="E2" s="6"/>
      <c r="H2" s="15"/>
    </row>
    <row r="3" spans="1:8" ht="14.5" customHeight="1" x14ac:dyDescent="0.35">
      <c r="A3" s="3"/>
      <c r="B3" s="3"/>
      <c r="C3" s="3"/>
      <c r="D3" s="5"/>
      <c r="E3" s="6"/>
      <c r="F3" s="3"/>
      <c r="G3" s="16"/>
      <c r="H3" s="15"/>
    </row>
    <row r="4" spans="1:8" ht="14.5" customHeight="1" x14ac:dyDescent="0.35">
      <c r="A4" s="3"/>
      <c r="B4" s="3"/>
      <c r="C4" s="3"/>
      <c r="D4" s="64" t="s">
        <v>19</v>
      </c>
      <c r="E4" s="65">
        <f>SUM(E7:E20)-B23</f>
        <v>0</v>
      </c>
      <c r="F4" s="19"/>
      <c r="G4" s="16"/>
      <c r="H4" s="15"/>
    </row>
    <row r="5" spans="1:8" ht="14.5" customHeight="1" x14ac:dyDescent="0.35">
      <c r="A5" s="3"/>
      <c r="B5" s="3"/>
      <c r="C5" s="3"/>
      <c r="D5" s="64"/>
      <c r="E5" s="65"/>
      <c r="F5" s="19"/>
      <c r="G5" s="16"/>
      <c r="H5" s="15"/>
    </row>
    <row r="6" spans="1:8" ht="14.5" customHeight="1" x14ac:dyDescent="0.35">
      <c r="A6"/>
      <c r="B6"/>
      <c r="C6"/>
      <c r="D6" s="17" t="s">
        <v>0</v>
      </c>
      <c r="E6" s="20" t="s">
        <v>41</v>
      </c>
      <c r="F6" s="20" t="s">
        <v>40</v>
      </c>
      <c r="G6" s="48" t="s">
        <v>39</v>
      </c>
      <c r="H6" s="15"/>
    </row>
    <row r="7" spans="1:8" ht="14.5" customHeight="1" x14ac:dyDescent="0.35">
      <c r="A7"/>
      <c r="B7"/>
      <c r="C7"/>
      <c r="D7" s="18"/>
      <c r="E7" s="21"/>
      <c r="F7" s="22"/>
      <c r="G7" s="51"/>
      <c r="H7" s="15"/>
    </row>
    <row r="8" spans="1:8" ht="14.5" customHeight="1" x14ac:dyDescent="0.35">
      <c r="A8"/>
      <c r="B8"/>
      <c r="C8"/>
      <c r="D8" s="18"/>
      <c r="E8" s="21"/>
      <c r="F8" s="21"/>
      <c r="G8" s="51"/>
      <c r="H8" s="15"/>
    </row>
    <row r="9" spans="1:8" ht="14.5" customHeight="1" x14ac:dyDescent="0.35">
      <c r="A9"/>
      <c r="B9"/>
      <c r="C9"/>
      <c r="D9" s="18"/>
      <c r="E9" s="21"/>
      <c r="F9" s="21"/>
      <c r="G9" s="51"/>
      <c r="H9" s="15"/>
    </row>
    <row r="10" spans="1:8" ht="14.5" customHeight="1" x14ac:dyDescent="0.35">
      <c r="A10"/>
      <c r="B10"/>
      <c r="C10"/>
      <c r="D10" s="18"/>
      <c r="E10" s="21"/>
      <c r="F10" s="21"/>
      <c r="G10" s="51"/>
      <c r="H10" s="15"/>
    </row>
    <row r="11" spans="1:8" ht="14.5" customHeight="1" x14ac:dyDescent="0.35">
      <c r="A11"/>
      <c r="B11"/>
      <c r="C11"/>
      <c r="D11" s="18"/>
      <c r="E11" s="21"/>
      <c r="F11" s="21"/>
      <c r="G11" s="51"/>
      <c r="H11" s="15"/>
    </row>
    <row r="12" spans="1:8" ht="14.5" customHeight="1" x14ac:dyDescent="0.35">
      <c r="A12"/>
      <c r="B12"/>
      <c r="C12"/>
      <c r="D12" s="18"/>
      <c r="E12" s="21"/>
      <c r="F12" s="21"/>
      <c r="G12" s="51"/>
      <c r="H12" s="15"/>
    </row>
    <row r="13" spans="1:8" ht="14.5" customHeight="1" x14ac:dyDescent="0.35">
      <c r="A13"/>
      <c r="B13"/>
      <c r="C13"/>
      <c r="D13" s="18"/>
      <c r="E13" s="21"/>
      <c r="F13" s="21"/>
      <c r="G13" s="51"/>
      <c r="H13" s="15"/>
    </row>
    <row r="14" spans="1:8" ht="14.5" customHeight="1" x14ac:dyDescent="0.35">
      <c r="A14"/>
      <c r="B14"/>
      <c r="C14"/>
      <c r="D14" s="18"/>
      <c r="E14" s="21"/>
      <c r="F14" s="21"/>
      <c r="G14" s="51"/>
      <c r="H14" s="15"/>
    </row>
    <row r="15" spans="1:8" ht="14.5" customHeight="1" x14ac:dyDescent="0.35">
      <c r="A15"/>
      <c r="B15"/>
      <c r="C15"/>
      <c r="D15" s="18"/>
      <c r="E15" s="21"/>
      <c r="F15" s="21"/>
      <c r="G15" s="51"/>
      <c r="H15" s="15"/>
    </row>
    <row r="16" spans="1:8" ht="14.5" customHeight="1" x14ac:dyDescent="0.35">
      <c r="A16"/>
      <c r="B16"/>
      <c r="C16"/>
      <c r="D16" s="18"/>
      <c r="E16" s="21"/>
      <c r="F16" s="21"/>
      <c r="G16" s="51"/>
      <c r="H16" s="15"/>
    </row>
    <row r="17" spans="1:27" ht="14.5" customHeight="1" x14ac:dyDescent="0.35">
      <c r="A17"/>
      <c r="B17"/>
      <c r="C17"/>
      <c r="D17" s="18"/>
      <c r="E17" s="21"/>
      <c r="F17" s="21"/>
      <c r="G17" s="51"/>
      <c r="H17" s="15"/>
    </row>
    <row r="18" spans="1:27" ht="14.5" customHeight="1" x14ac:dyDescent="0.35">
      <c r="A18"/>
      <c r="B18"/>
      <c r="C18"/>
      <c r="D18" s="18"/>
      <c r="E18" s="21"/>
      <c r="F18" s="21"/>
      <c r="G18" s="51"/>
      <c r="H18" s="15"/>
    </row>
    <row r="19" spans="1:27" ht="14.5" customHeight="1" x14ac:dyDescent="0.35">
      <c r="A19"/>
      <c r="B19"/>
      <c r="C19"/>
      <c r="D19" s="18"/>
      <c r="E19" s="21"/>
      <c r="F19" s="21"/>
      <c r="G19" s="51"/>
      <c r="H19" s="15"/>
    </row>
    <row r="20" spans="1:27" ht="14.5" customHeight="1" x14ac:dyDescent="0.35">
      <c r="A20"/>
      <c r="B20"/>
      <c r="C20"/>
      <c r="D20" s="18"/>
      <c r="E20" s="21"/>
      <c r="F20" s="21"/>
      <c r="G20" s="52"/>
    </row>
    <row r="21" spans="1:27" ht="14.5" customHeight="1" x14ac:dyDescent="0.35">
      <c r="A21" s="3"/>
      <c r="B21" s="3"/>
      <c r="C21" s="3"/>
      <c r="D21" s="5"/>
      <c r="E21" s="6"/>
    </row>
    <row r="22" spans="1:27" ht="14.5" customHeight="1" x14ac:dyDescent="0.35">
      <c r="A22" s="3"/>
      <c r="B22" s="3"/>
      <c r="C22" s="3"/>
      <c r="D22" s="5"/>
      <c r="E22" s="6"/>
    </row>
    <row r="23" spans="1:27" ht="14.5" customHeight="1" x14ac:dyDescent="0.35">
      <c r="A23" s="3" t="s">
        <v>18</v>
      </c>
      <c r="B23" s="66">
        <f>SUM(D23:N23)</f>
        <v>0</v>
      </c>
      <c r="C23" s="67"/>
      <c r="D23" s="8">
        <f>SUM(D28:D51)*D24</f>
        <v>0</v>
      </c>
      <c r="E23" s="8">
        <f t="shared" ref="E23:K23" si="0">SUM(E28:E51)*E24</f>
        <v>0</v>
      </c>
      <c r="F23" s="8">
        <f t="shared" si="0"/>
        <v>0</v>
      </c>
      <c r="G23" s="8">
        <f t="shared" si="0"/>
        <v>0</v>
      </c>
      <c r="H23" s="8">
        <f t="shared" si="0"/>
        <v>0</v>
      </c>
      <c r="I23" s="8">
        <f t="shared" si="0"/>
        <v>0</v>
      </c>
      <c r="J23" s="8">
        <f t="shared" si="0"/>
        <v>0</v>
      </c>
      <c r="K23" s="8">
        <f t="shared" si="0"/>
        <v>0</v>
      </c>
      <c r="L23" s="8">
        <f t="shared" ref="L23" si="1">SUM(L28:L51)*L24</f>
        <v>0</v>
      </c>
      <c r="M23" s="8">
        <f t="shared" ref="M23:N23" si="2">SUM(M28:M51)*M24</f>
        <v>0</v>
      </c>
      <c r="N23" s="8">
        <f t="shared" si="2"/>
        <v>0</v>
      </c>
      <c r="O23" s="8"/>
    </row>
    <row r="24" spans="1:27" x14ac:dyDescent="0.35">
      <c r="A24" s="14" t="s">
        <v>17</v>
      </c>
      <c r="B24"/>
      <c r="C24" s="13"/>
      <c r="D24" s="9">
        <v>68000</v>
      </c>
      <c r="E24" s="9">
        <v>70000</v>
      </c>
      <c r="F24" s="9">
        <v>81000</v>
      </c>
      <c r="G24" s="9">
        <v>81000</v>
      </c>
      <c r="H24" s="9">
        <v>32000</v>
      </c>
      <c r="I24" s="9">
        <v>39000</v>
      </c>
      <c r="J24" s="9">
        <v>51000</v>
      </c>
      <c r="K24" s="9">
        <v>45000</v>
      </c>
      <c r="L24" s="10">
        <v>18000</v>
      </c>
      <c r="M24" s="10">
        <v>70000</v>
      </c>
      <c r="N24" s="10">
        <v>72000</v>
      </c>
      <c r="O24" s="11"/>
    </row>
    <row r="25" spans="1:27" x14ac:dyDescent="0.35">
      <c r="D25" s="12"/>
      <c r="E25" s="12"/>
      <c r="F25" s="12"/>
      <c r="G25" s="12"/>
      <c r="H25" s="12"/>
      <c r="I25" s="12"/>
      <c r="J25" s="12"/>
      <c r="K25" s="12"/>
      <c r="L25"/>
      <c r="M25"/>
      <c r="N25"/>
      <c r="O25"/>
    </row>
    <row r="26" spans="1:27" x14ac:dyDescent="0.35">
      <c r="D26" s="12"/>
      <c r="E26" s="12"/>
      <c r="F26" s="12"/>
      <c r="G26" s="12"/>
      <c r="H26" s="12"/>
      <c r="I26" s="12"/>
      <c r="J26" s="12"/>
      <c r="K26" s="12"/>
      <c r="L26"/>
      <c r="M26"/>
      <c r="N26"/>
      <c r="O26"/>
    </row>
    <row r="27" spans="1:27" ht="29" x14ac:dyDescent="0.35">
      <c r="A27" s="1" t="s">
        <v>0</v>
      </c>
      <c r="B27" s="1" t="s">
        <v>1</v>
      </c>
      <c r="C27" s="1" t="s">
        <v>2</v>
      </c>
      <c r="D27" s="42" t="s">
        <v>3</v>
      </c>
      <c r="E27" s="42" t="s">
        <v>4</v>
      </c>
      <c r="F27" s="42" t="s">
        <v>5</v>
      </c>
      <c r="G27" s="42" t="s">
        <v>6</v>
      </c>
      <c r="H27" s="42" t="s">
        <v>7</v>
      </c>
      <c r="I27" s="42" t="s">
        <v>8</v>
      </c>
      <c r="J27" s="42" t="s">
        <v>9</v>
      </c>
      <c r="K27" s="42" t="s">
        <v>10</v>
      </c>
      <c r="L27" s="43" t="s">
        <v>14</v>
      </c>
      <c r="M27" s="43" t="s">
        <v>15</v>
      </c>
      <c r="N27" s="43" t="s">
        <v>16</v>
      </c>
      <c r="O27" s="47" t="s">
        <v>18</v>
      </c>
      <c r="Q27" t="s">
        <v>20</v>
      </c>
      <c r="R27" t="s">
        <v>21</v>
      </c>
      <c r="S27" t="s">
        <v>22</v>
      </c>
      <c r="T27" t="s">
        <v>23</v>
      </c>
      <c r="U27" t="s">
        <v>34</v>
      </c>
      <c r="V27" t="s">
        <v>24</v>
      </c>
      <c r="W27" t="s">
        <v>35</v>
      </c>
      <c r="X27" t="s">
        <v>36</v>
      </c>
      <c r="Y27" t="s">
        <v>25</v>
      </c>
      <c r="Z27" t="s">
        <v>37</v>
      </c>
      <c r="AA27" t="s">
        <v>38</v>
      </c>
    </row>
    <row r="28" spans="1:27" x14ac:dyDescent="0.35">
      <c r="A28" s="7"/>
      <c r="B28" s="4">
        <f>WEEKNUM(A28)</f>
        <v>0</v>
      </c>
      <c r="C28" s="7" t="str">
        <f>TEXT(A28,"mmmm")</f>
        <v>January</v>
      </c>
      <c r="D28" s="4"/>
      <c r="E28" s="4"/>
      <c r="F28" s="4"/>
      <c r="G28" s="4"/>
      <c r="H28" s="4"/>
      <c r="I28" s="4"/>
      <c r="J28" s="4"/>
      <c r="K28" s="4"/>
      <c r="L28" s="4"/>
      <c r="M28" s="4"/>
      <c r="N28" s="4"/>
      <c r="O28" s="2">
        <f>SUM(D28:N28)</f>
        <v>0</v>
      </c>
      <c r="Q28" s="70"/>
      <c r="R28" s="70"/>
      <c r="S28" s="70"/>
      <c r="T28" s="70"/>
      <c r="U28" s="70"/>
      <c r="V28" s="70"/>
      <c r="W28" s="70"/>
      <c r="X28" s="70"/>
      <c r="Y28" s="70"/>
      <c r="Z28" s="70"/>
      <c r="AA28" s="70"/>
    </row>
    <row r="29" spans="1:27" x14ac:dyDescent="0.35">
      <c r="A29" s="7"/>
      <c r="B29" s="4">
        <f t="shared" ref="B29:B50" si="3">WEEKNUM(A29)</f>
        <v>0</v>
      </c>
      <c r="C29" s="7" t="str">
        <f t="shared" ref="C29:C50" si="4">TEXT(A29,"mmmm")</f>
        <v>January</v>
      </c>
      <c r="D29" s="4"/>
      <c r="E29" s="4"/>
      <c r="F29" s="4"/>
      <c r="G29" s="4"/>
      <c r="H29" s="4"/>
      <c r="I29" s="4"/>
      <c r="J29" s="4"/>
      <c r="K29" s="4"/>
      <c r="L29" s="4"/>
      <c r="M29" s="4"/>
      <c r="N29" s="4"/>
      <c r="O29" s="2">
        <f t="shared" ref="O29:O51" si="5">SUM(D29:N29)</f>
        <v>0</v>
      </c>
    </row>
    <row r="30" spans="1:27" x14ac:dyDescent="0.35">
      <c r="A30" s="7"/>
      <c r="B30" s="4">
        <f t="shared" si="3"/>
        <v>0</v>
      </c>
      <c r="C30" s="7" t="str">
        <f t="shared" si="4"/>
        <v>January</v>
      </c>
      <c r="D30" s="4"/>
      <c r="E30" s="4"/>
      <c r="F30" s="4"/>
      <c r="G30" s="4"/>
      <c r="H30" s="4"/>
      <c r="I30" s="4"/>
      <c r="J30" s="4"/>
      <c r="K30" s="4"/>
      <c r="L30" s="4"/>
      <c r="M30" s="4"/>
      <c r="N30" s="4"/>
      <c r="O30" s="2">
        <f t="shared" si="5"/>
        <v>0</v>
      </c>
    </row>
    <row r="31" spans="1:27" x14ac:dyDescent="0.35">
      <c r="A31" s="7"/>
      <c r="B31" s="4">
        <f t="shared" ref="B31:B41" si="6">WEEKNUM(A31)</f>
        <v>0</v>
      </c>
      <c r="C31" s="7" t="str">
        <f t="shared" ref="C31:C41" si="7">TEXT(A31,"mmmm")</f>
        <v>January</v>
      </c>
      <c r="D31" s="55"/>
      <c r="E31" s="55"/>
      <c r="F31" s="55"/>
      <c r="G31" s="55"/>
      <c r="H31" s="55"/>
      <c r="I31" s="55"/>
      <c r="J31" s="55"/>
      <c r="K31" s="55"/>
      <c r="L31" s="4"/>
      <c r="M31" s="4"/>
      <c r="N31" s="4"/>
      <c r="O31" s="2">
        <f t="shared" si="5"/>
        <v>0</v>
      </c>
    </row>
    <row r="32" spans="1:27" x14ac:dyDescent="0.35">
      <c r="A32" s="7"/>
      <c r="B32" s="4">
        <f t="shared" si="6"/>
        <v>0</v>
      </c>
      <c r="C32" s="7" t="str">
        <f t="shared" si="7"/>
        <v>January</v>
      </c>
      <c r="D32" s="55"/>
      <c r="E32" s="55"/>
      <c r="F32" s="55"/>
      <c r="G32" s="55"/>
      <c r="H32" s="55"/>
      <c r="I32" s="55"/>
      <c r="J32" s="55"/>
      <c r="K32" s="55"/>
      <c r="L32" s="4"/>
      <c r="M32" s="4"/>
      <c r="N32" s="4"/>
      <c r="O32" s="2">
        <f t="shared" si="5"/>
        <v>0</v>
      </c>
    </row>
    <row r="33" spans="1:15" x14ac:dyDescent="0.35">
      <c r="A33" s="7"/>
      <c r="B33" s="4">
        <f t="shared" si="6"/>
        <v>0</v>
      </c>
      <c r="C33" s="7" t="str">
        <f t="shared" si="7"/>
        <v>January</v>
      </c>
      <c r="D33" s="55"/>
      <c r="E33" s="55"/>
      <c r="F33" s="55"/>
      <c r="G33" s="55"/>
      <c r="H33" s="55"/>
      <c r="I33" s="55"/>
      <c r="J33" s="55"/>
      <c r="K33" s="55"/>
      <c r="L33" s="4"/>
      <c r="M33" s="4"/>
      <c r="N33" s="4"/>
      <c r="O33" s="2">
        <f t="shared" si="5"/>
        <v>0</v>
      </c>
    </row>
    <row r="34" spans="1:15" x14ac:dyDescent="0.35">
      <c r="A34" s="7"/>
      <c r="B34" s="4">
        <f t="shared" si="6"/>
        <v>0</v>
      </c>
      <c r="C34" s="7" t="str">
        <f t="shared" si="7"/>
        <v>January</v>
      </c>
      <c r="D34" s="55"/>
      <c r="E34" s="55"/>
      <c r="F34" s="55"/>
      <c r="G34" s="55"/>
      <c r="H34" s="55"/>
      <c r="I34" s="55"/>
      <c r="J34" s="55"/>
      <c r="K34" s="55"/>
      <c r="L34" s="4"/>
      <c r="M34" s="4"/>
      <c r="N34" s="4"/>
      <c r="O34" s="2">
        <f t="shared" si="5"/>
        <v>0</v>
      </c>
    </row>
    <row r="35" spans="1:15" x14ac:dyDescent="0.35">
      <c r="A35" s="7"/>
      <c r="B35" s="4">
        <f t="shared" si="6"/>
        <v>0</v>
      </c>
      <c r="C35" s="7" t="str">
        <f t="shared" si="7"/>
        <v>January</v>
      </c>
      <c r="D35" s="55"/>
      <c r="E35" s="55"/>
      <c r="F35" s="55"/>
      <c r="G35" s="55"/>
      <c r="H35" s="55"/>
      <c r="I35" s="55"/>
      <c r="J35" s="55"/>
      <c r="K35" s="55"/>
      <c r="L35" s="4"/>
      <c r="M35" s="4"/>
      <c r="N35" s="4"/>
      <c r="O35" s="2">
        <f t="shared" si="5"/>
        <v>0</v>
      </c>
    </row>
    <row r="36" spans="1:15" x14ac:dyDescent="0.35">
      <c r="A36" s="7"/>
      <c r="B36" s="4">
        <f t="shared" si="6"/>
        <v>0</v>
      </c>
      <c r="C36" s="7" t="str">
        <f t="shared" si="7"/>
        <v>January</v>
      </c>
      <c r="D36" s="55"/>
      <c r="E36" s="55"/>
      <c r="F36" s="55"/>
      <c r="G36" s="55"/>
      <c r="H36" s="55"/>
      <c r="I36" s="55"/>
      <c r="J36" s="55"/>
      <c r="K36" s="55"/>
      <c r="L36" s="4"/>
      <c r="M36" s="4"/>
      <c r="N36" s="4"/>
      <c r="O36" s="2">
        <f t="shared" si="5"/>
        <v>0</v>
      </c>
    </row>
    <row r="37" spans="1:15" x14ac:dyDescent="0.35">
      <c r="A37" s="7"/>
      <c r="B37" s="4">
        <f t="shared" si="6"/>
        <v>0</v>
      </c>
      <c r="C37" s="7" t="str">
        <f t="shared" si="7"/>
        <v>January</v>
      </c>
      <c r="D37" s="4"/>
      <c r="E37" s="4"/>
      <c r="F37" s="4"/>
      <c r="G37" s="4"/>
      <c r="H37" s="4"/>
      <c r="I37" s="4"/>
      <c r="J37" s="4"/>
      <c r="K37" s="4"/>
      <c r="L37" s="4"/>
      <c r="M37" s="4"/>
      <c r="N37" s="4"/>
      <c r="O37" s="2">
        <f t="shared" si="5"/>
        <v>0</v>
      </c>
    </row>
    <row r="38" spans="1:15" x14ac:dyDescent="0.35">
      <c r="A38" s="7"/>
      <c r="B38" s="4">
        <f t="shared" si="6"/>
        <v>0</v>
      </c>
      <c r="C38" s="7" t="str">
        <f t="shared" si="7"/>
        <v>January</v>
      </c>
      <c r="D38" s="4"/>
      <c r="E38" s="4"/>
      <c r="F38" s="4"/>
      <c r="G38" s="4"/>
      <c r="H38" s="4"/>
      <c r="I38" s="4"/>
      <c r="J38" s="4"/>
      <c r="K38" s="4"/>
      <c r="L38" s="4"/>
      <c r="M38" s="4"/>
      <c r="N38" s="4"/>
      <c r="O38" s="2">
        <f t="shared" si="5"/>
        <v>0</v>
      </c>
    </row>
    <row r="39" spans="1:15" x14ac:dyDescent="0.35">
      <c r="A39" s="7"/>
      <c r="B39" s="4">
        <f t="shared" si="6"/>
        <v>0</v>
      </c>
      <c r="C39" s="7" t="str">
        <f t="shared" si="7"/>
        <v>January</v>
      </c>
      <c r="D39" s="4"/>
      <c r="E39" s="4"/>
      <c r="F39" s="4"/>
      <c r="G39" s="4"/>
      <c r="H39" s="4"/>
      <c r="I39" s="4"/>
      <c r="J39" s="4"/>
      <c r="K39" s="4"/>
      <c r="L39" s="4"/>
      <c r="M39" s="4"/>
      <c r="N39" s="4"/>
      <c r="O39" s="2">
        <f t="shared" si="5"/>
        <v>0</v>
      </c>
    </row>
    <row r="40" spans="1:15" x14ac:dyDescent="0.35">
      <c r="A40" s="7"/>
      <c r="B40" s="4">
        <f t="shared" si="6"/>
        <v>0</v>
      </c>
      <c r="C40" s="7" t="str">
        <f t="shared" si="7"/>
        <v>January</v>
      </c>
      <c r="D40" s="4"/>
      <c r="E40" s="4"/>
      <c r="F40" s="4"/>
      <c r="G40" s="4"/>
      <c r="H40" s="4"/>
      <c r="I40" s="4"/>
      <c r="J40" s="4"/>
      <c r="K40" s="4"/>
      <c r="L40" s="4"/>
      <c r="M40" s="4"/>
      <c r="N40" s="4"/>
      <c r="O40" s="2">
        <f t="shared" si="5"/>
        <v>0</v>
      </c>
    </row>
    <row r="41" spans="1:15" x14ac:dyDescent="0.35">
      <c r="A41" s="4"/>
      <c r="B41" s="4">
        <f t="shared" si="6"/>
        <v>0</v>
      </c>
      <c r="C41" s="7" t="str">
        <f t="shared" si="7"/>
        <v>January</v>
      </c>
      <c r="D41" s="4"/>
      <c r="E41" s="4"/>
      <c r="F41" s="4"/>
      <c r="G41" s="4"/>
      <c r="H41" s="4"/>
      <c r="I41" s="4"/>
      <c r="J41" s="4"/>
      <c r="K41" s="4"/>
      <c r="L41" s="4"/>
      <c r="M41" s="4"/>
      <c r="N41" s="4"/>
      <c r="O41" s="2">
        <f t="shared" si="5"/>
        <v>0</v>
      </c>
    </row>
    <row r="42" spans="1:15" x14ac:dyDescent="0.35">
      <c r="A42" s="4"/>
      <c r="B42" s="4">
        <f t="shared" si="3"/>
        <v>0</v>
      </c>
      <c r="C42" s="7" t="str">
        <f t="shared" si="4"/>
        <v>January</v>
      </c>
      <c r="D42" s="4"/>
      <c r="E42" s="4"/>
      <c r="F42" s="4"/>
      <c r="G42" s="4"/>
      <c r="H42" s="4"/>
      <c r="I42" s="4"/>
      <c r="J42" s="4"/>
      <c r="K42" s="4"/>
      <c r="L42" s="4"/>
      <c r="M42" s="4"/>
      <c r="N42" s="4"/>
      <c r="O42" s="2">
        <f t="shared" si="5"/>
        <v>0</v>
      </c>
    </row>
    <row r="43" spans="1:15" x14ac:dyDescent="0.35">
      <c r="A43" s="4"/>
      <c r="B43" s="4">
        <f t="shared" si="3"/>
        <v>0</v>
      </c>
      <c r="C43" s="7" t="str">
        <f t="shared" si="4"/>
        <v>January</v>
      </c>
      <c r="D43" s="4"/>
      <c r="E43" s="4"/>
      <c r="F43" s="4"/>
      <c r="G43" s="4"/>
      <c r="H43" s="4"/>
      <c r="I43" s="4"/>
      <c r="J43" s="4"/>
      <c r="K43" s="4"/>
      <c r="L43" s="4"/>
      <c r="M43" s="4"/>
      <c r="N43" s="4"/>
      <c r="O43" s="2">
        <f t="shared" si="5"/>
        <v>0</v>
      </c>
    </row>
    <row r="44" spans="1:15" x14ac:dyDescent="0.35">
      <c r="A44" s="4"/>
      <c r="B44" s="4">
        <f t="shared" si="3"/>
        <v>0</v>
      </c>
      <c r="C44" s="7" t="str">
        <f t="shared" si="4"/>
        <v>January</v>
      </c>
      <c r="D44" s="4"/>
      <c r="E44" s="4"/>
      <c r="F44" s="4"/>
      <c r="G44" s="4"/>
      <c r="H44" s="4"/>
      <c r="I44" s="4"/>
      <c r="J44" s="4"/>
      <c r="K44" s="4"/>
      <c r="L44" s="4"/>
      <c r="M44" s="4"/>
      <c r="N44" s="4"/>
      <c r="O44" s="2">
        <f t="shared" si="5"/>
        <v>0</v>
      </c>
    </row>
    <row r="45" spans="1:15" x14ac:dyDescent="0.35">
      <c r="A45" s="4"/>
      <c r="B45" s="4">
        <f t="shared" si="3"/>
        <v>0</v>
      </c>
      <c r="C45" s="7" t="str">
        <f t="shared" si="4"/>
        <v>January</v>
      </c>
      <c r="D45" s="4"/>
      <c r="E45" s="4"/>
      <c r="F45" s="4"/>
      <c r="G45" s="4"/>
      <c r="H45" s="4"/>
      <c r="I45" s="4"/>
      <c r="J45" s="4"/>
      <c r="K45" s="4"/>
      <c r="L45" s="4"/>
      <c r="M45" s="4"/>
      <c r="N45" s="4"/>
      <c r="O45" s="2">
        <f t="shared" si="5"/>
        <v>0</v>
      </c>
    </row>
    <row r="46" spans="1:15" x14ac:dyDescent="0.35">
      <c r="A46" s="4"/>
      <c r="B46" s="4">
        <f t="shared" si="3"/>
        <v>0</v>
      </c>
      <c r="C46" s="7" t="str">
        <f t="shared" si="4"/>
        <v>January</v>
      </c>
      <c r="D46" s="4"/>
      <c r="E46" s="4"/>
      <c r="F46" s="4"/>
      <c r="G46" s="4"/>
      <c r="H46" s="4"/>
      <c r="I46" s="4"/>
      <c r="J46" s="4"/>
      <c r="K46" s="4"/>
      <c r="L46" s="4"/>
      <c r="M46" s="4"/>
      <c r="N46" s="4"/>
      <c r="O46" s="2">
        <f t="shared" si="5"/>
        <v>0</v>
      </c>
    </row>
    <row r="47" spans="1:15" x14ac:dyDescent="0.35">
      <c r="A47" s="4"/>
      <c r="B47" s="4">
        <f t="shared" si="3"/>
        <v>0</v>
      </c>
      <c r="C47" s="7" t="str">
        <f t="shared" si="4"/>
        <v>January</v>
      </c>
      <c r="D47" s="4"/>
      <c r="E47" s="4"/>
      <c r="F47" s="4"/>
      <c r="G47" s="4"/>
      <c r="H47" s="4"/>
      <c r="I47" s="4"/>
      <c r="J47" s="4"/>
      <c r="K47" s="4"/>
      <c r="L47" s="4"/>
      <c r="M47" s="4"/>
      <c r="N47" s="4"/>
      <c r="O47" s="2">
        <f t="shared" si="5"/>
        <v>0</v>
      </c>
    </row>
    <row r="48" spans="1:15" x14ac:dyDescent="0.35">
      <c r="A48" s="4"/>
      <c r="B48" s="4">
        <f t="shared" si="3"/>
        <v>0</v>
      </c>
      <c r="C48" s="7" t="str">
        <f t="shared" si="4"/>
        <v>January</v>
      </c>
      <c r="D48" s="4"/>
      <c r="E48" s="4"/>
      <c r="F48" s="4"/>
      <c r="G48" s="4"/>
      <c r="H48" s="4"/>
      <c r="I48" s="4"/>
      <c r="J48" s="4"/>
      <c r="K48" s="4"/>
      <c r="L48" s="4"/>
      <c r="M48" s="4"/>
      <c r="N48" s="4"/>
      <c r="O48" s="2">
        <f t="shared" si="5"/>
        <v>0</v>
      </c>
    </row>
    <row r="49" spans="1:15" x14ac:dyDescent="0.35">
      <c r="A49" s="4"/>
      <c r="B49" s="4">
        <f t="shared" si="3"/>
        <v>0</v>
      </c>
      <c r="C49" s="7" t="str">
        <f t="shared" si="4"/>
        <v>January</v>
      </c>
      <c r="D49" s="4"/>
      <c r="E49" s="4"/>
      <c r="F49" s="4"/>
      <c r="G49" s="4"/>
      <c r="H49" s="4"/>
      <c r="I49" s="4"/>
      <c r="J49" s="4"/>
      <c r="K49" s="4"/>
      <c r="L49" s="4"/>
      <c r="M49" s="4"/>
      <c r="N49" s="4"/>
      <c r="O49" s="2">
        <f t="shared" si="5"/>
        <v>0</v>
      </c>
    </row>
    <row r="50" spans="1:15" x14ac:dyDescent="0.35">
      <c r="A50" s="4"/>
      <c r="B50" s="4">
        <f t="shared" si="3"/>
        <v>0</v>
      </c>
      <c r="C50" s="7" t="str">
        <f t="shared" si="4"/>
        <v>January</v>
      </c>
      <c r="D50" s="4"/>
      <c r="E50" s="4"/>
      <c r="F50" s="4"/>
      <c r="G50" s="4"/>
      <c r="H50" s="4"/>
      <c r="I50" s="4"/>
      <c r="J50" s="4"/>
      <c r="K50" s="4"/>
      <c r="L50" s="4"/>
      <c r="M50" s="4"/>
      <c r="N50" s="4"/>
      <c r="O50" s="2">
        <f t="shared" si="5"/>
        <v>0</v>
      </c>
    </row>
    <row r="51" spans="1:15" x14ac:dyDescent="0.35">
      <c r="A51" s="4"/>
      <c r="B51" s="4"/>
      <c r="C51" s="4"/>
      <c r="D51" s="4"/>
      <c r="E51" s="4"/>
      <c r="F51" s="4"/>
      <c r="G51" s="4"/>
      <c r="H51" s="4"/>
      <c r="I51" s="4"/>
      <c r="J51" s="4"/>
      <c r="K51" s="4"/>
      <c r="L51" s="4"/>
      <c r="M51" s="4"/>
      <c r="N51" s="4"/>
      <c r="O51" s="2">
        <f t="shared" si="5"/>
        <v>0</v>
      </c>
    </row>
    <row r="55" spans="1:15" ht="15" thickBot="1" x14ac:dyDescent="0.4">
      <c r="F55"/>
      <c r="G55"/>
      <c r="H55"/>
      <c r="I55"/>
      <c r="J55"/>
      <c r="K55"/>
      <c r="L55"/>
      <c r="M55"/>
      <c r="N55"/>
      <c r="O55"/>
    </row>
    <row r="56" spans="1:15" x14ac:dyDescent="0.35">
      <c r="F56"/>
      <c r="G56" s="23" t="s">
        <v>26</v>
      </c>
      <c r="H56" s="24" t="s">
        <v>27</v>
      </c>
      <c r="I56" s="25">
        <v>45977</v>
      </c>
      <c r="J56" s="26" t="s">
        <v>28</v>
      </c>
      <c r="K56" s="27">
        <v>45983</v>
      </c>
      <c r="L56" s="24"/>
      <c r="M56" s="28"/>
      <c r="N56"/>
      <c r="O56"/>
    </row>
    <row r="57" spans="1:15" x14ac:dyDescent="0.35">
      <c r="F57"/>
      <c r="G57" s="29" t="s">
        <v>11</v>
      </c>
      <c r="H57" s="68" t="str">
        <f>D1</f>
        <v>PAJIM</v>
      </c>
      <c r="I57" s="68"/>
      <c r="J57" s="30"/>
      <c r="K57" s="30"/>
      <c r="L57" s="30"/>
      <c r="M57" s="31"/>
      <c r="N57"/>
      <c r="O57"/>
    </row>
    <row r="58" spans="1:15" x14ac:dyDescent="0.35">
      <c r="F58"/>
      <c r="G58" s="29" t="s">
        <v>29</v>
      </c>
      <c r="H58" s="30"/>
      <c r="I58" s="30"/>
      <c r="J58" s="30"/>
      <c r="K58" s="30"/>
      <c r="L58" s="30"/>
      <c r="M58" s="31"/>
      <c r="N58"/>
      <c r="O58"/>
    </row>
    <row r="59" spans="1:15" x14ac:dyDescent="0.35">
      <c r="F59"/>
      <c r="G59" s="32" t="str">
        <f>IF(I59=0,"","Gotik Duyung")</f>
        <v/>
      </c>
      <c r="H59" s="30" t="s">
        <v>27</v>
      </c>
      <c r="I59" s="40">
        <f>$Q$28</f>
        <v>0</v>
      </c>
      <c r="J59" s="30" t="s">
        <v>30</v>
      </c>
      <c r="K59" s="41" t="str">
        <f>IF(I59=0,"","68000")</f>
        <v/>
      </c>
      <c r="L59" s="30" t="s">
        <v>31</v>
      </c>
      <c r="M59" s="33" t="str">
        <f>IFERROR(I59*K59,"")</f>
        <v/>
      </c>
      <c r="N59"/>
      <c r="O59"/>
    </row>
    <row r="60" spans="1:15" x14ac:dyDescent="0.35">
      <c r="F60"/>
      <c r="G60" s="32" t="str">
        <f>IF(I60=0,"","Gotik Plisket")</f>
        <v/>
      </c>
      <c r="H60" s="30" t="s">
        <v>27</v>
      </c>
      <c r="I60" s="40">
        <f>$R$28</f>
        <v>0</v>
      </c>
      <c r="J60" s="30" t="s">
        <v>30</v>
      </c>
      <c r="K60" s="41" t="str">
        <f>IF(I60=0,"","70000")</f>
        <v/>
      </c>
      <c r="L60" s="30" t="s">
        <v>31</v>
      </c>
      <c r="M60" s="33" t="str">
        <f>IFERROR(I60*K60,"")</f>
        <v/>
      </c>
      <c r="N60"/>
      <c r="O60"/>
    </row>
    <row r="61" spans="1:15" x14ac:dyDescent="0.35">
      <c r="F61"/>
      <c r="G61" s="32" t="str">
        <f>IF(I61=0,"","Slayer Duyung")</f>
        <v/>
      </c>
      <c r="H61" s="30" t="s">
        <v>27</v>
      </c>
      <c r="I61" s="40">
        <f>S28</f>
        <v>0</v>
      </c>
      <c r="J61" s="30" t="s">
        <v>30</v>
      </c>
      <c r="K61" s="41" t="str">
        <f>IF(I61=0,"","81000")</f>
        <v/>
      </c>
      <c r="L61" s="30" t="s">
        <v>31</v>
      </c>
      <c r="M61" s="33" t="str">
        <f>IFERROR(I61*K61,"")</f>
        <v/>
      </c>
      <c r="N61"/>
      <c r="O61"/>
    </row>
    <row r="62" spans="1:15" x14ac:dyDescent="0.35">
      <c r="F62"/>
      <c r="G62" s="32" t="str">
        <f>IF(I62=0,"","Slayer Prisket")</f>
        <v/>
      </c>
      <c r="H62" s="30" t="s">
        <v>27</v>
      </c>
      <c r="I62" s="40">
        <f>T28</f>
        <v>0</v>
      </c>
      <c r="J62" s="30" t="s">
        <v>30</v>
      </c>
      <c r="K62" s="41" t="str">
        <f>IF(I62=0,"","81000")</f>
        <v/>
      </c>
      <c r="L62" s="30" t="s">
        <v>31</v>
      </c>
      <c r="M62" s="33" t="str">
        <f>IFERROR(I62*K62,"")</f>
        <v/>
      </c>
      <c r="N62"/>
      <c r="O62"/>
    </row>
    <row r="63" spans="1:15" x14ac:dyDescent="0.35">
      <c r="F63"/>
      <c r="G63" s="32" t="str">
        <f>IF(I63=0,"","Rok Prisket")</f>
        <v/>
      </c>
      <c r="H63" s="30" t="s">
        <v>27</v>
      </c>
      <c r="I63" s="40">
        <f>U28</f>
        <v>0</v>
      </c>
      <c r="J63" s="30" t="s">
        <v>30</v>
      </c>
      <c r="K63" s="41" t="str">
        <f>IF(I63=0,"","32000")</f>
        <v/>
      </c>
      <c r="L63" s="30" t="s">
        <v>31</v>
      </c>
      <c r="M63" s="33" t="str">
        <f t="shared" ref="M63:M66" si="8">IFERROR(I63*K63,"")</f>
        <v/>
      </c>
      <c r="N63"/>
      <c r="O63"/>
    </row>
    <row r="64" spans="1:15" x14ac:dyDescent="0.35">
      <c r="F64"/>
      <c r="G64" s="32" t="str">
        <f>IF(I64=0,"","Atasan Gotik")</f>
        <v/>
      </c>
      <c r="H64" s="30" t="s">
        <v>27</v>
      </c>
      <c r="I64" s="40">
        <f>V28</f>
        <v>0</v>
      </c>
      <c r="J64" s="30" t="s">
        <v>30</v>
      </c>
      <c r="K64" s="41" t="str">
        <f>IF(I64=0,"","39000")</f>
        <v/>
      </c>
      <c r="L64" s="30" t="s">
        <v>31</v>
      </c>
      <c r="M64" s="33" t="str">
        <f t="shared" si="8"/>
        <v/>
      </c>
      <c r="N64"/>
      <c r="O64"/>
    </row>
    <row r="65" spans="6:15" x14ac:dyDescent="0.35">
      <c r="F65"/>
      <c r="G65" s="32" t="str">
        <f>IF(I65=0,"","Atasan Slayer")</f>
        <v/>
      </c>
      <c r="H65" s="30" t="s">
        <v>27</v>
      </c>
      <c r="I65" s="40">
        <f>W28</f>
        <v>0</v>
      </c>
      <c r="J65" s="30" t="s">
        <v>30</v>
      </c>
      <c r="K65" s="41" t="str">
        <f>IF(I65=0,"","51000")</f>
        <v/>
      </c>
      <c r="L65" s="30" t="s">
        <v>31</v>
      </c>
      <c r="M65" s="33" t="str">
        <f t="shared" si="8"/>
        <v/>
      </c>
      <c r="N65"/>
      <c r="O65"/>
    </row>
    <row r="66" spans="6:15" ht="15" thickBot="1" x14ac:dyDescent="0.4">
      <c r="F66"/>
      <c r="G66" s="32" t="str">
        <f>IF(I66=0,"","Kutubaru")</f>
        <v/>
      </c>
      <c r="H66" s="30" t="s">
        <v>27</v>
      </c>
      <c r="I66" s="40">
        <f>X28</f>
        <v>0</v>
      </c>
      <c r="J66" s="30" t="s">
        <v>30</v>
      </c>
      <c r="K66" s="41" t="str">
        <f>IF(I66=0,"","45000")</f>
        <v/>
      </c>
      <c r="L66" s="30" t="s">
        <v>31</v>
      </c>
      <c r="M66" s="34" t="str">
        <f t="shared" si="8"/>
        <v/>
      </c>
      <c r="N66"/>
      <c r="O66"/>
    </row>
    <row r="67" spans="6:15" x14ac:dyDescent="0.35">
      <c r="F67"/>
      <c r="G67" s="29" t="s">
        <v>32</v>
      </c>
      <c r="H67" s="30"/>
      <c r="I67" s="30"/>
      <c r="J67" s="30"/>
      <c r="K67" s="30"/>
      <c r="L67" s="30"/>
      <c r="M67" s="35">
        <f>SUM(M59:M66)+I75</f>
        <v>0</v>
      </c>
      <c r="N67"/>
      <c r="O67"/>
    </row>
    <row r="68" spans="6:15" x14ac:dyDescent="0.35">
      <c r="F68"/>
      <c r="G68" s="44" t="str">
        <f>IF(I68=0,"","Plastik Packing")</f>
        <v/>
      </c>
      <c r="H68" s="30" t="s">
        <v>27</v>
      </c>
      <c r="I68" s="40">
        <f>Y28</f>
        <v>0</v>
      </c>
      <c r="J68" s="30" t="s">
        <v>30</v>
      </c>
      <c r="K68" s="41" t="str">
        <f>IF(I68=0,"","18000")</f>
        <v/>
      </c>
      <c r="L68" s="30" t="s">
        <v>31</v>
      </c>
      <c r="M68" s="45" t="str">
        <f>IFERROR(I68*K68,"")</f>
        <v/>
      </c>
      <c r="N68"/>
      <c r="O68"/>
    </row>
    <row r="69" spans="6:15" x14ac:dyDescent="0.35">
      <c r="F69"/>
      <c r="G69" s="44" t="str">
        <f>IF(I69=0,"","Indah")</f>
        <v/>
      </c>
      <c r="H69" s="30" t="s">
        <v>27</v>
      </c>
      <c r="I69" s="40">
        <f>Z28</f>
        <v>0</v>
      </c>
      <c r="J69" s="30" t="s">
        <v>30</v>
      </c>
      <c r="K69" s="41" t="str">
        <f>IF(I69=0,"","70000")</f>
        <v/>
      </c>
      <c r="L69" s="30" t="s">
        <v>31</v>
      </c>
      <c r="M69" s="35"/>
      <c r="N69"/>
      <c r="O69"/>
    </row>
    <row r="70" spans="6:15" ht="16.5" thickBot="1" x14ac:dyDescent="0.55000000000000004">
      <c r="G70" s="44" t="str">
        <f>IF(I70=0,"","Mayang")</f>
        <v/>
      </c>
      <c r="H70" s="30" t="s">
        <v>27</v>
      </c>
      <c r="I70" s="40">
        <f>AA28</f>
        <v>0</v>
      </c>
      <c r="J70" s="30" t="s">
        <v>30</v>
      </c>
      <c r="K70" s="41" t="str">
        <f>IF(I70=0,"","72000")</f>
        <v/>
      </c>
      <c r="L70" s="30" t="s">
        <v>31</v>
      </c>
      <c r="M70" s="46"/>
    </row>
    <row r="71" spans="6:15" x14ac:dyDescent="0.35">
      <c r="G71" s="29"/>
      <c r="H71" s="30"/>
      <c r="I71" s="30"/>
      <c r="J71" s="30"/>
      <c r="K71" s="30"/>
      <c r="L71" s="30"/>
      <c r="M71" s="35">
        <f>SUM(M68:M70)</f>
        <v>0</v>
      </c>
    </row>
    <row r="72" spans="6:15" x14ac:dyDescent="0.35">
      <c r="G72" s="29"/>
      <c r="H72" s="30"/>
      <c r="I72" s="30"/>
      <c r="J72" s="30"/>
      <c r="K72" s="30"/>
      <c r="L72" s="30"/>
      <c r="M72" s="35"/>
    </row>
    <row r="73" spans="6:15" ht="14.5" customHeight="1" x14ac:dyDescent="0.35">
      <c r="G73" s="29"/>
      <c r="H73" s="30"/>
      <c r="I73" s="30"/>
      <c r="J73" s="30"/>
      <c r="K73" s="60" t="s">
        <v>33</v>
      </c>
      <c r="L73" s="60"/>
      <c r="M73" s="61">
        <f>M67+M71</f>
        <v>0</v>
      </c>
    </row>
    <row r="74" spans="6:15" ht="14.5" customHeight="1" x14ac:dyDescent="0.35">
      <c r="G74" s="29"/>
      <c r="H74" s="30"/>
      <c r="I74" s="30"/>
      <c r="J74" s="30"/>
      <c r="K74" s="60"/>
      <c r="L74" s="60"/>
      <c r="M74" s="61"/>
    </row>
    <row r="75" spans="6:15" ht="15" thickBot="1" x14ac:dyDescent="0.4">
      <c r="G75" s="36"/>
      <c r="H75" s="37"/>
      <c r="I75" s="38"/>
      <c r="J75" s="37"/>
      <c r="K75" s="37"/>
      <c r="L75" s="37"/>
      <c r="M75" s="39"/>
    </row>
    <row r="76" spans="6:15" x14ac:dyDescent="0.35">
      <c r="G76"/>
      <c r="H76"/>
      <c r="I76"/>
      <c r="J76"/>
      <c r="K76"/>
      <c r="L76"/>
      <c r="M76"/>
    </row>
  </sheetData>
  <mergeCells count="8">
    <mergeCell ref="K73:L74"/>
    <mergeCell ref="M73:M74"/>
    <mergeCell ref="A1:C2"/>
    <mergeCell ref="D1:D2"/>
    <mergeCell ref="D4:D5"/>
    <mergeCell ref="E4:E5"/>
    <mergeCell ref="B23:C23"/>
    <mergeCell ref="H57:I5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E740-3E73-484B-898B-D8FAA05183D5}">
  <dimension ref="A1:AA92"/>
  <sheetViews>
    <sheetView showGridLines="0" topLeftCell="A60" zoomScale="63" zoomScaleNormal="63" workbookViewId="0">
      <selection activeCell="D28" sqref="D28:K52"/>
    </sheetView>
  </sheetViews>
  <sheetFormatPr defaultRowHeight="14.5" x14ac:dyDescent="0.35"/>
  <cols>
    <col min="1" max="1" width="10.453125" style="2" bestFit="1" customWidth="1"/>
    <col min="2" max="2" width="9.1796875" style="2" bestFit="1" customWidth="1"/>
    <col min="3" max="3" width="9.54296875" style="2" bestFit="1" customWidth="1"/>
    <col min="4" max="4" width="14" style="2" bestFit="1" customWidth="1"/>
    <col min="5" max="5" width="19.453125" style="2" bestFit="1" customWidth="1"/>
    <col min="6" max="6" width="14.81640625" style="2" bestFit="1" customWidth="1"/>
    <col min="7" max="7" width="14.7265625" style="2" bestFit="1" customWidth="1"/>
    <col min="8" max="8" width="10.81640625" style="2" bestFit="1" customWidth="1"/>
    <col min="9" max="9" width="10.90625" style="2" customWidth="1"/>
    <col min="10" max="11" width="11.90625" style="2" bestFit="1" customWidth="1"/>
    <col min="12" max="12" width="15.1796875" style="2" bestFit="1" customWidth="1"/>
    <col min="13" max="13" width="23" style="2" customWidth="1"/>
    <col min="14" max="15" width="8.7265625" style="2"/>
    <col min="16" max="16" width="10.36328125" bestFit="1" customWidth="1"/>
    <col min="17" max="17" width="20.90625" bestFit="1" customWidth="1"/>
    <col min="18" max="18" width="20" bestFit="1" customWidth="1"/>
    <col min="19" max="19" width="21.90625" bestFit="1" customWidth="1"/>
    <col min="20" max="20" width="20.90625" bestFit="1" customWidth="1"/>
    <col min="21" max="21" width="18.26953125" bestFit="1" customWidth="1"/>
    <col min="22" max="22" width="20.1796875" bestFit="1" customWidth="1"/>
    <col min="23" max="23" width="21" bestFit="1" customWidth="1"/>
    <col min="24" max="24" width="17" bestFit="1" customWidth="1"/>
    <col min="25" max="25" width="22.453125" bestFit="1" customWidth="1"/>
    <col min="26" max="26" width="12.90625" bestFit="1" customWidth="1"/>
    <col min="27" max="27" width="15.08984375" bestFit="1" customWidth="1"/>
  </cols>
  <sheetData>
    <row r="1" spans="1:8" ht="14.5" customHeight="1" x14ac:dyDescent="0.35">
      <c r="A1" s="62" t="s">
        <v>13</v>
      </c>
      <c r="B1" s="62"/>
      <c r="C1" s="62"/>
      <c r="D1" s="63" t="s">
        <v>44</v>
      </c>
      <c r="E1" s="6"/>
      <c r="H1" s="15"/>
    </row>
    <row r="2" spans="1:8" ht="14.5" customHeight="1" x14ac:dyDescent="0.35">
      <c r="A2" s="62"/>
      <c r="B2" s="62"/>
      <c r="C2" s="62"/>
      <c r="D2" s="63"/>
      <c r="E2" s="6"/>
      <c r="H2" s="15"/>
    </row>
    <row r="3" spans="1:8" ht="14.5" customHeight="1" x14ac:dyDescent="0.35">
      <c r="A3" s="3"/>
      <c r="B3" s="3"/>
      <c r="C3" s="3"/>
      <c r="D3" s="5"/>
      <c r="E3" s="6"/>
      <c r="F3" s="3"/>
      <c r="G3" s="16"/>
      <c r="H3" s="15"/>
    </row>
    <row r="4" spans="1:8" ht="14.5" customHeight="1" x14ac:dyDescent="0.35">
      <c r="A4" s="3"/>
      <c r="B4" s="3"/>
      <c r="C4" s="3"/>
      <c r="D4" s="64" t="s">
        <v>19</v>
      </c>
      <c r="E4" s="65">
        <f>SUM(E7:E20)-B23</f>
        <v>0</v>
      </c>
      <c r="F4" s="19"/>
      <c r="G4" s="16"/>
      <c r="H4" s="15"/>
    </row>
    <row r="5" spans="1:8" ht="14.5" customHeight="1" x14ac:dyDescent="0.35">
      <c r="A5" s="3"/>
      <c r="B5" s="3"/>
      <c r="C5" s="3"/>
      <c r="D5" s="64"/>
      <c r="E5" s="65"/>
      <c r="F5" s="19"/>
      <c r="G5" s="16"/>
      <c r="H5" s="15"/>
    </row>
    <row r="6" spans="1:8" ht="14.5" customHeight="1" x14ac:dyDescent="0.35">
      <c r="A6"/>
      <c r="B6"/>
      <c r="C6"/>
      <c r="D6" s="17" t="s">
        <v>0</v>
      </c>
      <c r="E6" s="20" t="s">
        <v>41</v>
      </c>
      <c r="F6" s="20" t="s">
        <v>40</v>
      </c>
      <c r="G6" s="48" t="s">
        <v>39</v>
      </c>
      <c r="H6" s="15"/>
    </row>
    <row r="7" spans="1:8" ht="14.5" customHeight="1" x14ac:dyDescent="0.35">
      <c r="A7"/>
      <c r="B7"/>
      <c r="C7"/>
      <c r="D7" s="18"/>
      <c r="E7" s="21"/>
      <c r="F7" s="22"/>
      <c r="G7" s="51"/>
      <c r="H7" s="15"/>
    </row>
    <row r="8" spans="1:8" ht="14.5" customHeight="1" x14ac:dyDescent="0.35">
      <c r="A8"/>
      <c r="B8"/>
      <c r="C8"/>
      <c r="D8" s="18"/>
      <c r="E8" s="21"/>
      <c r="F8" s="21"/>
      <c r="G8" s="51"/>
      <c r="H8" s="15"/>
    </row>
    <row r="9" spans="1:8" ht="14.5" customHeight="1" x14ac:dyDescent="0.35">
      <c r="A9"/>
      <c r="B9"/>
      <c r="C9"/>
      <c r="D9" s="18"/>
      <c r="E9" s="21"/>
      <c r="F9" s="21"/>
      <c r="G9" s="51"/>
      <c r="H9" s="15"/>
    </row>
    <row r="10" spans="1:8" ht="14.5" customHeight="1" x14ac:dyDescent="0.35">
      <c r="A10"/>
      <c r="B10"/>
      <c r="C10"/>
      <c r="D10" s="18"/>
      <c r="E10" s="21"/>
      <c r="F10" s="21"/>
      <c r="G10" s="51"/>
      <c r="H10" s="15"/>
    </row>
    <row r="11" spans="1:8" ht="14.5" customHeight="1" x14ac:dyDescent="0.35">
      <c r="A11"/>
      <c r="B11"/>
      <c r="C11"/>
      <c r="D11" s="18"/>
      <c r="E11" s="21"/>
      <c r="F11" s="21"/>
      <c r="G11" s="51"/>
      <c r="H11" s="15"/>
    </row>
    <row r="12" spans="1:8" ht="14.5" customHeight="1" x14ac:dyDescent="0.35">
      <c r="A12"/>
      <c r="B12"/>
      <c r="C12"/>
      <c r="D12" s="18"/>
      <c r="E12" s="21"/>
      <c r="F12" s="21"/>
      <c r="G12" s="51"/>
      <c r="H12" s="15"/>
    </row>
    <row r="13" spans="1:8" ht="14.5" customHeight="1" x14ac:dyDescent="0.35">
      <c r="A13"/>
      <c r="B13"/>
      <c r="C13"/>
      <c r="D13" s="18"/>
      <c r="E13" s="21"/>
      <c r="F13" s="21"/>
      <c r="G13" s="51"/>
      <c r="H13" s="15"/>
    </row>
    <row r="14" spans="1:8" ht="14.5" customHeight="1" x14ac:dyDescent="0.35">
      <c r="A14"/>
      <c r="B14"/>
      <c r="C14"/>
      <c r="D14" s="18"/>
      <c r="E14" s="21"/>
      <c r="F14" s="21"/>
      <c r="G14" s="51"/>
      <c r="H14" s="15"/>
    </row>
    <row r="15" spans="1:8" ht="14.5" customHeight="1" x14ac:dyDescent="0.35">
      <c r="A15"/>
      <c r="B15"/>
      <c r="C15"/>
      <c r="D15" s="18"/>
      <c r="E15" s="21"/>
      <c r="F15" s="21"/>
      <c r="G15" s="51"/>
      <c r="H15" s="15"/>
    </row>
    <row r="16" spans="1:8" ht="14.5" customHeight="1" x14ac:dyDescent="0.35">
      <c r="A16"/>
      <c r="B16"/>
      <c r="C16"/>
      <c r="D16" s="18"/>
      <c r="E16" s="21"/>
      <c r="F16" s="21"/>
      <c r="G16" s="51"/>
      <c r="H16" s="15"/>
    </row>
    <row r="17" spans="1:27" ht="14.5" customHeight="1" x14ac:dyDescent="0.35">
      <c r="A17"/>
      <c r="B17"/>
      <c r="C17"/>
      <c r="D17" s="18"/>
      <c r="E17" s="21"/>
      <c r="F17" s="21"/>
      <c r="G17" s="51"/>
      <c r="H17" s="15"/>
    </row>
    <row r="18" spans="1:27" ht="14.5" customHeight="1" x14ac:dyDescent="0.35">
      <c r="A18"/>
      <c r="B18"/>
      <c r="C18"/>
      <c r="D18" s="18"/>
      <c r="E18" s="21"/>
      <c r="F18" s="21"/>
      <c r="G18" s="51"/>
      <c r="H18" s="15"/>
    </row>
    <row r="19" spans="1:27" ht="14.5" customHeight="1" x14ac:dyDescent="0.35">
      <c r="A19"/>
      <c r="B19"/>
      <c r="C19"/>
      <c r="D19" s="18"/>
      <c r="E19" s="21"/>
      <c r="F19" s="21"/>
      <c r="G19" s="51"/>
      <c r="H19" s="15"/>
    </row>
    <row r="20" spans="1:27" ht="14.5" customHeight="1" x14ac:dyDescent="0.35">
      <c r="A20"/>
      <c r="B20"/>
      <c r="C20"/>
      <c r="D20" s="18"/>
      <c r="E20" s="21"/>
      <c r="F20" s="21"/>
      <c r="G20" s="52"/>
    </row>
    <row r="21" spans="1:27" ht="14.5" customHeight="1" x14ac:dyDescent="0.35">
      <c r="A21" s="3"/>
      <c r="B21" s="3"/>
      <c r="C21" s="3"/>
      <c r="D21" s="5"/>
      <c r="E21" s="6"/>
    </row>
    <row r="22" spans="1:27" ht="14.5" customHeight="1" x14ac:dyDescent="0.35">
      <c r="A22" s="3"/>
      <c r="B22" s="3"/>
      <c r="C22" s="3"/>
      <c r="D22" s="5"/>
      <c r="E22" s="6"/>
    </row>
    <row r="23" spans="1:27" ht="14.5" customHeight="1" x14ac:dyDescent="0.35">
      <c r="A23" s="3" t="s">
        <v>18</v>
      </c>
      <c r="B23" s="66">
        <f>SUM(D23:N23)</f>
        <v>0</v>
      </c>
      <c r="C23" s="67"/>
      <c r="D23" s="8">
        <f>SUM(D28:D67)*D24</f>
        <v>0</v>
      </c>
      <c r="E23" s="8">
        <f t="shared" ref="E23:K23" si="0">SUM(E28:E67)*E24</f>
        <v>0</v>
      </c>
      <c r="F23" s="8">
        <f t="shared" si="0"/>
        <v>0</v>
      </c>
      <c r="G23" s="8">
        <f t="shared" si="0"/>
        <v>0</v>
      </c>
      <c r="H23" s="8">
        <f t="shared" si="0"/>
        <v>0</v>
      </c>
      <c r="I23" s="8">
        <f t="shared" si="0"/>
        <v>0</v>
      </c>
      <c r="J23" s="8">
        <f t="shared" si="0"/>
        <v>0</v>
      </c>
      <c r="K23" s="8">
        <f t="shared" si="0"/>
        <v>0</v>
      </c>
      <c r="L23" s="8">
        <f t="shared" ref="L23" si="1">SUM(L28:L67)*L24</f>
        <v>0</v>
      </c>
      <c r="M23" s="8">
        <f t="shared" ref="M23:N23" si="2">SUM(M28:M67)*M24</f>
        <v>0</v>
      </c>
      <c r="N23" s="8">
        <f t="shared" si="2"/>
        <v>0</v>
      </c>
      <c r="O23" s="8">
        <f>SUM(O28:O58)</f>
        <v>0</v>
      </c>
      <c r="P23" s="54"/>
    </row>
    <row r="24" spans="1:27" x14ac:dyDescent="0.35">
      <c r="A24" s="14" t="s">
        <v>17</v>
      </c>
      <c r="B24"/>
      <c r="C24" s="13"/>
      <c r="D24" s="9">
        <v>68000</v>
      </c>
      <c r="E24" s="9">
        <v>70000</v>
      </c>
      <c r="F24" s="9">
        <v>81000</v>
      </c>
      <c r="G24" s="9">
        <v>81000</v>
      </c>
      <c r="H24" s="9">
        <v>32000</v>
      </c>
      <c r="I24" s="9">
        <v>39000</v>
      </c>
      <c r="J24" s="9">
        <v>51000</v>
      </c>
      <c r="K24" s="9">
        <v>45000</v>
      </c>
      <c r="L24" s="10">
        <v>18000</v>
      </c>
      <c r="M24" s="10">
        <v>70000</v>
      </c>
      <c r="N24" s="10">
        <v>72000</v>
      </c>
      <c r="O24" s="11"/>
    </row>
    <row r="25" spans="1:27" x14ac:dyDescent="0.35">
      <c r="D25" s="12"/>
      <c r="E25" s="12"/>
      <c r="F25" s="12"/>
      <c r="G25" s="12"/>
      <c r="H25" s="12"/>
      <c r="I25" s="12"/>
      <c r="J25" s="12"/>
      <c r="K25" s="12"/>
      <c r="L25"/>
      <c r="M25"/>
      <c r="N25"/>
      <c r="O25"/>
    </row>
    <row r="26" spans="1:27" x14ac:dyDescent="0.35">
      <c r="D26" s="12"/>
      <c r="E26" s="12"/>
      <c r="F26" s="12"/>
      <c r="G26" s="12"/>
      <c r="H26" s="12"/>
      <c r="I26" s="12"/>
      <c r="J26" s="12"/>
      <c r="K26" s="12"/>
      <c r="L26"/>
      <c r="M26"/>
      <c r="N26"/>
      <c r="O26"/>
    </row>
    <row r="27" spans="1:27" ht="29" x14ac:dyDescent="0.35">
      <c r="A27" s="1" t="s">
        <v>0</v>
      </c>
      <c r="B27" s="1" t="s">
        <v>1</v>
      </c>
      <c r="C27" s="1" t="s">
        <v>2</v>
      </c>
      <c r="D27" s="42" t="s">
        <v>3</v>
      </c>
      <c r="E27" s="42" t="s">
        <v>4</v>
      </c>
      <c r="F27" s="42" t="s">
        <v>5</v>
      </c>
      <c r="G27" s="42" t="s">
        <v>6</v>
      </c>
      <c r="H27" s="42" t="s">
        <v>7</v>
      </c>
      <c r="I27" s="42" t="s">
        <v>8</v>
      </c>
      <c r="J27" s="42" t="s">
        <v>9</v>
      </c>
      <c r="K27" s="42" t="s">
        <v>10</v>
      </c>
      <c r="L27" s="43" t="s">
        <v>14</v>
      </c>
      <c r="M27" s="43" t="s">
        <v>15</v>
      </c>
      <c r="N27" s="43" t="s">
        <v>16</v>
      </c>
      <c r="O27" s="47" t="s">
        <v>18</v>
      </c>
      <c r="Q27" t="s">
        <v>20</v>
      </c>
      <c r="R27" t="s">
        <v>21</v>
      </c>
      <c r="S27" t="s">
        <v>22</v>
      </c>
      <c r="T27" t="s">
        <v>23</v>
      </c>
      <c r="U27" t="s">
        <v>34</v>
      </c>
      <c r="V27" t="s">
        <v>24</v>
      </c>
      <c r="W27" t="s">
        <v>35</v>
      </c>
      <c r="X27" t="s">
        <v>36</v>
      </c>
      <c r="Y27" t="s">
        <v>25</v>
      </c>
      <c r="Z27" t="s">
        <v>37</v>
      </c>
      <c r="AA27" t="s">
        <v>38</v>
      </c>
    </row>
    <row r="28" spans="1:27" x14ac:dyDescent="0.35">
      <c r="A28" s="7"/>
      <c r="B28" s="4">
        <f>WEEKNUM(A28)</f>
        <v>0</v>
      </c>
      <c r="C28" s="7" t="str">
        <f>TEXT(A28,"mmmm")</f>
        <v>January</v>
      </c>
      <c r="D28" s="4"/>
      <c r="E28" s="4"/>
      <c r="F28" s="4"/>
      <c r="G28" s="4"/>
      <c r="H28" s="4"/>
      <c r="I28" s="4"/>
      <c r="J28" s="4"/>
      <c r="K28" s="4"/>
      <c r="L28" s="4"/>
      <c r="M28" s="4"/>
      <c r="N28" s="4"/>
      <c r="O28" s="2">
        <f>SUM(D28:N28)</f>
        <v>0</v>
      </c>
      <c r="Q28" s="70"/>
      <c r="R28" s="70"/>
      <c r="S28" s="70"/>
      <c r="T28" s="70"/>
      <c r="U28" s="70"/>
      <c r="V28" s="70"/>
      <c r="W28" s="70"/>
      <c r="X28" s="70"/>
      <c r="Y28" s="70"/>
      <c r="Z28" s="70"/>
      <c r="AA28" s="70"/>
    </row>
    <row r="29" spans="1:27" x14ac:dyDescent="0.35">
      <c r="A29" s="7"/>
      <c r="B29" s="4">
        <f t="shared" ref="B29:B66" si="3">WEEKNUM(A29)</f>
        <v>0</v>
      </c>
      <c r="C29" s="7" t="str">
        <f t="shared" ref="C29:C66" si="4">TEXT(A29,"mmmm")</f>
        <v>January</v>
      </c>
      <c r="D29" s="4"/>
      <c r="E29" s="4"/>
      <c r="F29" s="4"/>
      <c r="G29" s="4"/>
      <c r="H29" s="4"/>
      <c r="I29" s="4"/>
      <c r="J29" s="4"/>
      <c r="K29" s="4"/>
      <c r="L29" s="4"/>
      <c r="M29" s="4"/>
      <c r="N29" s="4"/>
      <c r="O29" s="2">
        <f t="shared" ref="O29:O67" si="5">SUM(D29:N29)</f>
        <v>0</v>
      </c>
    </row>
    <row r="30" spans="1:27" x14ac:dyDescent="0.35">
      <c r="A30" s="7"/>
      <c r="B30" s="4">
        <f t="shared" si="3"/>
        <v>0</v>
      </c>
      <c r="C30" s="7" t="str">
        <f t="shared" si="4"/>
        <v>January</v>
      </c>
      <c r="D30" s="4"/>
      <c r="E30" s="4"/>
      <c r="F30" s="4"/>
      <c r="G30" s="4"/>
      <c r="H30" s="4"/>
      <c r="I30" s="4"/>
      <c r="J30" s="4"/>
      <c r="K30" s="4"/>
      <c r="L30" s="4"/>
      <c r="M30" s="4"/>
      <c r="N30" s="4"/>
      <c r="O30" s="2">
        <f t="shared" si="5"/>
        <v>0</v>
      </c>
    </row>
    <row r="31" spans="1:27" x14ac:dyDescent="0.35">
      <c r="A31" s="7"/>
      <c r="B31" s="4">
        <f t="shared" si="3"/>
        <v>0</v>
      </c>
      <c r="C31" s="7" t="str">
        <f t="shared" si="4"/>
        <v>January</v>
      </c>
      <c r="D31" s="4"/>
      <c r="E31" s="4"/>
      <c r="F31" s="4"/>
      <c r="G31" s="4"/>
      <c r="H31" s="4"/>
      <c r="I31" s="4"/>
      <c r="J31" s="4"/>
      <c r="K31" s="4"/>
      <c r="L31" s="4"/>
      <c r="M31" s="4"/>
      <c r="N31" s="4"/>
      <c r="O31" s="2">
        <f t="shared" si="5"/>
        <v>0</v>
      </c>
    </row>
    <row r="32" spans="1:27" x14ac:dyDescent="0.35">
      <c r="A32" s="7"/>
      <c r="B32" s="4">
        <f t="shared" si="3"/>
        <v>0</v>
      </c>
      <c r="C32" s="7" t="str">
        <f t="shared" si="4"/>
        <v>January</v>
      </c>
      <c r="D32" s="4"/>
      <c r="E32" s="4"/>
      <c r="F32" s="4"/>
      <c r="G32" s="4"/>
      <c r="H32" s="4"/>
      <c r="I32" s="4"/>
      <c r="J32" s="4"/>
      <c r="K32" s="4"/>
      <c r="L32" s="4"/>
      <c r="M32" s="4"/>
      <c r="N32" s="4"/>
      <c r="O32" s="2">
        <f t="shared" si="5"/>
        <v>0</v>
      </c>
    </row>
    <row r="33" spans="1:15" x14ac:dyDescent="0.35">
      <c r="A33" s="7"/>
      <c r="B33" s="4">
        <f t="shared" si="3"/>
        <v>0</v>
      </c>
      <c r="C33" s="7" t="str">
        <f t="shared" si="4"/>
        <v>January</v>
      </c>
      <c r="D33" s="4"/>
      <c r="E33" s="4"/>
      <c r="F33" s="4"/>
      <c r="G33" s="4"/>
      <c r="H33" s="4"/>
      <c r="I33" s="4"/>
      <c r="J33" s="4"/>
      <c r="K33" s="4"/>
      <c r="L33" s="4"/>
      <c r="M33" s="4"/>
      <c r="N33" s="4"/>
      <c r="O33" s="2">
        <f t="shared" si="5"/>
        <v>0</v>
      </c>
    </row>
    <row r="34" spans="1:15" x14ac:dyDescent="0.35">
      <c r="A34" s="7"/>
      <c r="B34" s="4">
        <f t="shared" si="3"/>
        <v>0</v>
      </c>
      <c r="C34" s="7" t="str">
        <f t="shared" si="4"/>
        <v>January</v>
      </c>
      <c r="D34" s="4"/>
      <c r="E34" s="4"/>
      <c r="F34" s="4"/>
      <c r="G34" s="4"/>
      <c r="H34" s="4"/>
      <c r="I34" s="4"/>
      <c r="J34" s="4"/>
      <c r="K34" s="4"/>
      <c r="L34" s="4"/>
      <c r="M34" s="4"/>
      <c r="N34" s="4"/>
      <c r="O34" s="2">
        <f t="shared" si="5"/>
        <v>0</v>
      </c>
    </row>
    <row r="35" spans="1:15" x14ac:dyDescent="0.35">
      <c r="A35" s="7"/>
      <c r="B35" s="4">
        <f t="shared" si="3"/>
        <v>0</v>
      </c>
      <c r="C35" s="7" t="str">
        <f t="shared" si="4"/>
        <v>January</v>
      </c>
      <c r="D35" s="4"/>
      <c r="E35" s="4"/>
      <c r="F35" s="4"/>
      <c r="G35" s="4"/>
      <c r="H35" s="4"/>
      <c r="I35" s="4"/>
      <c r="J35" s="4"/>
      <c r="K35" s="4"/>
      <c r="L35" s="4"/>
      <c r="M35" s="4"/>
      <c r="N35" s="4"/>
      <c r="O35" s="2">
        <f t="shared" si="5"/>
        <v>0</v>
      </c>
    </row>
    <row r="36" spans="1:15" x14ac:dyDescent="0.35">
      <c r="A36" s="7"/>
      <c r="B36" s="4">
        <f t="shared" si="3"/>
        <v>0</v>
      </c>
      <c r="C36" s="7" t="str">
        <f t="shared" si="4"/>
        <v>January</v>
      </c>
      <c r="D36" s="4"/>
      <c r="E36" s="4"/>
      <c r="F36" s="4"/>
      <c r="G36" s="4"/>
      <c r="H36" s="4"/>
      <c r="I36" s="4"/>
      <c r="J36" s="4"/>
      <c r="K36" s="4"/>
      <c r="L36" s="4"/>
      <c r="M36" s="4"/>
      <c r="N36" s="4"/>
      <c r="O36" s="2">
        <f t="shared" si="5"/>
        <v>0</v>
      </c>
    </row>
    <row r="37" spans="1:15" x14ac:dyDescent="0.35">
      <c r="A37" s="7"/>
      <c r="B37" s="4">
        <f t="shared" si="3"/>
        <v>0</v>
      </c>
      <c r="C37" s="7" t="str">
        <f t="shared" si="4"/>
        <v>January</v>
      </c>
      <c r="D37" s="4"/>
      <c r="E37" s="4"/>
      <c r="F37" s="4"/>
      <c r="G37" s="4"/>
      <c r="H37" s="4"/>
      <c r="I37" s="4"/>
      <c r="J37" s="4"/>
      <c r="K37" s="4"/>
      <c r="L37" s="4"/>
      <c r="M37" s="4"/>
      <c r="N37" s="4"/>
      <c r="O37" s="2">
        <f t="shared" si="5"/>
        <v>0</v>
      </c>
    </row>
    <row r="38" spans="1:15" x14ac:dyDescent="0.35">
      <c r="A38" s="7"/>
      <c r="B38" s="4">
        <f t="shared" si="3"/>
        <v>0</v>
      </c>
      <c r="C38" s="7" t="str">
        <f t="shared" si="4"/>
        <v>January</v>
      </c>
      <c r="D38" s="4"/>
      <c r="E38" s="4"/>
      <c r="F38" s="4"/>
      <c r="G38" s="4"/>
      <c r="H38" s="4"/>
      <c r="I38" s="4"/>
      <c r="J38" s="4"/>
      <c r="K38" s="4"/>
      <c r="L38" s="4"/>
      <c r="M38" s="4"/>
      <c r="N38" s="4"/>
      <c r="O38" s="2">
        <f t="shared" si="5"/>
        <v>0</v>
      </c>
    </row>
    <row r="39" spans="1:15" x14ac:dyDescent="0.35">
      <c r="A39" s="7"/>
      <c r="B39" s="4">
        <f t="shared" ref="B39:B47" si="6">WEEKNUM(A39)</f>
        <v>0</v>
      </c>
      <c r="C39" s="7" t="str">
        <f t="shared" ref="C39:C47" si="7">TEXT(A39,"mmmm")</f>
        <v>January</v>
      </c>
      <c r="D39" s="4"/>
      <c r="E39" s="4"/>
      <c r="F39" s="4"/>
      <c r="G39" s="4"/>
      <c r="H39" s="4"/>
      <c r="I39" s="4"/>
      <c r="J39" s="4"/>
      <c r="K39" s="4"/>
      <c r="L39" s="4"/>
      <c r="M39" s="4"/>
      <c r="N39" s="4"/>
      <c r="O39" s="2">
        <f t="shared" si="5"/>
        <v>0</v>
      </c>
    </row>
    <row r="40" spans="1:15" x14ac:dyDescent="0.35">
      <c r="A40" s="7"/>
      <c r="B40" s="4">
        <f t="shared" si="6"/>
        <v>0</v>
      </c>
      <c r="C40" s="7" t="str">
        <f t="shared" si="7"/>
        <v>January</v>
      </c>
      <c r="D40" s="4"/>
      <c r="E40" s="4"/>
      <c r="F40" s="4"/>
      <c r="G40" s="4"/>
      <c r="H40" s="4"/>
      <c r="I40" s="4"/>
      <c r="J40" s="4"/>
      <c r="K40" s="4"/>
      <c r="L40" s="4"/>
      <c r="M40" s="4"/>
      <c r="N40" s="4"/>
      <c r="O40" s="2">
        <f t="shared" si="5"/>
        <v>0</v>
      </c>
    </row>
    <row r="41" spans="1:15" x14ac:dyDescent="0.35">
      <c r="A41" s="7"/>
      <c r="B41" s="4">
        <f t="shared" si="6"/>
        <v>0</v>
      </c>
      <c r="C41" s="7" t="str">
        <f t="shared" si="7"/>
        <v>January</v>
      </c>
      <c r="D41" s="4"/>
      <c r="E41" s="4"/>
      <c r="F41" s="4"/>
      <c r="G41" s="4"/>
      <c r="H41" s="4"/>
      <c r="I41" s="4"/>
      <c r="J41" s="4"/>
      <c r="K41" s="4"/>
      <c r="L41" s="4"/>
      <c r="M41" s="4"/>
      <c r="N41" s="4"/>
      <c r="O41" s="2">
        <f t="shared" si="5"/>
        <v>0</v>
      </c>
    </row>
    <row r="42" spans="1:15" x14ac:dyDescent="0.35">
      <c r="A42" s="7"/>
      <c r="B42" s="4">
        <f t="shared" si="6"/>
        <v>0</v>
      </c>
      <c r="C42" s="7" t="str">
        <f t="shared" si="7"/>
        <v>January</v>
      </c>
      <c r="D42" s="4"/>
      <c r="E42" s="4"/>
      <c r="F42" s="4"/>
      <c r="G42" s="4"/>
      <c r="H42" s="4"/>
      <c r="I42" s="4"/>
      <c r="J42" s="4"/>
      <c r="K42" s="4"/>
      <c r="L42" s="4"/>
      <c r="M42" s="4"/>
      <c r="N42" s="4"/>
      <c r="O42" s="2">
        <f t="shared" si="5"/>
        <v>0</v>
      </c>
    </row>
    <row r="43" spans="1:15" x14ac:dyDescent="0.35">
      <c r="A43" s="7"/>
      <c r="B43" s="4">
        <f t="shared" si="6"/>
        <v>0</v>
      </c>
      <c r="C43" s="7" t="str">
        <f t="shared" si="7"/>
        <v>January</v>
      </c>
      <c r="D43" s="4"/>
      <c r="E43" s="4"/>
      <c r="F43" s="4"/>
      <c r="G43" s="4"/>
      <c r="H43" s="4"/>
      <c r="I43" s="4"/>
      <c r="J43" s="4"/>
      <c r="K43" s="4"/>
      <c r="L43" s="4"/>
      <c r="M43" s="4"/>
      <c r="N43" s="4"/>
      <c r="O43" s="2">
        <f t="shared" si="5"/>
        <v>0</v>
      </c>
    </row>
    <row r="44" spans="1:15" x14ac:dyDescent="0.35">
      <c r="A44" s="7"/>
      <c r="B44" s="4">
        <f t="shared" si="6"/>
        <v>0</v>
      </c>
      <c r="C44" s="7" t="str">
        <f t="shared" si="7"/>
        <v>January</v>
      </c>
      <c r="D44" s="4"/>
      <c r="E44" s="4"/>
      <c r="F44" s="4"/>
      <c r="G44" s="4"/>
      <c r="H44" s="4"/>
      <c r="I44" s="4"/>
      <c r="J44" s="4"/>
      <c r="K44" s="4"/>
      <c r="L44" s="4"/>
      <c r="M44" s="4"/>
      <c r="N44" s="4"/>
      <c r="O44" s="2">
        <f t="shared" si="5"/>
        <v>0</v>
      </c>
    </row>
    <row r="45" spans="1:15" x14ac:dyDescent="0.35">
      <c r="A45" s="59"/>
      <c r="B45" s="55">
        <f t="shared" si="6"/>
        <v>0</v>
      </c>
      <c r="C45" s="59" t="str">
        <f t="shared" si="7"/>
        <v>January</v>
      </c>
      <c r="D45" s="55"/>
      <c r="E45" s="55"/>
      <c r="F45" s="55"/>
      <c r="G45" s="55"/>
      <c r="H45" s="55"/>
      <c r="I45" s="55"/>
      <c r="J45" s="55"/>
      <c r="K45" s="55"/>
      <c r="L45" s="4"/>
      <c r="M45" s="4"/>
      <c r="N45" s="4"/>
      <c r="O45" s="2">
        <f t="shared" si="5"/>
        <v>0</v>
      </c>
    </row>
    <row r="46" spans="1:15" x14ac:dyDescent="0.35">
      <c r="A46" s="59"/>
      <c r="B46" s="55">
        <f t="shared" si="6"/>
        <v>0</v>
      </c>
      <c r="C46" s="59" t="str">
        <f t="shared" si="7"/>
        <v>January</v>
      </c>
      <c r="D46" s="55"/>
      <c r="E46" s="55"/>
      <c r="F46" s="55"/>
      <c r="G46" s="55"/>
      <c r="H46" s="55"/>
      <c r="I46" s="55"/>
      <c r="J46" s="55"/>
      <c r="K46" s="55"/>
      <c r="L46" s="4"/>
      <c r="M46" s="4"/>
      <c r="N46" s="4"/>
      <c r="O46" s="2">
        <f t="shared" si="5"/>
        <v>0</v>
      </c>
    </row>
    <row r="47" spans="1:15" x14ac:dyDescent="0.35">
      <c r="A47" s="59"/>
      <c r="B47" s="55">
        <f t="shared" si="6"/>
        <v>0</v>
      </c>
      <c r="C47" s="59" t="str">
        <f t="shared" si="7"/>
        <v>January</v>
      </c>
      <c r="D47" s="55"/>
      <c r="E47" s="55"/>
      <c r="F47" s="55"/>
      <c r="G47" s="55"/>
      <c r="H47" s="55"/>
      <c r="I47" s="55"/>
      <c r="J47" s="55"/>
      <c r="K47" s="55"/>
      <c r="L47" s="4"/>
      <c r="M47" s="4"/>
      <c r="N47" s="4"/>
      <c r="O47" s="2">
        <f t="shared" si="5"/>
        <v>0</v>
      </c>
    </row>
    <row r="48" spans="1:15" x14ac:dyDescent="0.35">
      <c r="A48" s="59"/>
      <c r="B48" s="55">
        <f t="shared" ref="B48:B57" si="8">WEEKNUM(A48)</f>
        <v>0</v>
      </c>
      <c r="C48" s="59" t="str">
        <f t="shared" ref="C48:C57" si="9">TEXT(A48,"mmmm")</f>
        <v>January</v>
      </c>
      <c r="D48" s="55"/>
      <c r="E48" s="55"/>
      <c r="F48" s="55"/>
      <c r="G48" s="55"/>
      <c r="H48" s="55"/>
      <c r="I48" s="55"/>
      <c r="J48" s="55"/>
      <c r="K48" s="55"/>
      <c r="L48" s="4"/>
      <c r="M48" s="4"/>
      <c r="N48" s="4"/>
      <c r="O48" s="2">
        <f t="shared" si="5"/>
        <v>0</v>
      </c>
    </row>
    <row r="49" spans="1:15" x14ac:dyDescent="0.35">
      <c r="A49" s="59"/>
      <c r="B49" s="55">
        <f t="shared" si="8"/>
        <v>0</v>
      </c>
      <c r="C49" s="59" t="str">
        <f t="shared" si="9"/>
        <v>January</v>
      </c>
      <c r="D49" s="55"/>
      <c r="E49" s="55"/>
      <c r="F49" s="55"/>
      <c r="G49" s="55"/>
      <c r="H49" s="55"/>
      <c r="I49" s="55"/>
      <c r="J49" s="55"/>
      <c r="K49" s="55"/>
      <c r="L49" s="4"/>
      <c r="M49" s="4"/>
      <c r="N49" s="4"/>
      <c r="O49" s="2">
        <f t="shared" si="5"/>
        <v>0</v>
      </c>
    </row>
    <row r="50" spans="1:15" x14ac:dyDescent="0.35">
      <c r="A50" s="59"/>
      <c r="B50" s="55">
        <f t="shared" si="8"/>
        <v>0</v>
      </c>
      <c r="C50" s="59" t="str">
        <f t="shared" si="9"/>
        <v>January</v>
      </c>
      <c r="D50" s="55"/>
      <c r="E50" s="55"/>
      <c r="F50" s="55"/>
      <c r="G50" s="55"/>
      <c r="H50" s="55"/>
      <c r="I50" s="55"/>
      <c r="J50" s="55"/>
      <c r="K50" s="55"/>
      <c r="L50" s="4"/>
      <c r="M50" s="4"/>
      <c r="N50" s="4"/>
      <c r="O50" s="2">
        <f t="shared" si="5"/>
        <v>0</v>
      </c>
    </row>
    <row r="51" spans="1:15" x14ac:dyDescent="0.35">
      <c r="A51" s="7"/>
      <c r="B51" s="4">
        <f t="shared" si="8"/>
        <v>0</v>
      </c>
      <c r="C51" s="7" t="str">
        <f t="shared" si="9"/>
        <v>January</v>
      </c>
      <c r="D51" s="4"/>
      <c r="E51" s="4"/>
      <c r="F51" s="4"/>
      <c r="G51" s="4"/>
      <c r="H51" s="4"/>
      <c r="I51" s="4"/>
      <c r="J51" s="4"/>
      <c r="K51" s="4"/>
      <c r="L51" s="4"/>
      <c r="M51" s="4"/>
      <c r="N51" s="4"/>
      <c r="O51" s="2">
        <f t="shared" si="5"/>
        <v>0</v>
      </c>
    </row>
    <row r="52" spans="1:15" x14ac:dyDescent="0.35">
      <c r="A52" s="7"/>
      <c r="B52" s="4">
        <f t="shared" si="8"/>
        <v>0</v>
      </c>
      <c r="C52" s="7" t="str">
        <f t="shared" si="9"/>
        <v>January</v>
      </c>
      <c r="D52" s="4"/>
      <c r="E52" s="4"/>
      <c r="F52" s="4"/>
      <c r="G52" s="4"/>
      <c r="H52" s="4"/>
      <c r="I52" s="4"/>
      <c r="J52" s="4"/>
      <c r="K52" s="4"/>
      <c r="L52" s="4"/>
      <c r="M52" s="4"/>
      <c r="N52" s="4"/>
      <c r="O52" s="2">
        <f t="shared" si="5"/>
        <v>0</v>
      </c>
    </row>
    <row r="53" spans="1:15" x14ac:dyDescent="0.35">
      <c r="A53" s="7"/>
      <c r="B53" s="4">
        <f t="shared" si="8"/>
        <v>0</v>
      </c>
      <c r="C53" s="7" t="str">
        <f t="shared" si="9"/>
        <v>January</v>
      </c>
      <c r="D53" s="4"/>
      <c r="E53" s="4"/>
      <c r="F53" s="4"/>
      <c r="G53" s="4"/>
      <c r="H53" s="4"/>
      <c r="I53" s="4"/>
      <c r="J53" s="4"/>
      <c r="K53" s="4"/>
      <c r="L53" s="4"/>
      <c r="M53" s="4"/>
      <c r="N53" s="4"/>
      <c r="O53" s="2">
        <f t="shared" si="5"/>
        <v>0</v>
      </c>
    </row>
    <row r="54" spans="1:15" x14ac:dyDescent="0.35">
      <c r="A54" s="7"/>
      <c r="B54" s="4">
        <f t="shared" si="8"/>
        <v>0</v>
      </c>
      <c r="C54" s="7" t="str">
        <f t="shared" si="9"/>
        <v>January</v>
      </c>
      <c r="D54" s="4"/>
      <c r="E54" s="4"/>
      <c r="F54" s="4"/>
      <c r="G54" s="4"/>
      <c r="H54" s="4"/>
      <c r="I54" s="4"/>
      <c r="J54" s="4"/>
      <c r="K54" s="4"/>
      <c r="L54" s="4"/>
      <c r="M54" s="4"/>
      <c r="N54" s="4"/>
      <c r="O54" s="2">
        <f t="shared" si="5"/>
        <v>0</v>
      </c>
    </row>
    <row r="55" spans="1:15" x14ac:dyDescent="0.35">
      <c r="A55" s="7"/>
      <c r="B55" s="4">
        <f t="shared" si="8"/>
        <v>0</v>
      </c>
      <c r="C55" s="7" t="str">
        <f t="shared" si="9"/>
        <v>January</v>
      </c>
      <c r="D55" s="4"/>
      <c r="E55" s="4"/>
      <c r="F55" s="4"/>
      <c r="G55" s="4"/>
      <c r="H55" s="4"/>
      <c r="I55" s="4"/>
      <c r="J55" s="4"/>
      <c r="K55" s="4"/>
      <c r="L55" s="4"/>
      <c r="M55" s="4"/>
      <c r="N55" s="4"/>
      <c r="O55" s="2">
        <f t="shared" si="5"/>
        <v>0</v>
      </c>
    </row>
    <row r="56" spans="1:15" x14ac:dyDescent="0.35">
      <c r="A56" s="7"/>
      <c r="B56" s="4">
        <f t="shared" si="8"/>
        <v>0</v>
      </c>
      <c r="C56" s="7" t="str">
        <f t="shared" si="9"/>
        <v>January</v>
      </c>
      <c r="D56" s="4"/>
      <c r="E56" s="4"/>
      <c r="F56" s="4"/>
      <c r="G56" s="4"/>
      <c r="H56" s="4"/>
      <c r="I56" s="4"/>
      <c r="J56" s="4"/>
      <c r="K56" s="4"/>
      <c r="L56" s="4"/>
      <c r="M56" s="4"/>
      <c r="N56" s="4"/>
      <c r="O56" s="2">
        <f t="shared" si="5"/>
        <v>0</v>
      </c>
    </row>
    <row r="57" spans="1:15" x14ac:dyDescent="0.35">
      <c r="A57" s="7"/>
      <c r="B57" s="4">
        <f t="shared" si="8"/>
        <v>0</v>
      </c>
      <c r="C57" s="7" t="str">
        <f t="shared" si="9"/>
        <v>January</v>
      </c>
      <c r="D57" s="4"/>
      <c r="E57" s="4"/>
      <c r="F57" s="4"/>
      <c r="G57" s="4"/>
      <c r="H57" s="4"/>
      <c r="I57" s="4"/>
      <c r="J57" s="4"/>
      <c r="K57" s="4"/>
      <c r="L57" s="4"/>
      <c r="M57" s="4"/>
      <c r="N57" s="4"/>
      <c r="O57" s="2">
        <f t="shared" si="5"/>
        <v>0</v>
      </c>
    </row>
    <row r="58" spans="1:15" x14ac:dyDescent="0.35">
      <c r="A58" s="7"/>
      <c r="B58" s="4">
        <f t="shared" ref="B58:B64" si="10">WEEKNUM(A58)</f>
        <v>0</v>
      </c>
      <c r="C58" s="7" t="str">
        <f t="shared" ref="C58:C64" si="11">TEXT(A58,"mmmm")</f>
        <v>January</v>
      </c>
      <c r="D58" s="4"/>
      <c r="E58" s="4"/>
      <c r="F58" s="4"/>
      <c r="G58" s="4"/>
      <c r="H58" s="4"/>
      <c r="I58" s="4"/>
      <c r="J58" s="4"/>
      <c r="K58" s="4"/>
      <c r="L58" s="4"/>
      <c r="M58" s="4"/>
      <c r="N58" s="4"/>
      <c r="O58" s="2">
        <f t="shared" si="5"/>
        <v>0</v>
      </c>
    </row>
    <row r="59" spans="1:15" x14ac:dyDescent="0.35">
      <c r="A59" s="7"/>
      <c r="B59" s="4">
        <f t="shared" si="10"/>
        <v>0</v>
      </c>
      <c r="C59" s="7" t="str">
        <f t="shared" si="11"/>
        <v>January</v>
      </c>
      <c r="D59" s="4"/>
      <c r="E59" s="4"/>
      <c r="F59" s="4"/>
      <c r="G59" s="4"/>
      <c r="H59" s="4"/>
      <c r="I59" s="4"/>
      <c r="J59" s="4"/>
      <c r="K59" s="4"/>
      <c r="L59" s="4"/>
      <c r="M59" s="4"/>
      <c r="N59" s="4"/>
      <c r="O59" s="2">
        <f t="shared" si="5"/>
        <v>0</v>
      </c>
    </row>
    <row r="60" spans="1:15" x14ac:dyDescent="0.35">
      <c r="A60" s="7"/>
      <c r="B60" s="4">
        <f t="shared" si="10"/>
        <v>0</v>
      </c>
      <c r="C60" s="7" t="str">
        <f t="shared" si="11"/>
        <v>January</v>
      </c>
      <c r="D60" s="4"/>
      <c r="E60" s="4"/>
      <c r="F60" s="4"/>
      <c r="G60" s="4"/>
      <c r="H60" s="4"/>
      <c r="I60" s="4"/>
      <c r="J60" s="4"/>
      <c r="K60" s="4"/>
      <c r="L60" s="4"/>
      <c r="M60" s="4"/>
      <c r="N60" s="4"/>
      <c r="O60" s="2">
        <f t="shared" si="5"/>
        <v>0</v>
      </c>
    </row>
    <row r="61" spans="1:15" x14ac:dyDescent="0.35">
      <c r="A61" s="7"/>
      <c r="B61" s="4">
        <f t="shared" si="10"/>
        <v>0</v>
      </c>
      <c r="C61" s="7" t="str">
        <f t="shared" si="11"/>
        <v>January</v>
      </c>
      <c r="D61" s="4"/>
      <c r="E61" s="4"/>
      <c r="F61" s="4"/>
      <c r="G61" s="4"/>
      <c r="H61" s="4"/>
      <c r="I61" s="4"/>
      <c r="J61" s="4"/>
      <c r="K61" s="4"/>
      <c r="L61" s="4"/>
      <c r="M61" s="4"/>
      <c r="N61" s="4"/>
      <c r="O61" s="2">
        <f t="shared" si="5"/>
        <v>0</v>
      </c>
    </row>
    <row r="62" spans="1:15" x14ac:dyDescent="0.35">
      <c r="A62" s="7"/>
      <c r="B62" s="4">
        <f t="shared" si="10"/>
        <v>0</v>
      </c>
      <c r="C62" s="7" t="str">
        <f t="shared" si="11"/>
        <v>January</v>
      </c>
      <c r="D62" s="4"/>
      <c r="E62" s="4"/>
      <c r="F62" s="4"/>
      <c r="G62" s="4"/>
      <c r="H62" s="4"/>
      <c r="I62" s="4"/>
      <c r="J62" s="4"/>
      <c r="K62" s="4"/>
      <c r="L62" s="4"/>
      <c r="M62" s="4"/>
      <c r="N62" s="4"/>
      <c r="O62" s="2">
        <f t="shared" si="5"/>
        <v>0</v>
      </c>
    </row>
    <row r="63" spans="1:15" x14ac:dyDescent="0.35">
      <c r="A63" s="7"/>
      <c r="B63" s="4">
        <f t="shared" si="10"/>
        <v>0</v>
      </c>
      <c r="C63" s="7" t="str">
        <f t="shared" si="11"/>
        <v>January</v>
      </c>
      <c r="D63" s="4"/>
      <c r="E63" s="4"/>
      <c r="F63" s="4"/>
      <c r="G63" s="4"/>
      <c r="H63" s="4"/>
      <c r="I63" s="4"/>
      <c r="J63" s="4"/>
      <c r="K63" s="4"/>
      <c r="L63" s="4"/>
      <c r="M63" s="4"/>
      <c r="N63" s="4"/>
      <c r="O63" s="2">
        <f t="shared" si="5"/>
        <v>0</v>
      </c>
    </row>
    <row r="64" spans="1:15" x14ac:dyDescent="0.35">
      <c r="A64" s="7"/>
      <c r="B64" s="4">
        <f t="shared" si="10"/>
        <v>0</v>
      </c>
      <c r="C64" s="7" t="str">
        <f t="shared" si="11"/>
        <v>January</v>
      </c>
      <c r="D64" s="4"/>
      <c r="E64" s="4"/>
      <c r="F64" s="4"/>
      <c r="G64" s="4"/>
      <c r="H64" s="4"/>
      <c r="I64" s="4"/>
      <c r="J64" s="4"/>
      <c r="K64" s="4"/>
      <c r="L64" s="4"/>
      <c r="M64" s="4"/>
      <c r="N64" s="4"/>
      <c r="O64" s="2">
        <f t="shared" si="5"/>
        <v>0</v>
      </c>
    </row>
    <row r="65" spans="1:15" x14ac:dyDescent="0.35">
      <c r="A65" s="7"/>
      <c r="B65" s="4">
        <f t="shared" si="3"/>
        <v>0</v>
      </c>
      <c r="C65" s="7" t="str">
        <f t="shared" si="4"/>
        <v>January</v>
      </c>
      <c r="D65" s="4"/>
      <c r="E65" s="4"/>
      <c r="F65" s="4"/>
      <c r="G65" s="4"/>
      <c r="H65" s="4"/>
      <c r="I65" s="4"/>
      <c r="J65" s="4"/>
      <c r="K65" s="4"/>
      <c r="L65" s="4"/>
      <c r="M65" s="4"/>
      <c r="N65" s="4"/>
      <c r="O65" s="2">
        <f t="shared" si="5"/>
        <v>0</v>
      </c>
    </row>
    <row r="66" spans="1:15" x14ac:dyDescent="0.35">
      <c r="A66" s="7"/>
      <c r="B66" s="4">
        <f t="shared" si="3"/>
        <v>0</v>
      </c>
      <c r="C66" s="7" t="str">
        <f t="shared" si="4"/>
        <v>January</v>
      </c>
      <c r="D66" s="4"/>
      <c r="E66" s="4"/>
      <c r="F66" s="4"/>
      <c r="G66" s="4"/>
      <c r="H66" s="4"/>
      <c r="I66" s="4"/>
      <c r="J66" s="4"/>
      <c r="K66" s="4"/>
      <c r="L66" s="4"/>
      <c r="M66" s="4"/>
      <c r="N66" s="4"/>
      <c r="O66" s="2">
        <f t="shared" si="5"/>
        <v>0</v>
      </c>
    </row>
    <row r="67" spans="1:15" x14ac:dyDescent="0.35">
      <c r="A67" s="7"/>
      <c r="B67" s="4">
        <f t="shared" ref="B67" si="12">WEEKNUM(A67)</f>
        <v>0</v>
      </c>
      <c r="C67" s="7" t="str">
        <f t="shared" ref="C67" si="13">TEXT(A67,"mmmm")</f>
        <v>January</v>
      </c>
      <c r="D67" s="4"/>
      <c r="E67" s="4"/>
      <c r="F67" s="4"/>
      <c r="G67" s="4"/>
      <c r="H67" s="4"/>
      <c r="I67" s="4"/>
      <c r="J67" s="4"/>
      <c r="K67" s="4"/>
      <c r="L67" s="4"/>
      <c r="M67" s="4"/>
      <c r="N67" s="4"/>
      <c r="O67" s="2">
        <f t="shared" si="5"/>
        <v>0</v>
      </c>
    </row>
    <row r="71" spans="1:15" ht="15" thickBot="1" x14ac:dyDescent="0.4">
      <c r="F71"/>
      <c r="G71"/>
      <c r="H71"/>
      <c r="I71"/>
      <c r="J71"/>
      <c r="K71"/>
      <c r="L71"/>
      <c r="M71"/>
      <c r="N71"/>
      <c r="O71"/>
    </row>
    <row r="72" spans="1:15" x14ac:dyDescent="0.35">
      <c r="F72"/>
      <c r="G72" s="23" t="s">
        <v>26</v>
      </c>
      <c r="H72" s="24" t="s">
        <v>27</v>
      </c>
      <c r="I72" s="25">
        <v>45977</v>
      </c>
      <c r="J72" s="26" t="s">
        <v>28</v>
      </c>
      <c r="K72" s="27">
        <v>45983</v>
      </c>
      <c r="L72" s="24"/>
      <c r="M72" s="28"/>
      <c r="N72"/>
      <c r="O72"/>
    </row>
    <row r="73" spans="1:15" x14ac:dyDescent="0.35">
      <c r="F73"/>
      <c r="G73" s="29" t="s">
        <v>11</v>
      </c>
      <c r="H73" s="68" t="str">
        <f>D1</f>
        <v>RAJIL</v>
      </c>
      <c r="I73" s="68"/>
      <c r="J73" s="30"/>
      <c r="K73" s="30"/>
      <c r="L73" s="30"/>
      <c r="M73" s="31"/>
      <c r="N73"/>
      <c r="O73"/>
    </row>
    <row r="74" spans="1:15" x14ac:dyDescent="0.35">
      <c r="F74"/>
      <c r="G74" s="29" t="s">
        <v>29</v>
      </c>
      <c r="H74" s="30"/>
      <c r="I74" s="30"/>
      <c r="J74" s="30"/>
      <c r="K74" s="30"/>
      <c r="L74" s="30"/>
      <c r="M74" s="31"/>
      <c r="N74"/>
      <c r="O74"/>
    </row>
    <row r="75" spans="1:15" x14ac:dyDescent="0.35">
      <c r="F75"/>
      <c r="G75" s="32" t="str">
        <f>IF(I75=0,"","Gotik Duyung")</f>
        <v/>
      </c>
      <c r="H75" s="30" t="s">
        <v>27</v>
      </c>
      <c r="I75" s="40">
        <f>$Q$28</f>
        <v>0</v>
      </c>
      <c r="J75" s="30" t="s">
        <v>30</v>
      </c>
      <c r="K75" s="41" t="str">
        <f>IF(I75=0,"","68000")</f>
        <v/>
      </c>
      <c r="L75" s="30" t="s">
        <v>31</v>
      </c>
      <c r="M75" s="33" t="str">
        <f>IFERROR(I75*K75,"")</f>
        <v/>
      </c>
      <c r="N75"/>
      <c r="O75"/>
    </row>
    <row r="76" spans="1:15" x14ac:dyDescent="0.35">
      <c r="F76"/>
      <c r="G76" s="32" t="str">
        <f>IF(I76=0,"","Gotik Plisket")</f>
        <v/>
      </c>
      <c r="H76" s="30" t="s">
        <v>27</v>
      </c>
      <c r="I76" s="40">
        <f>$R$28</f>
        <v>0</v>
      </c>
      <c r="J76" s="30" t="s">
        <v>30</v>
      </c>
      <c r="K76" s="41" t="str">
        <f>IF(I76=0,"","70000")</f>
        <v/>
      </c>
      <c r="L76" s="30" t="s">
        <v>31</v>
      </c>
      <c r="M76" s="33" t="str">
        <f>IFERROR(I76*K76,"")</f>
        <v/>
      </c>
      <c r="N76"/>
      <c r="O76"/>
    </row>
    <row r="77" spans="1:15" x14ac:dyDescent="0.35">
      <c r="F77"/>
      <c r="G77" s="32" t="str">
        <f>IF(I77=0,"","Slayer Duyung")</f>
        <v/>
      </c>
      <c r="H77" s="30" t="s">
        <v>27</v>
      </c>
      <c r="I77" s="40">
        <f>S28</f>
        <v>0</v>
      </c>
      <c r="J77" s="30" t="s">
        <v>30</v>
      </c>
      <c r="K77" s="41" t="str">
        <f>IF(I77=0,"","81000")</f>
        <v/>
      </c>
      <c r="L77" s="30" t="s">
        <v>31</v>
      </c>
      <c r="M77" s="33" t="str">
        <f>IFERROR(I77*K77,"")</f>
        <v/>
      </c>
      <c r="N77"/>
      <c r="O77"/>
    </row>
    <row r="78" spans="1:15" x14ac:dyDescent="0.35">
      <c r="F78"/>
      <c r="G78" s="32" t="str">
        <f>IF(I78=0,"","Slayer Prisket")</f>
        <v/>
      </c>
      <c r="H78" s="30" t="s">
        <v>27</v>
      </c>
      <c r="I78" s="40">
        <f>T28</f>
        <v>0</v>
      </c>
      <c r="J78" s="30" t="s">
        <v>30</v>
      </c>
      <c r="K78" s="41" t="str">
        <f>IF(I78=0,"","81000")</f>
        <v/>
      </c>
      <c r="L78" s="30" t="s">
        <v>31</v>
      </c>
      <c r="M78" s="33" t="str">
        <f>IFERROR(I78*K78,"")</f>
        <v/>
      </c>
      <c r="N78"/>
      <c r="O78"/>
    </row>
    <row r="79" spans="1:15" x14ac:dyDescent="0.35">
      <c r="F79"/>
      <c r="G79" s="32" t="str">
        <f>IF(I79=0,"","Rok Prisket")</f>
        <v/>
      </c>
      <c r="H79" s="30" t="s">
        <v>27</v>
      </c>
      <c r="I79" s="40">
        <f>U28</f>
        <v>0</v>
      </c>
      <c r="J79" s="30" t="s">
        <v>30</v>
      </c>
      <c r="K79" s="41" t="str">
        <f>IF(I79=0,"","32000")</f>
        <v/>
      </c>
      <c r="L79" s="30" t="s">
        <v>31</v>
      </c>
      <c r="M79" s="33" t="str">
        <f t="shared" ref="M79:M82" si="14">IFERROR(I79*K79,"")</f>
        <v/>
      </c>
      <c r="N79"/>
      <c r="O79"/>
    </row>
    <row r="80" spans="1:15" x14ac:dyDescent="0.35">
      <c r="F80"/>
      <c r="G80" s="32" t="str">
        <f>IF(I80=0,"","Atasan Gotik")</f>
        <v/>
      </c>
      <c r="H80" s="30" t="s">
        <v>27</v>
      </c>
      <c r="I80" s="40">
        <f>V28</f>
        <v>0</v>
      </c>
      <c r="J80" s="30" t="s">
        <v>30</v>
      </c>
      <c r="K80" s="41" t="str">
        <f>IF(I80=0,"","39000")</f>
        <v/>
      </c>
      <c r="L80" s="30" t="s">
        <v>31</v>
      </c>
      <c r="M80" s="33" t="str">
        <f t="shared" si="14"/>
        <v/>
      </c>
      <c r="N80"/>
      <c r="O80"/>
    </row>
    <row r="81" spans="6:15" x14ac:dyDescent="0.35">
      <c r="F81"/>
      <c r="G81" s="32" t="str">
        <f>IF(I81=0,"","Atasan Slayer")</f>
        <v/>
      </c>
      <c r="H81" s="30" t="s">
        <v>27</v>
      </c>
      <c r="I81" s="40">
        <f>W28</f>
        <v>0</v>
      </c>
      <c r="J81" s="30" t="s">
        <v>30</v>
      </c>
      <c r="K81" s="41" t="str">
        <f>IF(I81=0,"","51000")</f>
        <v/>
      </c>
      <c r="L81" s="30" t="s">
        <v>31</v>
      </c>
      <c r="M81" s="33" t="str">
        <f t="shared" si="14"/>
        <v/>
      </c>
      <c r="N81"/>
      <c r="O81"/>
    </row>
    <row r="82" spans="6:15" ht="15" thickBot="1" x14ac:dyDescent="0.4">
      <c r="F82"/>
      <c r="G82" s="32" t="str">
        <f>IF(I82=0,"","Kutubaru")</f>
        <v/>
      </c>
      <c r="H82" s="30" t="s">
        <v>27</v>
      </c>
      <c r="I82" s="40">
        <f>X28</f>
        <v>0</v>
      </c>
      <c r="J82" s="30" t="s">
        <v>30</v>
      </c>
      <c r="K82" s="41" t="str">
        <f>IF(I82=0,"","45000")</f>
        <v/>
      </c>
      <c r="L82" s="30" t="s">
        <v>31</v>
      </c>
      <c r="M82" s="34" t="str">
        <f t="shared" si="14"/>
        <v/>
      </c>
      <c r="N82"/>
      <c r="O82"/>
    </row>
    <row r="83" spans="6:15" x14ac:dyDescent="0.35">
      <c r="F83"/>
      <c r="G83" s="29" t="s">
        <v>32</v>
      </c>
      <c r="H83" s="30"/>
      <c r="I83" s="30"/>
      <c r="J83" s="30"/>
      <c r="K83" s="30"/>
      <c r="L83" s="30"/>
      <c r="M83" s="35">
        <f>SUM(M75:M82)+I91</f>
        <v>0</v>
      </c>
      <c r="N83"/>
      <c r="O83"/>
    </row>
    <row r="84" spans="6:15" x14ac:dyDescent="0.35">
      <c r="F84"/>
      <c r="G84" s="44" t="str">
        <f>IF(I84=0,"","Plastik Packing")</f>
        <v/>
      </c>
      <c r="H84" s="30" t="s">
        <v>27</v>
      </c>
      <c r="I84" s="40">
        <f>Y28</f>
        <v>0</v>
      </c>
      <c r="J84" s="30" t="s">
        <v>30</v>
      </c>
      <c r="K84" s="41" t="str">
        <f>IF(I84=0,"","18000")</f>
        <v/>
      </c>
      <c r="L84" s="30" t="s">
        <v>31</v>
      </c>
      <c r="M84" s="45" t="str">
        <f>IFERROR(I84*K84,"")</f>
        <v/>
      </c>
      <c r="N84"/>
      <c r="O84"/>
    </row>
    <row r="85" spans="6:15" x14ac:dyDescent="0.35">
      <c r="F85"/>
      <c r="G85" s="44" t="str">
        <f>IF(I85=0,"","Indah")</f>
        <v/>
      </c>
      <c r="H85" s="30" t="s">
        <v>27</v>
      </c>
      <c r="I85" s="40">
        <f>Z28</f>
        <v>0</v>
      </c>
      <c r="J85" s="30" t="s">
        <v>30</v>
      </c>
      <c r="K85" s="41" t="str">
        <f>IF(I85=0,"","70000")</f>
        <v/>
      </c>
      <c r="L85" s="30" t="s">
        <v>31</v>
      </c>
      <c r="M85" s="35"/>
      <c r="N85"/>
      <c r="O85"/>
    </row>
    <row r="86" spans="6:15" ht="16.5" thickBot="1" x14ac:dyDescent="0.55000000000000004">
      <c r="G86" s="44" t="str">
        <f>IF(I86=0,"","Mayang")</f>
        <v/>
      </c>
      <c r="H86" s="30" t="s">
        <v>27</v>
      </c>
      <c r="I86" s="40">
        <f>AA28</f>
        <v>0</v>
      </c>
      <c r="J86" s="30" t="s">
        <v>30</v>
      </c>
      <c r="K86" s="41" t="str">
        <f>IF(I86=0,"","72000")</f>
        <v/>
      </c>
      <c r="L86" s="30" t="s">
        <v>31</v>
      </c>
      <c r="M86" s="46"/>
    </row>
    <row r="87" spans="6:15" x14ac:dyDescent="0.35">
      <c r="G87" s="29"/>
      <c r="H87" s="30"/>
      <c r="I87" s="30"/>
      <c r="J87" s="30"/>
      <c r="K87" s="30"/>
      <c r="L87" s="30"/>
      <c r="M87" s="35">
        <f>SUM(M84:M86)</f>
        <v>0</v>
      </c>
    </row>
    <row r="88" spans="6:15" x14ac:dyDescent="0.35">
      <c r="G88" s="29"/>
      <c r="H88" s="30"/>
      <c r="I88" s="30"/>
      <c r="J88" s="30"/>
      <c r="K88" s="30"/>
      <c r="L88" s="30"/>
      <c r="M88" s="35"/>
    </row>
    <row r="89" spans="6:15" ht="14.5" customHeight="1" x14ac:dyDescent="0.35">
      <c r="G89" s="29"/>
      <c r="H89" s="30"/>
      <c r="I89" s="30"/>
      <c r="J89" s="30"/>
      <c r="K89" s="60" t="s">
        <v>33</v>
      </c>
      <c r="L89" s="60"/>
      <c r="M89" s="61">
        <f>M83+M87</f>
        <v>0</v>
      </c>
    </row>
    <row r="90" spans="6:15" ht="14.5" customHeight="1" x14ac:dyDescent="0.35">
      <c r="G90" s="29"/>
      <c r="H90" s="30"/>
      <c r="I90" s="30"/>
      <c r="J90" s="30"/>
      <c r="K90" s="60"/>
      <c r="L90" s="60"/>
      <c r="M90" s="61"/>
    </row>
    <row r="91" spans="6:15" ht="15" thickBot="1" x14ac:dyDescent="0.4">
      <c r="G91" s="36"/>
      <c r="H91" s="37"/>
      <c r="I91" s="38"/>
      <c r="J91" s="37"/>
      <c r="K91" s="37"/>
      <c r="L91" s="37"/>
      <c r="M91" s="39"/>
    </row>
    <row r="92" spans="6:15" x14ac:dyDescent="0.35">
      <c r="G92"/>
      <c r="H92"/>
      <c r="I92"/>
      <c r="J92"/>
      <c r="K92"/>
      <c r="L92"/>
      <c r="M92"/>
    </row>
  </sheetData>
  <mergeCells count="8">
    <mergeCell ref="K89:L90"/>
    <mergeCell ref="M89:M90"/>
    <mergeCell ref="A1:C2"/>
    <mergeCell ref="D1:D2"/>
    <mergeCell ref="D4:D5"/>
    <mergeCell ref="E4:E5"/>
    <mergeCell ref="B23:C23"/>
    <mergeCell ref="H73:I7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0C13-3161-43E7-B6A8-03317DD0B3F9}">
  <dimension ref="A1:AA98"/>
  <sheetViews>
    <sheetView showGridLines="0" topLeftCell="A69" zoomScale="63" zoomScaleNormal="63" workbookViewId="0">
      <selection activeCell="D28" sqref="D28:K52"/>
    </sheetView>
  </sheetViews>
  <sheetFormatPr defaultRowHeight="14.5" x14ac:dyDescent="0.35"/>
  <cols>
    <col min="1" max="1" width="10.453125" style="2" bestFit="1" customWidth="1"/>
    <col min="2" max="2" width="9.1796875" style="2" bestFit="1" customWidth="1"/>
    <col min="3" max="3" width="9.54296875" style="2" bestFit="1" customWidth="1"/>
    <col min="4" max="4" width="14" style="2" bestFit="1" customWidth="1"/>
    <col min="5" max="5" width="19.453125" style="2" bestFit="1" customWidth="1"/>
    <col min="6" max="6" width="14.81640625" style="2" bestFit="1" customWidth="1"/>
    <col min="7" max="7" width="14.7265625" style="2" bestFit="1" customWidth="1"/>
    <col min="8" max="8" width="10.08984375" style="2" bestFit="1" customWidth="1"/>
    <col min="9" max="9" width="10.90625" style="2" customWidth="1"/>
    <col min="10" max="10" width="11.90625" style="2" bestFit="1" customWidth="1"/>
    <col min="11" max="11" width="10.81640625" style="2" customWidth="1"/>
    <col min="12" max="12" width="15.1796875" style="2" bestFit="1" customWidth="1"/>
    <col min="13" max="13" width="23.1796875" style="2" customWidth="1"/>
    <col min="14" max="15" width="8.7265625" style="2"/>
    <col min="17" max="17" width="20.90625" bestFit="1" customWidth="1"/>
    <col min="18" max="18" width="20" bestFit="1" customWidth="1"/>
    <col min="19" max="19" width="21.90625" bestFit="1" customWidth="1"/>
    <col min="20" max="20" width="20.90625" bestFit="1" customWidth="1"/>
    <col min="21" max="21" width="18.26953125" bestFit="1" customWidth="1"/>
    <col min="22" max="22" width="20.1796875" bestFit="1" customWidth="1"/>
    <col min="23" max="23" width="21" bestFit="1" customWidth="1"/>
    <col min="24" max="24" width="17" bestFit="1" customWidth="1"/>
    <col min="25" max="25" width="22.453125" bestFit="1" customWidth="1"/>
    <col min="26" max="26" width="12.90625" bestFit="1" customWidth="1"/>
    <col min="27" max="27" width="15.08984375" bestFit="1" customWidth="1"/>
  </cols>
  <sheetData>
    <row r="1" spans="1:8" ht="14.5" customHeight="1" x14ac:dyDescent="0.35">
      <c r="A1" s="62" t="s">
        <v>13</v>
      </c>
      <c r="B1" s="62"/>
      <c r="C1" s="62"/>
      <c r="D1" s="63" t="s">
        <v>43</v>
      </c>
      <c r="E1" s="6"/>
      <c r="H1" s="15"/>
    </row>
    <row r="2" spans="1:8" ht="14.5" customHeight="1" x14ac:dyDescent="0.35">
      <c r="A2" s="62"/>
      <c r="B2" s="62"/>
      <c r="C2" s="62"/>
      <c r="D2" s="63"/>
      <c r="E2" s="6"/>
      <c r="H2" s="15"/>
    </row>
    <row r="3" spans="1:8" ht="14.5" customHeight="1" x14ac:dyDescent="0.35">
      <c r="A3" s="3"/>
      <c r="B3" s="3"/>
      <c r="C3" s="3"/>
      <c r="D3" s="5"/>
      <c r="E3" s="6"/>
      <c r="F3" s="3"/>
      <c r="G3" s="16"/>
      <c r="H3" s="15"/>
    </row>
    <row r="4" spans="1:8" ht="14.5" customHeight="1" x14ac:dyDescent="0.35">
      <c r="A4" s="3"/>
      <c r="B4" s="3"/>
      <c r="C4" s="3"/>
      <c r="D4" s="64" t="s">
        <v>19</v>
      </c>
      <c r="E4" s="65">
        <f>SUM(E7:E20)-B23</f>
        <v>0</v>
      </c>
      <c r="F4" s="19"/>
      <c r="G4" s="16"/>
      <c r="H4" s="15"/>
    </row>
    <row r="5" spans="1:8" ht="14.5" customHeight="1" x14ac:dyDescent="0.35">
      <c r="A5" s="3"/>
      <c r="B5" s="3"/>
      <c r="C5" s="3"/>
      <c r="D5" s="64"/>
      <c r="E5" s="65"/>
      <c r="F5" s="19"/>
      <c r="G5" s="16"/>
      <c r="H5" s="15"/>
    </row>
    <row r="6" spans="1:8" ht="14.5" customHeight="1" x14ac:dyDescent="0.35">
      <c r="A6"/>
      <c r="B6"/>
      <c r="C6"/>
      <c r="D6" s="17" t="s">
        <v>0</v>
      </c>
      <c r="E6" s="20" t="s">
        <v>41</v>
      </c>
      <c r="F6" s="20" t="s">
        <v>40</v>
      </c>
      <c r="G6" s="48" t="s">
        <v>39</v>
      </c>
      <c r="H6" s="15"/>
    </row>
    <row r="7" spans="1:8" ht="14.5" customHeight="1" x14ac:dyDescent="0.35">
      <c r="A7"/>
      <c r="B7"/>
      <c r="C7"/>
      <c r="D7" s="18"/>
      <c r="E7" s="21"/>
      <c r="F7" s="22"/>
      <c r="G7" s="51"/>
      <c r="H7" s="15"/>
    </row>
    <row r="8" spans="1:8" ht="14.5" customHeight="1" x14ac:dyDescent="0.35">
      <c r="A8"/>
      <c r="B8"/>
      <c r="C8"/>
      <c r="D8" s="18"/>
      <c r="E8" s="21"/>
      <c r="F8" s="21"/>
      <c r="G8" s="51"/>
      <c r="H8" s="15"/>
    </row>
    <row r="9" spans="1:8" ht="14.5" customHeight="1" x14ac:dyDescent="0.35">
      <c r="A9"/>
      <c r="B9"/>
      <c r="C9"/>
      <c r="D9" s="18"/>
      <c r="E9" s="21"/>
      <c r="F9" s="21"/>
      <c r="G9" s="51"/>
      <c r="H9" s="15"/>
    </row>
    <row r="10" spans="1:8" ht="14.5" customHeight="1" x14ac:dyDescent="0.35">
      <c r="A10"/>
      <c r="B10"/>
      <c r="C10"/>
      <c r="D10" s="18"/>
      <c r="E10" s="21"/>
      <c r="F10" s="21"/>
      <c r="G10" s="51"/>
      <c r="H10" s="15"/>
    </row>
    <row r="11" spans="1:8" ht="14.5" customHeight="1" x14ac:dyDescent="0.35">
      <c r="A11"/>
      <c r="B11"/>
      <c r="C11"/>
      <c r="D11" s="18"/>
      <c r="E11" s="21"/>
      <c r="F11" s="21"/>
      <c r="G11" s="51"/>
      <c r="H11" s="15"/>
    </row>
    <row r="12" spans="1:8" ht="14.5" customHeight="1" x14ac:dyDescent="0.35">
      <c r="A12"/>
      <c r="B12"/>
      <c r="C12"/>
      <c r="D12" s="18"/>
      <c r="E12" s="21"/>
      <c r="F12" s="21"/>
      <c r="G12" s="51"/>
      <c r="H12" s="15"/>
    </row>
    <row r="13" spans="1:8" ht="14.5" customHeight="1" x14ac:dyDescent="0.35">
      <c r="A13"/>
      <c r="B13"/>
      <c r="C13"/>
      <c r="D13" s="18"/>
      <c r="E13" s="21"/>
      <c r="F13" s="21"/>
      <c r="G13" s="51"/>
      <c r="H13" s="15"/>
    </row>
    <row r="14" spans="1:8" ht="14.5" customHeight="1" x14ac:dyDescent="0.35">
      <c r="A14"/>
      <c r="B14"/>
      <c r="C14"/>
      <c r="D14" s="18"/>
      <c r="E14" s="21"/>
      <c r="F14" s="21"/>
      <c r="G14" s="51"/>
      <c r="H14" s="15"/>
    </row>
    <row r="15" spans="1:8" ht="14.5" customHeight="1" x14ac:dyDescent="0.35">
      <c r="A15"/>
      <c r="B15"/>
      <c r="C15"/>
      <c r="D15" s="18"/>
      <c r="E15" s="21"/>
      <c r="F15" s="21"/>
      <c r="G15" s="51"/>
      <c r="H15" s="15"/>
    </row>
    <row r="16" spans="1:8" ht="14.5" customHeight="1" x14ac:dyDescent="0.35">
      <c r="A16"/>
      <c r="B16"/>
      <c r="C16"/>
      <c r="D16" s="18"/>
      <c r="E16" s="21"/>
      <c r="F16" s="21"/>
      <c r="G16" s="51"/>
      <c r="H16" s="15"/>
    </row>
    <row r="17" spans="1:27" ht="14.5" customHeight="1" x14ac:dyDescent="0.35">
      <c r="A17"/>
      <c r="B17"/>
      <c r="C17"/>
      <c r="D17" s="18"/>
      <c r="E17" s="21"/>
      <c r="F17" s="21"/>
      <c r="G17" s="51"/>
      <c r="H17" s="15"/>
    </row>
    <row r="18" spans="1:27" ht="14.5" customHeight="1" x14ac:dyDescent="0.35">
      <c r="A18"/>
      <c r="B18"/>
      <c r="C18"/>
      <c r="D18" s="18"/>
      <c r="E18" s="21"/>
      <c r="F18" s="21"/>
      <c r="G18" s="51"/>
      <c r="H18" s="15"/>
    </row>
    <row r="19" spans="1:27" ht="14.5" customHeight="1" x14ac:dyDescent="0.35">
      <c r="A19"/>
      <c r="B19"/>
      <c r="C19"/>
      <c r="D19" s="18"/>
      <c r="E19" s="21"/>
      <c r="F19" s="21"/>
      <c r="G19" s="51"/>
      <c r="H19" s="15"/>
    </row>
    <row r="20" spans="1:27" ht="14.5" customHeight="1" x14ac:dyDescent="0.35">
      <c r="A20"/>
      <c r="B20"/>
      <c r="C20"/>
      <c r="D20" s="18"/>
      <c r="E20" s="21"/>
      <c r="F20" s="21"/>
      <c r="G20" s="52"/>
    </row>
    <row r="21" spans="1:27" ht="14.5" customHeight="1" x14ac:dyDescent="0.35">
      <c r="A21" s="3"/>
      <c r="B21" s="3"/>
      <c r="C21" s="3"/>
      <c r="D21" s="5"/>
      <c r="E21" s="6"/>
    </row>
    <row r="22" spans="1:27" ht="14.5" customHeight="1" x14ac:dyDescent="0.35">
      <c r="A22" s="3"/>
      <c r="B22" s="3"/>
      <c r="C22" s="3"/>
      <c r="D22" s="5"/>
      <c r="E22" s="6"/>
    </row>
    <row r="23" spans="1:27" ht="14.5" customHeight="1" x14ac:dyDescent="0.35">
      <c r="A23" s="3" t="s">
        <v>18</v>
      </c>
      <c r="B23" s="66">
        <f>SUM(D23:N23)</f>
        <v>0</v>
      </c>
      <c r="C23" s="67"/>
      <c r="D23" s="8">
        <f>SUM(D28:D73)*D24</f>
        <v>0</v>
      </c>
      <c r="E23" s="8">
        <f t="shared" ref="E23:K23" si="0">SUM(E28:E73)*E24</f>
        <v>0</v>
      </c>
      <c r="F23" s="8">
        <f t="shared" si="0"/>
        <v>0</v>
      </c>
      <c r="G23" s="8">
        <f t="shared" si="0"/>
        <v>0</v>
      </c>
      <c r="H23" s="8">
        <f t="shared" si="0"/>
        <v>0</v>
      </c>
      <c r="I23" s="8">
        <f t="shared" si="0"/>
        <v>0</v>
      </c>
      <c r="J23" s="8">
        <f t="shared" si="0"/>
        <v>0</v>
      </c>
      <c r="K23" s="8">
        <f t="shared" si="0"/>
        <v>0</v>
      </c>
      <c r="L23" s="8">
        <f t="shared" ref="L23" si="1">SUM(L28:L73)*L24</f>
        <v>0</v>
      </c>
      <c r="M23" s="8">
        <f t="shared" ref="M23:N23" si="2">SUM(M28:M73)*M24</f>
        <v>0</v>
      </c>
      <c r="N23" s="8">
        <f t="shared" si="2"/>
        <v>0</v>
      </c>
      <c r="O23" s="8"/>
    </row>
    <row r="24" spans="1:27" x14ac:dyDescent="0.35">
      <c r="A24" s="14" t="s">
        <v>17</v>
      </c>
      <c r="B24"/>
      <c r="C24" s="13"/>
      <c r="D24" s="9">
        <v>68000</v>
      </c>
      <c r="E24" s="9">
        <v>70000</v>
      </c>
      <c r="F24" s="9">
        <v>81000</v>
      </c>
      <c r="G24" s="9">
        <v>81000</v>
      </c>
      <c r="H24" s="9">
        <v>32000</v>
      </c>
      <c r="I24" s="9">
        <v>39000</v>
      </c>
      <c r="J24" s="9">
        <v>51000</v>
      </c>
      <c r="K24" s="9">
        <v>45000</v>
      </c>
      <c r="L24" s="10">
        <v>18000</v>
      </c>
      <c r="M24" s="10">
        <v>70000</v>
      </c>
      <c r="N24" s="10">
        <v>72000</v>
      </c>
      <c r="O24" s="11"/>
    </row>
    <row r="25" spans="1:27" x14ac:dyDescent="0.35">
      <c r="D25" s="12"/>
      <c r="E25" s="12"/>
      <c r="F25" s="12"/>
      <c r="G25" s="12"/>
      <c r="H25" s="12"/>
      <c r="I25" s="12"/>
      <c r="J25" s="12"/>
      <c r="K25" s="12"/>
      <c r="L25"/>
      <c r="M25"/>
      <c r="N25"/>
      <c r="O25"/>
    </row>
    <row r="26" spans="1:27" x14ac:dyDescent="0.35">
      <c r="D26" s="12"/>
      <c r="E26" s="12"/>
      <c r="F26" s="12"/>
      <c r="G26" s="12"/>
      <c r="H26" s="12"/>
      <c r="I26" s="12"/>
      <c r="J26" s="12"/>
      <c r="K26" s="12"/>
      <c r="L26"/>
      <c r="M26"/>
      <c r="N26"/>
      <c r="O26"/>
    </row>
    <row r="27" spans="1:27" ht="29" x14ac:dyDescent="0.35">
      <c r="A27" s="1" t="s">
        <v>0</v>
      </c>
      <c r="B27" s="1" t="s">
        <v>1</v>
      </c>
      <c r="C27" s="1" t="s">
        <v>2</v>
      </c>
      <c r="D27" s="42" t="s">
        <v>3</v>
      </c>
      <c r="E27" s="42" t="s">
        <v>4</v>
      </c>
      <c r="F27" s="42" t="s">
        <v>5</v>
      </c>
      <c r="G27" s="42" t="s">
        <v>6</v>
      </c>
      <c r="H27" s="42" t="s">
        <v>7</v>
      </c>
      <c r="I27" s="42" t="s">
        <v>8</v>
      </c>
      <c r="J27" s="42" t="s">
        <v>9</v>
      </c>
      <c r="K27" s="42" t="s">
        <v>10</v>
      </c>
      <c r="L27" s="43" t="s">
        <v>14</v>
      </c>
      <c r="M27" s="43" t="s">
        <v>15</v>
      </c>
      <c r="N27" s="43" t="s">
        <v>16</v>
      </c>
      <c r="O27" s="47" t="s">
        <v>18</v>
      </c>
      <c r="Q27" t="s">
        <v>20</v>
      </c>
      <c r="R27" t="s">
        <v>21</v>
      </c>
      <c r="S27" t="s">
        <v>22</v>
      </c>
      <c r="T27" t="s">
        <v>23</v>
      </c>
      <c r="U27" t="s">
        <v>34</v>
      </c>
      <c r="V27" t="s">
        <v>24</v>
      </c>
      <c r="W27" t="s">
        <v>35</v>
      </c>
      <c r="X27" t="s">
        <v>36</v>
      </c>
      <c r="Y27" t="s">
        <v>25</v>
      </c>
      <c r="Z27" t="s">
        <v>37</v>
      </c>
      <c r="AA27" t="s">
        <v>38</v>
      </c>
    </row>
    <row r="28" spans="1:27" x14ac:dyDescent="0.35">
      <c r="A28" s="7"/>
      <c r="B28" s="4">
        <f>WEEKNUM(A28)</f>
        <v>0</v>
      </c>
      <c r="C28" s="7" t="str">
        <f>TEXT(A28,"mmmm")</f>
        <v>January</v>
      </c>
      <c r="D28" s="4"/>
      <c r="E28" s="4"/>
      <c r="F28" s="4"/>
      <c r="G28" s="4"/>
      <c r="H28" s="4"/>
      <c r="I28" s="4"/>
      <c r="J28" s="4"/>
      <c r="K28" s="4"/>
      <c r="L28" s="4"/>
      <c r="M28" s="4"/>
      <c r="N28" s="4"/>
      <c r="O28" s="2">
        <f>SUM(D28:N28)</f>
        <v>0</v>
      </c>
      <c r="Q28" s="70"/>
      <c r="R28" s="70"/>
      <c r="S28" s="70"/>
      <c r="T28" s="70"/>
      <c r="U28" s="70"/>
      <c r="V28" s="70"/>
      <c r="W28" s="70"/>
      <c r="X28" s="70"/>
      <c r="Y28" s="70"/>
      <c r="Z28" s="70"/>
      <c r="AA28" s="70"/>
    </row>
    <row r="29" spans="1:27" x14ac:dyDescent="0.35">
      <c r="A29" s="7"/>
      <c r="B29" s="4">
        <f t="shared" ref="B29:B72" si="3">WEEKNUM(A29)</f>
        <v>0</v>
      </c>
      <c r="C29" s="7" t="str">
        <f t="shared" ref="C29:C72" si="4">TEXT(A29,"mmmm")</f>
        <v>January</v>
      </c>
      <c r="D29" s="4"/>
      <c r="E29" s="4"/>
      <c r="F29" s="4"/>
      <c r="G29" s="4"/>
      <c r="H29" s="4"/>
      <c r="I29" s="4"/>
      <c r="J29" s="4"/>
      <c r="K29" s="4"/>
      <c r="L29" s="4"/>
      <c r="M29" s="4"/>
      <c r="N29" s="4"/>
      <c r="O29" s="2">
        <f t="shared" ref="O29:O73" si="5">SUM(D29:N29)</f>
        <v>0</v>
      </c>
    </row>
    <row r="30" spans="1:27" x14ac:dyDescent="0.35">
      <c r="A30" s="7"/>
      <c r="B30" s="4">
        <f t="shared" si="3"/>
        <v>0</v>
      </c>
      <c r="C30" s="7" t="str">
        <f t="shared" si="4"/>
        <v>January</v>
      </c>
      <c r="D30" s="4"/>
      <c r="E30" s="4"/>
      <c r="F30" s="4"/>
      <c r="G30" s="4"/>
      <c r="H30" s="4"/>
      <c r="I30" s="4"/>
      <c r="J30" s="4"/>
      <c r="K30" s="4"/>
      <c r="L30" s="4"/>
      <c r="M30" s="4"/>
      <c r="N30" s="4"/>
      <c r="O30" s="2">
        <f t="shared" si="5"/>
        <v>0</v>
      </c>
    </row>
    <row r="31" spans="1:27" x14ac:dyDescent="0.35">
      <c r="A31" s="7"/>
      <c r="B31" s="4">
        <f t="shared" si="3"/>
        <v>0</v>
      </c>
      <c r="C31" s="7" t="str">
        <f t="shared" si="4"/>
        <v>January</v>
      </c>
      <c r="D31" s="4"/>
      <c r="E31" s="4"/>
      <c r="F31" s="4"/>
      <c r="G31" s="4"/>
      <c r="H31" s="4"/>
      <c r="I31" s="4"/>
      <c r="J31" s="4"/>
      <c r="K31" s="4"/>
      <c r="L31" s="4"/>
      <c r="M31" s="4"/>
      <c r="N31" s="4"/>
      <c r="O31" s="2">
        <f t="shared" si="5"/>
        <v>0</v>
      </c>
    </row>
    <row r="32" spans="1:27" x14ac:dyDescent="0.35">
      <c r="A32" s="7"/>
      <c r="B32" s="4">
        <f t="shared" si="3"/>
        <v>0</v>
      </c>
      <c r="C32" s="7" t="str">
        <f t="shared" si="4"/>
        <v>January</v>
      </c>
      <c r="D32" s="4"/>
      <c r="E32" s="4"/>
      <c r="F32" s="4"/>
      <c r="G32" s="4"/>
      <c r="H32" s="4"/>
      <c r="I32" s="4"/>
      <c r="J32" s="4"/>
      <c r="K32" s="4"/>
      <c r="L32" s="4"/>
      <c r="M32" s="4"/>
      <c r="N32" s="4"/>
      <c r="O32" s="2">
        <f t="shared" si="5"/>
        <v>0</v>
      </c>
    </row>
    <row r="33" spans="1:15" x14ac:dyDescent="0.35">
      <c r="A33" s="7"/>
      <c r="B33" s="4">
        <f t="shared" si="3"/>
        <v>0</v>
      </c>
      <c r="C33" s="7" t="str">
        <f t="shared" si="4"/>
        <v>January</v>
      </c>
      <c r="D33" s="4"/>
      <c r="E33" s="4"/>
      <c r="F33" s="4"/>
      <c r="G33" s="4"/>
      <c r="H33" s="4"/>
      <c r="I33" s="4"/>
      <c r="J33" s="4"/>
      <c r="K33" s="4"/>
      <c r="L33" s="4"/>
      <c r="M33" s="4"/>
      <c r="N33" s="4"/>
      <c r="O33" s="2">
        <f t="shared" si="5"/>
        <v>0</v>
      </c>
    </row>
    <row r="34" spans="1:15" x14ac:dyDescent="0.35">
      <c r="A34" s="7"/>
      <c r="B34" s="4">
        <f t="shared" si="3"/>
        <v>0</v>
      </c>
      <c r="C34" s="7" t="str">
        <f t="shared" si="4"/>
        <v>January</v>
      </c>
      <c r="D34" s="4"/>
      <c r="E34" s="4"/>
      <c r="F34" s="4"/>
      <c r="G34" s="4"/>
      <c r="H34" s="4"/>
      <c r="I34" s="4"/>
      <c r="J34" s="4"/>
      <c r="K34" s="4"/>
      <c r="L34" s="4"/>
      <c r="M34" s="4"/>
      <c r="N34" s="4"/>
      <c r="O34" s="2">
        <f t="shared" si="5"/>
        <v>0</v>
      </c>
    </row>
    <row r="35" spans="1:15" x14ac:dyDescent="0.35">
      <c r="A35" s="7"/>
      <c r="B35" s="4">
        <f t="shared" si="3"/>
        <v>0</v>
      </c>
      <c r="C35" s="7" t="str">
        <f t="shared" si="4"/>
        <v>January</v>
      </c>
      <c r="D35" s="4"/>
      <c r="E35" s="4"/>
      <c r="F35" s="4"/>
      <c r="G35" s="4"/>
      <c r="H35" s="4"/>
      <c r="I35" s="4"/>
      <c r="J35" s="4"/>
      <c r="K35" s="4"/>
      <c r="L35" s="4"/>
      <c r="M35" s="4"/>
      <c r="N35" s="4"/>
      <c r="O35" s="2">
        <f t="shared" si="5"/>
        <v>0</v>
      </c>
    </row>
    <row r="36" spans="1:15" x14ac:dyDescent="0.35">
      <c r="A36" s="7"/>
      <c r="B36" s="4">
        <f t="shared" ref="B36:B40" si="6">WEEKNUM(A36)</f>
        <v>0</v>
      </c>
      <c r="C36" s="7" t="str">
        <f t="shared" ref="C36:C40" si="7">TEXT(A36,"mmmm")</f>
        <v>January</v>
      </c>
      <c r="D36" s="4"/>
      <c r="E36" s="4"/>
      <c r="F36" s="4"/>
      <c r="G36" s="4"/>
      <c r="H36" s="4"/>
      <c r="I36" s="4"/>
      <c r="J36" s="4"/>
      <c r="K36" s="4"/>
      <c r="L36" s="4"/>
      <c r="M36" s="4"/>
      <c r="N36" s="4"/>
      <c r="O36" s="2">
        <f t="shared" si="5"/>
        <v>0</v>
      </c>
    </row>
    <row r="37" spans="1:15" x14ac:dyDescent="0.35">
      <c r="A37" s="7"/>
      <c r="B37" s="4">
        <f t="shared" si="6"/>
        <v>0</v>
      </c>
      <c r="C37" s="7" t="str">
        <f t="shared" si="7"/>
        <v>January</v>
      </c>
      <c r="D37" s="4"/>
      <c r="E37" s="4"/>
      <c r="F37" s="4"/>
      <c r="G37" s="4"/>
      <c r="H37" s="4"/>
      <c r="I37" s="4"/>
      <c r="J37" s="4"/>
      <c r="K37" s="4"/>
      <c r="L37" s="4"/>
      <c r="M37" s="4"/>
      <c r="N37" s="4"/>
      <c r="O37" s="2">
        <f t="shared" si="5"/>
        <v>0</v>
      </c>
    </row>
    <row r="38" spans="1:15" x14ac:dyDescent="0.35">
      <c r="A38" s="7"/>
      <c r="B38" s="4">
        <f t="shared" si="6"/>
        <v>0</v>
      </c>
      <c r="C38" s="7" t="str">
        <f t="shared" si="7"/>
        <v>January</v>
      </c>
      <c r="D38" s="4"/>
      <c r="E38" s="4"/>
      <c r="F38" s="4"/>
      <c r="G38" s="4"/>
      <c r="H38" s="4"/>
      <c r="I38" s="4"/>
      <c r="J38" s="4"/>
      <c r="K38" s="4"/>
      <c r="L38" s="4"/>
      <c r="M38" s="4"/>
      <c r="N38" s="4"/>
      <c r="O38" s="2">
        <f t="shared" si="5"/>
        <v>0</v>
      </c>
    </row>
    <row r="39" spans="1:15" x14ac:dyDescent="0.35">
      <c r="A39" s="7"/>
      <c r="B39" s="4">
        <f t="shared" si="6"/>
        <v>0</v>
      </c>
      <c r="C39" s="7" t="str">
        <f t="shared" si="7"/>
        <v>January</v>
      </c>
      <c r="D39" s="4"/>
      <c r="E39" s="4"/>
      <c r="F39" s="4"/>
      <c r="G39" s="4"/>
      <c r="H39" s="4"/>
      <c r="I39" s="4"/>
      <c r="J39" s="4"/>
      <c r="K39" s="4"/>
      <c r="L39" s="4"/>
      <c r="M39" s="4"/>
      <c r="N39" s="4"/>
      <c r="O39" s="2">
        <f t="shared" si="5"/>
        <v>0</v>
      </c>
    </row>
    <row r="40" spans="1:15" x14ac:dyDescent="0.35">
      <c r="A40" s="7"/>
      <c r="B40" s="4">
        <f t="shared" si="6"/>
        <v>0</v>
      </c>
      <c r="C40" s="7" t="str">
        <f t="shared" si="7"/>
        <v>January</v>
      </c>
      <c r="D40" s="4"/>
      <c r="E40" s="4"/>
      <c r="F40" s="4"/>
      <c r="G40" s="4"/>
      <c r="H40" s="4"/>
      <c r="I40" s="4"/>
      <c r="J40" s="4"/>
      <c r="K40" s="4"/>
      <c r="L40" s="4"/>
      <c r="M40" s="4"/>
      <c r="N40" s="4"/>
      <c r="O40" s="2">
        <f t="shared" si="5"/>
        <v>0</v>
      </c>
    </row>
    <row r="41" spans="1:15" x14ac:dyDescent="0.35">
      <c r="A41" s="7"/>
      <c r="B41" s="4">
        <f t="shared" ref="B41:B42" si="8">WEEKNUM(A41)</f>
        <v>0</v>
      </c>
      <c r="C41" s="7" t="str">
        <f t="shared" ref="C41:C42" si="9">TEXT(A41,"mmmm")</f>
        <v>January</v>
      </c>
      <c r="D41" s="4"/>
      <c r="E41" s="4"/>
      <c r="F41" s="4"/>
      <c r="G41" s="4"/>
      <c r="H41" s="4"/>
      <c r="I41" s="4"/>
      <c r="J41" s="4"/>
      <c r="K41" s="4"/>
      <c r="L41" s="4"/>
      <c r="M41" s="4"/>
      <c r="N41" s="4"/>
      <c r="O41" s="2">
        <f t="shared" si="5"/>
        <v>0</v>
      </c>
    </row>
    <row r="42" spans="1:15" x14ac:dyDescent="0.35">
      <c r="A42" s="7"/>
      <c r="B42" s="4">
        <f t="shared" si="8"/>
        <v>0</v>
      </c>
      <c r="C42" s="7" t="str">
        <f t="shared" si="9"/>
        <v>January</v>
      </c>
      <c r="D42" s="4"/>
      <c r="E42" s="4"/>
      <c r="F42" s="4"/>
      <c r="G42" s="4"/>
      <c r="H42" s="4"/>
      <c r="I42" s="4"/>
      <c r="J42" s="4"/>
      <c r="K42" s="4"/>
      <c r="L42" s="4"/>
      <c r="M42" s="4"/>
      <c r="N42" s="4"/>
      <c r="O42" s="2">
        <f t="shared" si="5"/>
        <v>0</v>
      </c>
    </row>
    <row r="43" spans="1:15" x14ac:dyDescent="0.35">
      <c r="A43" s="7"/>
      <c r="B43" s="4">
        <f t="shared" ref="B43:B61" si="10">WEEKNUM(A43)</f>
        <v>0</v>
      </c>
      <c r="C43" s="7" t="str">
        <f t="shared" ref="C43:C61" si="11">TEXT(A43,"mmmm")</f>
        <v>January</v>
      </c>
      <c r="D43" s="4"/>
      <c r="E43" s="4"/>
      <c r="F43" s="4"/>
      <c r="G43" s="4"/>
      <c r="H43" s="4"/>
      <c r="I43" s="4"/>
      <c r="J43" s="4"/>
      <c r="K43" s="4"/>
      <c r="L43" s="4"/>
      <c r="M43" s="4"/>
      <c r="N43" s="4"/>
      <c r="O43" s="2">
        <f t="shared" si="5"/>
        <v>0</v>
      </c>
    </row>
    <row r="44" spans="1:15" x14ac:dyDescent="0.35">
      <c r="A44" s="7"/>
      <c r="B44" s="4">
        <f t="shared" si="10"/>
        <v>0</v>
      </c>
      <c r="C44" s="7" t="str">
        <f t="shared" si="11"/>
        <v>January</v>
      </c>
      <c r="D44" s="4"/>
      <c r="E44" s="4"/>
      <c r="F44" s="4"/>
      <c r="G44" s="4"/>
      <c r="H44" s="4"/>
      <c r="I44" s="4"/>
      <c r="J44" s="4"/>
      <c r="K44" s="4"/>
      <c r="L44" s="4"/>
      <c r="M44" s="4"/>
      <c r="N44" s="4"/>
      <c r="O44" s="2">
        <f t="shared" si="5"/>
        <v>0</v>
      </c>
    </row>
    <row r="45" spans="1:15" x14ac:dyDescent="0.35">
      <c r="A45" s="7"/>
      <c r="B45" s="4">
        <f t="shared" si="10"/>
        <v>0</v>
      </c>
      <c r="C45" s="7" t="str">
        <f t="shared" si="11"/>
        <v>January</v>
      </c>
      <c r="D45" s="4"/>
      <c r="E45" s="4"/>
      <c r="F45" s="4"/>
      <c r="G45" s="4"/>
      <c r="H45" s="4"/>
      <c r="I45" s="4"/>
      <c r="J45" s="4"/>
      <c r="K45" s="4"/>
      <c r="L45" s="4"/>
      <c r="M45" s="4"/>
      <c r="N45" s="4"/>
      <c r="O45" s="2">
        <f t="shared" si="5"/>
        <v>0</v>
      </c>
    </row>
    <row r="46" spans="1:15" x14ac:dyDescent="0.35">
      <c r="A46" s="7"/>
      <c r="B46" s="4">
        <f t="shared" si="10"/>
        <v>0</v>
      </c>
      <c r="C46" s="7" t="str">
        <f t="shared" si="11"/>
        <v>January</v>
      </c>
      <c r="D46" s="55"/>
      <c r="E46" s="55"/>
      <c r="F46" s="55"/>
      <c r="G46" s="55"/>
      <c r="H46" s="55"/>
      <c r="I46" s="55"/>
      <c r="J46" s="55"/>
      <c r="K46" s="55"/>
      <c r="L46" s="4"/>
      <c r="M46" s="4"/>
      <c r="N46" s="4"/>
      <c r="O46" s="2">
        <f t="shared" si="5"/>
        <v>0</v>
      </c>
    </row>
    <row r="47" spans="1:15" x14ac:dyDescent="0.35">
      <c r="A47" s="7"/>
      <c r="B47" s="4">
        <f t="shared" si="10"/>
        <v>0</v>
      </c>
      <c r="C47" s="7" t="str">
        <f t="shared" si="11"/>
        <v>January</v>
      </c>
      <c r="D47" s="55"/>
      <c r="E47" s="55"/>
      <c r="F47" s="55"/>
      <c r="G47" s="55"/>
      <c r="H47" s="55"/>
      <c r="I47" s="55"/>
      <c r="J47" s="55"/>
      <c r="K47" s="55"/>
      <c r="L47" s="4"/>
      <c r="M47" s="4"/>
      <c r="N47" s="4"/>
      <c r="O47" s="2">
        <f t="shared" si="5"/>
        <v>0</v>
      </c>
    </row>
    <row r="48" spans="1:15" x14ac:dyDescent="0.35">
      <c r="A48" s="7"/>
      <c r="B48" s="4">
        <f t="shared" ref="B48:B59" si="12">WEEKNUM(A48)</f>
        <v>0</v>
      </c>
      <c r="C48" s="7" t="str">
        <f t="shared" ref="C48:C59" si="13">TEXT(A48,"mmmm")</f>
        <v>January</v>
      </c>
      <c r="D48" s="55"/>
      <c r="E48" s="55"/>
      <c r="F48" s="55"/>
      <c r="G48" s="55"/>
      <c r="H48" s="55"/>
      <c r="I48" s="55"/>
      <c r="J48" s="55"/>
      <c r="K48" s="55"/>
      <c r="L48" s="4"/>
      <c r="M48" s="4"/>
      <c r="N48" s="4"/>
      <c r="O48" s="2">
        <f t="shared" si="5"/>
        <v>0</v>
      </c>
    </row>
    <row r="49" spans="1:15" x14ac:dyDescent="0.35">
      <c r="A49" s="7"/>
      <c r="B49" s="4">
        <f t="shared" si="12"/>
        <v>0</v>
      </c>
      <c r="C49" s="7" t="str">
        <f t="shared" si="13"/>
        <v>January</v>
      </c>
      <c r="D49" s="55"/>
      <c r="E49" s="55"/>
      <c r="F49" s="55"/>
      <c r="G49" s="55"/>
      <c r="H49" s="55"/>
      <c r="I49" s="55"/>
      <c r="J49" s="55"/>
      <c r="K49" s="55"/>
      <c r="L49" s="4"/>
      <c r="M49" s="4"/>
      <c r="N49" s="4"/>
      <c r="O49" s="2">
        <f t="shared" si="5"/>
        <v>0</v>
      </c>
    </row>
    <row r="50" spans="1:15" x14ac:dyDescent="0.35">
      <c r="A50" s="7"/>
      <c r="B50" s="4">
        <f t="shared" si="12"/>
        <v>0</v>
      </c>
      <c r="C50" s="7" t="str">
        <f t="shared" si="13"/>
        <v>January</v>
      </c>
      <c r="D50" s="55"/>
      <c r="E50" s="55"/>
      <c r="F50" s="55"/>
      <c r="G50" s="55"/>
      <c r="H50" s="55"/>
      <c r="I50" s="55"/>
      <c r="J50" s="55"/>
      <c r="K50" s="55"/>
      <c r="L50" s="4"/>
      <c r="M50" s="4"/>
      <c r="N50" s="4"/>
      <c r="O50" s="2">
        <f t="shared" si="5"/>
        <v>0</v>
      </c>
    </row>
    <row r="51" spans="1:15" x14ac:dyDescent="0.35">
      <c r="A51" s="7"/>
      <c r="B51" s="4">
        <f t="shared" si="12"/>
        <v>0</v>
      </c>
      <c r="C51" s="7" t="str">
        <f t="shared" si="13"/>
        <v>January</v>
      </c>
      <c r="D51" s="55"/>
      <c r="E51" s="55"/>
      <c r="F51" s="55"/>
      <c r="G51" s="55"/>
      <c r="H51" s="55"/>
      <c r="I51" s="55"/>
      <c r="J51" s="55"/>
      <c r="K51" s="55"/>
      <c r="L51" s="4"/>
      <c r="M51" s="4"/>
      <c r="N51" s="4"/>
      <c r="O51" s="2">
        <f t="shared" si="5"/>
        <v>0</v>
      </c>
    </row>
    <row r="52" spans="1:15" x14ac:dyDescent="0.35">
      <c r="A52" s="7"/>
      <c r="B52" s="4">
        <f t="shared" si="12"/>
        <v>0</v>
      </c>
      <c r="C52" s="7" t="str">
        <f t="shared" si="13"/>
        <v>January</v>
      </c>
      <c r="D52" s="4"/>
      <c r="E52" s="4"/>
      <c r="F52" s="4"/>
      <c r="G52" s="4"/>
      <c r="H52" s="4"/>
      <c r="I52" s="4"/>
      <c r="J52" s="4"/>
      <c r="K52" s="4"/>
      <c r="L52" s="4"/>
      <c r="M52" s="4"/>
      <c r="N52" s="4"/>
      <c r="O52" s="2">
        <f t="shared" si="5"/>
        <v>0</v>
      </c>
    </row>
    <row r="53" spans="1:15" x14ac:dyDescent="0.35">
      <c r="A53" s="7"/>
      <c r="B53" s="4">
        <f t="shared" si="12"/>
        <v>0</v>
      </c>
      <c r="C53" s="7" t="str">
        <f t="shared" si="13"/>
        <v>January</v>
      </c>
      <c r="D53" s="4"/>
      <c r="E53" s="4"/>
      <c r="F53" s="4"/>
      <c r="G53" s="4"/>
      <c r="H53" s="4"/>
      <c r="I53" s="4"/>
      <c r="J53" s="4"/>
      <c r="K53" s="4"/>
      <c r="L53" s="4"/>
      <c r="M53" s="4"/>
      <c r="N53" s="4"/>
      <c r="O53" s="2">
        <f t="shared" si="5"/>
        <v>0</v>
      </c>
    </row>
    <row r="54" spans="1:15" x14ac:dyDescent="0.35">
      <c r="A54" s="7"/>
      <c r="B54" s="4">
        <f t="shared" si="12"/>
        <v>0</v>
      </c>
      <c r="C54" s="7" t="str">
        <f t="shared" si="13"/>
        <v>January</v>
      </c>
      <c r="D54" s="4"/>
      <c r="E54" s="4"/>
      <c r="F54" s="4"/>
      <c r="G54" s="4"/>
      <c r="H54" s="4"/>
      <c r="I54" s="4"/>
      <c r="J54" s="4"/>
      <c r="K54" s="4"/>
      <c r="L54" s="4"/>
      <c r="M54" s="4"/>
      <c r="N54" s="4"/>
      <c r="O54" s="2">
        <f t="shared" si="5"/>
        <v>0</v>
      </c>
    </row>
    <row r="55" spans="1:15" x14ac:dyDescent="0.35">
      <c r="A55" s="7"/>
      <c r="B55" s="4">
        <f t="shared" si="12"/>
        <v>0</v>
      </c>
      <c r="C55" s="7" t="str">
        <f t="shared" si="13"/>
        <v>January</v>
      </c>
      <c r="D55" s="4"/>
      <c r="E55" s="4"/>
      <c r="F55" s="4"/>
      <c r="G55" s="4"/>
      <c r="H55" s="4"/>
      <c r="I55" s="4"/>
      <c r="J55" s="4"/>
      <c r="K55" s="4"/>
      <c r="L55" s="4"/>
      <c r="M55" s="4"/>
      <c r="N55" s="4"/>
      <c r="O55" s="2">
        <f t="shared" si="5"/>
        <v>0</v>
      </c>
    </row>
    <row r="56" spans="1:15" x14ac:dyDescent="0.35">
      <c r="A56" s="7"/>
      <c r="B56" s="4">
        <f t="shared" si="12"/>
        <v>0</v>
      </c>
      <c r="C56" s="7" t="str">
        <f t="shared" si="13"/>
        <v>January</v>
      </c>
      <c r="D56" s="4"/>
      <c r="E56" s="4"/>
      <c r="F56" s="4"/>
      <c r="G56" s="4"/>
      <c r="H56" s="4"/>
      <c r="I56" s="4"/>
      <c r="J56" s="4"/>
      <c r="K56" s="4"/>
      <c r="L56" s="4"/>
      <c r="M56" s="4"/>
      <c r="N56" s="4"/>
      <c r="O56" s="2">
        <f t="shared" si="5"/>
        <v>0</v>
      </c>
    </row>
    <row r="57" spans="1:15" x14ac:dyDescent="0.35">
      <c r="A57" s="7"/>
      <c r="B57" s="4">
        <f t="shared" si="12"/>
        <v>0</v>
      </c>
      <c r="C57" s="7" t="str">
        <f t="shared" si="13"/>
        <v>January</v>
      </c>
      <c r="D57" s="4"/>
      <c r="E57" s="4"/>
      <c r="F57" s="4"/>
      <c r="G57" s="4"/>
      <c r="H57" s="4"/>
      <c r="I57" s="4"/>
      <c r="J57" s="4"/>
      <c r="K57" s="4"/>
      <c r="L57" s="4"/>
      <c r="M57" s="4"/>
      <c r="N57" s="4"/>
      <c r="O57" s="2">
        <f t="shared" si="5"/>
        <v>0</v>
      </c>
    </row>
    <row r="58" spans="1:15" x14ac:dyDescent="0.35">
      <c r="A58" s="7"/>
      <c r="B58" s="4">
        <f t="shared" si="12"/>
        <v>0</v>
      </c>
      <c r="C58" s="7" t="str">
        <f t="shared" si="13"/>
        <v>January</v>
      </c>
      <c r="D58" s="4"/>
      <c r="E58" s="4"/>
      <c r="F58" s="4"/>
      <c r="G58" s="4"/>
      <c r="H58" s="4"/>
      <c r="I58" s="4"/>
      <c r="J58" s="4"/>
      <c r="K58" s="4"/>
      <c r="L58" s="4"/>
      <c r="M58" s="4"/>
      <c r="N58" s="4"/>
      <c r="O58" s="2">
        <f t="shared" si="5"/>
        <v>0</v>
      </c>
    </row>
    <row r="59" spans="1:15" x14ac:dyDescent="0.35">
      <c r="A59" s="7"/>
      <c r="B59" s="4">
        <f t="shared" si="12"/>
        <v>0</v>
      </c>
      <c r="C59" s="7" t="str">
        <f t="shared" si="13"/>
        <v>January</v>
      </c>
      <c r="D59" s="4"/>
      <c r="E59" s="4"/>
      <c r="F59" s="4"/>
      <c r="G59" s="4"/>
      <c r="H59" s="4"/>
      <c r="I59" s="4"/>
      <c r="J59" s="4"/>
      <c r="K59" s="4"/>
      <c r="L59" s="4"/>
      <c r="M59" s="4"/>
      <c r="N59" s="4"/>
      <c r="O59" s="2">
        <f t="shared" si="5"/>
        <v>0</v>
      </c>
    </row>
    <row r="60" spans="1:15" x14ac:dyDescent="0.35">
      <c r="A60" s="7"/>
      <c r="B60" s="4">
        <f t="shared" si="10"/>
        <v>0</v>
      </c>
      <c r="C60" s="7" t="str">
        <f t="shared" si="11"/>
        <v>January</v>
      </c>
      <c r="D60" s="4"/>
      <c r="E60" s="4"/>
      <c r="F60" s="4"/>
      <c r="G60" s="4"/>
      <c r="H60" s="4"/>
      <c r="I60" s="4"/>
      <c r="J60" s="4"/>
      <c r="K60" s="4"/>
      <c r="L60" s="4"/>
      <c r="M60" s="4"/>
      <c r="N60" s="4"/>
      <c r="O60" s="2">
        <f t="shared" si="5"/>
        <v>0</v>
      </c>
    </row>
    <row r="61" spans="1:15" x14ac:dyDescent="0.35">
      <c r="A61" s="7"/>
      <c r="B61" s="4">
        <f t="shared" si="10"/>
        <v>0</v>
      </c>
      <c r="C61" s="7" t="str">
        <f t="shared" si="11"/>
        <v>January</v>
      </c>
      <c r="D61" s="4"/>
      <c r="E61" s="4"/>
      <c r="F61" s="4"/>
      <c r="G61" s="4"/>
      <c r="H61" s="4"/>
      <c r="I61" s="4"/>
      <c r="J61" s="4"/>
      <c r="K61" s="4"/>
      <c r="L61" s="4"/>
      <c r="M61" s="4"/>
      <c r="N61" s="4"/>
      <c r="O61" s="2">
        <f t="shared" si="5"/>
        <v>0</v>
      </c>
    </row>
    <row r="62" spans="1:15" x14ac:dyDescent="0.35">
      <c r="A62" s="7"/>
      <c r="B62" s="4">
        <f t="shared" ref="B62" si="14">WEEKNUM(A62)</f>
        <v>0</v>
      </c>
      <c r="C62" s="7" t="str">
        <f t="shared" ref="C62" si="15">TEXT(A62,"mmmm")</f>
        <v>January</v>
      </c>
      <c r="D62" s="4"/>
      <c r="E62" s="4"/>
      <c r="F62" s="4"/>
      <c r="G62" s="4"/>
      <c r="H62" s="4"/>
      <c r="I62" s="4"/>
      <c r="J62" s="4"/>
      <c r="K62" s="4"/>
      <c r="L62" s="4"/>
      <c r="M62" s="4"/>
      <c r="N62" s="4"/>
      <c r="O62" s="2">
        <f t="shared" si="5"/>
        <v>0</v>
      </c>
    </row>
    <row r="63" spans="1:15" x14ac:dyDescent="0.35">
      <c r="A63" s="7"/>
      <c r="B63" s="4">
        <f t="shared" ref="B63:B67" si="16">WEEKNUM(A63)</f>
        <v>0</v>
      </c>
      <c r="C63" s="7" t="str">
        <f t="shared" ref="C63:C67" si="17">TEXT(A63,"mmmm")</f>
        <v>January</v>
      </c>
      <c r="D63" s="4"/>
      <c r="E63" s="4"/>
      <c r="F63" s="4"/>
      <c r="G63" s="4"/>
      <c r="H63" s="4"/>
      <c r="I63" s="4"/>
      <c r="J63" s="4"/>
      <c r="K63" s="4"/>
      <c r="L63" s="4"/>
      <c r="M63" s="4"/>
      <c r="N63" s="4"/>
      <c r="O63" s="2">
        <f t="shared" si="5"/>
        <v>0</v>
      </c>
    </row>
    <row r="64" spans="1:15" x14ac:dyDescent="0.35">
      <c r="A64" s="7"/>
      <c r="B64" s="4">
        <f t="shared" si="16"/>
        <v>0</v>
      </c>
      <c r="C64" s="7" t="str">
        <f t="shared" si="17"/>
        <v>January</v>
      </c>
      <c r="D64" s="4"/>
      <c r="E64" s="4"/>
      <c r="F64" s="4"/>
      <c r="G64" s="4"/>
      <c r="H64" s="4"/>
      <c r="I64" s="4"/>
      <c r="J64" s="4"/>
      <c r="K64" s="4"/>
      <c r="L64" s="4"/>
      <c r="M64" s="4"/>
      <c r="N64" s="4"/>
      <c r="O64" s="2">
        <f t="shared" si="5"/>
        <v>0</v>
      </c>
    </row>
    <row r="65" spans="1:15" x14ac:dyDescent="0.35">
      <c r="A65" s="7"/>
      <c r="B65" s="4">
        <f t="shared" si="16"/>
        <v>0</v>
      </c>
      <c r="C65" s="7" t="str">
        <f t="shared" si="17"/>
        <v>January</v>
      </c>
      <c r="D65" s="4"/>
      <c r="E65" s="4"/>
      <c r="F65" s="4"/>
      <c r="G65" s="4"/>
      <c r="H65" s="4"/>
      <c r="I65" s="4"/>
      <c r="J65" s="4"/>
      <c r="K65" s="4"/>
      <c r="L65" s="4"/>
      <c r="M65" s="4"/>
      <c r="N65" s="4"/>
      <c r="O65" s="2">
        <f t="shared" si="5"/>
        <v>0</v>
      </c>
    </row>
    <row r="66" spans="1:15" x14ac:dyDescent="0.35">
      <c r="A66" s="7"/>
      <c r="B66" s="4">
        <f t="shared" si="16"/>
        <v>0</v>
      </c>
      <c r="C66" s="7" t="str">
        <f t="shared" si="17"/>
        <v>January</v>
      </c>
      <c r="D66" s="4"/>
      <c r="E66" s="4"/>
      <c r="F66" s="4"/>
      <c r="G66" s="4"/>
      <c r="H66" s="4"/>
      <c r="I66" s="4"/>
      <c r="J66" s="4"/>
      <c r="K66" s="4"/>
      <c r="L66" s="4"/>
      <c r="M66" s="4"/>
      <c r="N66" s="4"/>
      <c r="O66" s="2">
        <f t="shared" si="5"/>
        <v>0</v>
      </c>
    </row>
    <row r="67" spans="1:15" x14ac:dyDescent="0.35">
      <c r="A67" s="7"/>
      <c r="B67" s="4">
        <f t="shared" si="16"/>
        <v>0</v>
      </c>
      <c r="C67" s="7" t="str">
        <f t="shared" si="17"/>
        <v>January</v>
      </c>
      <c r="D67" s="4"/>
      <c r="E67" s="4"/>
      <c r="F67" s="4"/>
      <c r="G67" s="4"/>
      <c r="H67" s="4"/>
      <c r="I67" s="4"/>
      <c r="J67" s="4"/>
      <c r="K67" s="4"/>
      <c r="L67" s="4"/>
      <c r="M67" s="4"/>
      <c r="N67" s="4"/>
      <c r="O67" s="2">
        <f t="shared" si="5"/>
        <v>0</v>
      </c>
    </row>
    <row r="68" spans="1:15" x14ac:dyDescent="0.35">
      <c r="A68" s="7"/>
      <c r="B68" s="4">
        <f t="shared" si="3"/>
        <v>0</v>
      </c>
      <c r="C68" s="7" t="str">
        <f t="shared" si="4"/>
        <v>January</v>
      </c>
      <c r="D68" s="4"/>
      <c r="E68" s="4"/>
      <c r="F68" s="4"/>
      <c r="G68" s="4"/>
      <c r="H68" s="4"/>
      <c r="I68" s="4"/>
      <c r="J68" s="4"/>
      <c r="K68" s="4"/>
      <c r="L68" s="4"/>
      <c r="M68" s="4"/>
      <c r="N68" s="4"/>
      <c r="O68" s="2">
        <f t="shared" si="5"/>
        <v>0</v>
      </c>
    </row>
    <row r="69" spans="1:15" x14ac:dyDescent="0.35">
      <c r="A69" s="7"/>
      <c r="B69" s="4">
        <f t="shared" si="3"/>
        <v>0</v>
      </c>
      <c r="C69" s="7" t="str">
        <f t="shared" si="4"/>
        <v>January</v>
      </c>
      <c r="D69" s="4"/>
      <c r="E69" s="4"/>
      <c r="F69" s="4"/>
      <c r="G69" s="4"/>
      <c r="H69" s="4"/>
      <c r="I69" s="4"/>
      <c r="J69" s="4"/>
      <c r="K69" s="4"/>
      <c r="L69" s="4"/>
      <c r="M69" s="4"/>
      <c r="N69" s="4"/>
      <c r="O69" s="2">
        <f t="shared" si="5"/>
        <v>0</v>
      </c>
    </row>
    <row r="70" spans="1:15" x14ac:dyDescent="0.35">
      <c r="A70" s="7"/>
      <c r="B70" s="4">
        <f t="shared" si="3"/>
        <v>0</v>
      </c>
      <c r="C70" s="7" t="str">
        <f t="shared" si="4"/>
        <v>January</v>
      </c>
      <c r="D70" s="4"/>
      <c r="E70" s="4"/>
      <c r="F70" s="4"/>
      <c r="G70" s="4"/>
      <c r="H70" s="4"/>
      <c r="I70" s="4"/>
      <c r="J70" s="4"/>
      <c r="K70" s="4"/>
      <c r="L70" s="4"/>
      <c r="M70" s="4"/>
      <c r="N70" s="4"/>
      <c r="O70" s="2">
        <f t="shared" si="5"/>
        <v>0</v>
      </c>
    </row>
    <row r="71" spans="1:15" x14ac:dyDescent="0.35">
      <c r="A71" s="7"/>
      <c r="B71" s="4">
        <f t="shared" si="3"/>
        <v>0</v>
      </c>
      <c r="C71" s="7" t="str">
        <f t="shared" si="4"/>
        <v>January</v>
      </c>
      <c r="D71" s="4"/>
      <c r="E71" s="4"/>
      <c r="F71" s="4"/>
      <c r="G71" s="4"/>
      <c r="H71" s="4"/>
      <c r="I71" s="4"/>
      <c r="J71" s="4"/>
      <c r="K71" s="4"/>
      <c r="L71" s="4"/>
      <c r="M71" s="4"/>
      <c r="N71" s="4"/>
      <c r="O71" s="2">
        <f t="shared" si="5"/>
        <v>0</v>
      </c>
    </row>
    <row r="72" spans="1:15" x14ac:dyDescent="0.35">
      <c r="A72" s="7"/>
      <c r="B72" s="4">
        <f t="shared" si="3"/>
        <v>0</v>
      </c>
      <c r="C72" s="7" t="str">
        <f t="shared" si="4"/>
        <v>January</v>
      </c>
      <c r="D72" s="4"/>
      <c r="E72" s="4"/>
      <c r="F72" s="4"/>
      <c r="G72" s="4"/>
      <c r="H72" s="4"/>
      <c r="I72" s="4"/>
      <c r="J72" s="4"/>
      <c r="K72" s="4"/>
      <c r="L72" s="4"/>
      <c r="M72" s="4"/>
      <c r="N72" s="4"/>
      <c r="O72" s="2">
        <f t="shared" si="5"/>
        <v>0</v>
      </c>
    </row>
    <row r="73" spans="1:15" x14ac:dyDescent="0.35">
      <c r="A73" s="7"/>
      <c r="B73" s="4"/>
      <c r="C73" s="4"/>
      <c r="D73" s="4"/>
      <c r="E73" s="4"/>
      <c r="F73" s="4"/>
      <c r="G73" s="4"/>
      <c r="H73" s="4"/>
      <c r="I73" s="4"/>
      <c r="J73" s="4"/>
      <c r="K73" s="4"/>
      <c r="L73" s="4"/>
      <c r="M73" s="4"/>
      <c r="N73" s="4"/>
      <c r="O73" s="2">
        <f t="shared" si="5"/>
        <v>0</v>
      </c>
    </row>
    <row r="77" spans="1:15" ht="15" thickBot="1" x14ac:dyDescent="0.4">
      <c r="F77"/>
      <c r="G77"/>
      <c r="H77"/>
      <c r="I77"/>
      <c r="J77"/>
      <c r="K77"/>
      <c r="L77"/>
      <c r="M77"/>
      <c r="N77"/>
      <c r="O77"/>
    </row>
    <row r="78" spans="1:15" x14ac:dyDescent="0.35">
      <c r="F78"/>
      <c r="G78" s="23" t="s">
        <v>26</v>
      </c>
      <c r="H78" s="24" t="s">
        <v>27</v>
      </c>
      <c r="I78" s="25">
        <v>45977</v>
      </c>
      <c r="J78" s="26" t="s">
        <v>28</v>
      </c>
      <c r="K78" s="27">
        <v>45983</v>
      </c>
      <c r="L78" s="24"/>
      <c r="M78" s="28"/>
      <c r="N78"/>
      <c r="O78"/>
    </row>
    <row r="79" spans="1:15" x14ac:dyDescent="0.35">
      <c r="F79"/>
      <c r="G79" s="29" t="s">
        <v>11</v>
      </c>
      <c r="H79" s="68" t="str">
        <f>D1</f>
        <v>RANGGA</v>
      </c>
      <c r="I79" s="68"/>
      <c r="J79" s="30"/>
      <c r="K79" s="30"/>
      <c r="L79" s="30"/>
      <c r="M79" s="31"/>
      <c r="N79"/>
      <c r="O79"/>
    </row>
    <row r="80" spans="1:15" x14ac:dyDescent="0.35">
      <c r="F80"/>
      <c r="G80" s="29" t="s">
        <v>29</v>
      </c>
      <c r="H80" s="30"/>
      <c r="I80" s="30"/>
      <c r="J80" s="30"/>
      <c r="K80" s="30"/>
      <c r="L80" s="30"/>
      <c r="M80" s="31"/>
      <c r="N80"/>
      <c r="O80"/>
    </row>
    <row r="81" spans="6:15" x14ac:dyDescent="0.35">
      <c r="F81"/>
      <c r="G81" s="32" t="str">
        <f>IF(I81=0,"","Gotik Duyung")</f>
        <v/>
      </c>
      <c r="H81" s="30" t="s">
        <v>27</v>
      </c>
      <c r="I81" s="40">
        <f>$Q$28</f>
        <v>0</v>
      </c>
      <c r="J81" s="30" t="s">
        <v>30</v>
      </c>
      <c r="K81" s="41" t="str">
        <f>IF(I81=0,"","68000")</f>
        <v/>
      </c>
      <c r="L81" s="30" t="s">
        <v>31</v>
      </c>
      <c r="M81" s="33" t="str">
        <f>IFERROR(I81*K81,"")</f>
        <v/>
      </c>
      <c r="N81"/>
      <c r="O81"/>
    </row>
    <row r="82" spans="6:15" x14ac:dyDescent="0.35">
      <c r="F82"/>
      <c r="G82" s="32" t="str">
        <f>IF(I82=0,"","Gotik Plisket")</f>
        <v/>
      </c>
      <c r="H82" s="30" t="s">
        <v>27</v>
      </c>
      <c r="I82" s="40">
        <f>$R$28</f>
        <v>0</v>
      </c>
      <c r="J82" s="30" t="s">
        <v>30</v>
      </c>
      <c r="K82" s="41" t="str">
        <f>IF(I82=0,"","70000")</f>
        <v/>
      </c>
      <c r="L82" s="30" t="s">
        <v>31</v>
      </c>
      <c r="M82" s="33" t="str">
        <f>IFERROR(I82*K82,"")</f>
        <v/>
      </c>
      <c r="N82"/>
      <c r="O82"/>
    </row>
    <row r="83" spans="6:15" x14ac:dyDescent="0.35">
      <c r="F83"/>
      <c r="G83" s="32" t="str">
        <f>IF(I83=0,"","Slayer Duyung")</f>
        <v/>
      </c>
      <c r="H83" s="30" t="s">
        <v>27</v>
      </c>
      <c r="I83" s="40">
        <f>S28</f>
        <v>0</v>
      </c>
      <c r="J83" s="30" t="s">
        <v>30</v>
      </c>
      <c r="K83" s="41" t="str">
        <f>IF(I83=0,"","81000")</f>
        <v/>
      </c>
      <c r="L83" s="30" t="s">
        <v>31</v>
      </c>
      <c r="M83" s="33" t="str">
        <f>IFERROR(I83*K83,"")</f>
        <v/>
      </c>
      <c r="N83"/>
      <c r="O83"/>
    </row>
    <row r="84" spans="6:15" x14ac:dyDescent="0.35">
      <c r="F84"/>
      <c r="G84" s="32" t="str">
        <f>IF(I84=0,"","Slayer Prisket")</f>
        <v/>
      </c>
      <c r="H84" s="30" t="s">
        <v>27</v>
      </c>
      <c r="I84" s="40">
        <f>T28</f>
        <v>0</v>
      </c>
      <c r="J84" s="30" t="s">
        <v>30</v>
      </c>
      <c r="K84" s="41" t="str">
        <f>IF(I84=0,"","81000")</f>
        <v/>
      </c>
      <c r="L84" s="30" t="s">
        <v>31</v>
      </c>
      <c r="M84" s="33" t="str">
        <f>IFERROR(I84*K84,"")</f>
        <v/>
      </c>
      <c r="N84"/>
      <c r="O84"/>
    </row>
    <row r="85" spans="6:15" x14ac:dyDescent="0.35">
      <c r="F85"/>
      <c r="G85" s="32" t="str">
        <f>IF(I85=0,"","Rok Prisket")</f>
        <v/>
      </c>
      <c r="H85" s="30" t="s">
        <v>27</v>
      </c>
      <c r="I85" s="40">
        <f>U28</f>
        <v>0</v>
      </c>
      <c r="J85" s="30" t="s">
        <v>30</v>
      </c>
      <c r="K85" s="41" t="str">
        <f>IF(I85=0,"","32000")</f>
        <v/>
      </c>
      <c r="L85" s="30" t="s">
        <v>31</v>
      </c>
      <c r="M85" s="33" t="str">
        <f t="shared" ref="M85:M88" si="18">IFERROR(I85*K85,"")</f>
        <v/>
      </c>
      <c r="N85"/>
      <c r="O85"/>
    </row>
    <row r="86" spans="6:15" x14ac:dyDescent="0.35">
      <c r="F86"/>
      <c r="G86" s="32" t="str">
        <f>IF(I86=0,"","Atasan Gotik")</f>
        <v/>
      </c>
      <c r="H86" s="30" t="s">
        <v>27</v>
      </c>
      <c r="I86" s="40">
        <f>V28</f>
        <v>0</v>
      </c>
      <c r="J86" s="30" t="s">
        <v>30</v>
      </c>
      <c r="K86" s="41" t="str">
        <f>IF(I86=0,"","39000")</f>
        <v/>
      </c>
      <c r="L86" s="30" t="s">
        <v>31</v>
      </c>
      <c r="M86" s="33" t="str">
        <f t="shared" si="18"/>
        <v/>
      </c>
      <c r="N86"/>
      <c r="O86"/>
    </row>
    <row r="87" spans="6:15" x14ac:dyDescent="0.35">
      <c r="F87"/>
      <c r="G87" s="32" t="str">
        <f>IF(I87=0,"","Atasan Slayer")</f>
        <v/>
      </c>
      <c r="H87" s="30" t="s">
        <v>27</v>
      </c>
      <c r="I87" s="40">
        <f>W28</f>
        <v>0</v>
      </c>
      <c r="J87" s="30" t="s">
        <v>30</v>
      </c>
      <c r="K87" s="41" t="str">
        <f>IF(I87=0,"","51000")</f>
        <v/>
      </c>
      <c r="L87" s="30" t="s">
        <v>31</v>
      </c>
      <c r="M87" s="33" t="str">
        <f t="shared" si="18"/>
        <v/>
      </c>
      <c r="N87"/>
      <c r="O87"/>
    </row>
    <row r="88" spans="6:15" ht="15" thickBot="1" x14ac:dyDescent="0.4">
      <c r="F88"/>
      <c r="G88" s="32" t="str">
        <f>IF(I88=0,"","Kutubaru")</f>
        <v/>
      </c>
      <c r="H88" s="30" t="s">
        <v>27</v>
      </c>
      <c r="I88" s="40">
        <f>X28</f>
        <v>0</v>
      </c>
      <c r="J88" s="30" t="s">
        <v>30</v>
      </c>
      <c r="K88" s="41" t="str">
        <f>IF(I88=0,"","45000")</f>
        <v/>
      </c>
      <c r="L88" s="30" t="s">
        <v>31</v>
      </c>
      <c r="M88" s="34" t="str">
        <f t="shared" si="18"/>
        <v/>
      </c>
      <c r="N88"/>
      <c r="O88"/>
    </row>
    <row r="89" spans="6:15" x14ac:dyDescent="0.35">
      <c r="F89"/>
      <c r="G89" s="29" t="s">
        <v>32</v>
      </c>
      <c r="H89" s="30"/>
      <c r="I89" s="30"/>
      <c r="J89" s="30"/>
      <c r="K89" s="30"/>
      <c r="L89" s="30"/>
      <c r="M89" s="35">
        <f>SUM(M81:M88)+I97</f>
        <v>0</v>
      </c>
      <c r="N89"/>
      <c r="O89"/>
    </row>
    <row r="90" spans="6:15" x14ac:dyDescent="0.35">
      <c r="F90"/>
      <c r="G90" s="44" t="str">
        <f>IF(I90=0,"","Plastik Packing")</f>
        <v/>
      </c>
      <c r="H90" s="30" t="s">
        <v>27</v>
      </c>
      <c r="I90" s="40">
        <f>Y28</f>
        <v>0</v>
      </c>
      <c r="J90" s="30" t="s">
        <v>30</v>
      </c>
      <c r="K90" s="41" t="str">
        <f>IF(I90=0,"","18000")</f>
        <v/>
      </c>
      <c r="L90" s="30" t="s">
        <v>31</v>
      </c>
      <c r="M90" s="45" t="str">
        <f>IFERROR(I90*K90,"")</f>
        <v/>
      </c>
      <c r="N90"/>
      <c r="O90"/>
    </row>
    <row r="91" spans="6:15" x14ac:dyDescent="0.35">
      <c r="F91"/>
      <c r="G91" s="44" t="str">
        <f>IF(I91=0,"","Indah")</f>
        <v/>
      </c>
      <c r="H91" s="30" t="s">
        <v>27</v>
      </c>
      <c r="I91" s="40">
        <f>Z28</f>
        <v>0</v>
      </c>
      <c r="J91" s="30" t="s">
        <v>30</v>
      </c>
      <c r="K91" s="41" t="str">
        <f>IF(I91=0,"","70000")</f>
        <v/>
      </c>
      <c r="L91" s="30" t="s">
        <v>31</v>
      </c>
      <c r="M91" s="35"/>
      <c r="N91"/>
      <c r="O91"/>
    </row>
    <row r="92" spans="6:15" ht="16.5" thickBot="1" x14ac:dyDescent="0.55000000000000004">
      <c r="G92" s="44" t="str">
        <f>IF(I92=0,"","Mayang")</f>
        <v/>
      </c>
      <c r="H92" s="30" t="s">
        <v>27</v>
      </c>
      <c r="I92" s="40">
        <f>AA28</f>
        <v>0</v>
      </c>
      <c r="J92" s="30" t="s">
        <v>30</v>
      </c>
      <c r="K92" s="41" t="str">
        <f>IF(I92=0,"","72000")</f>
        <v/>
      </c>
      <c r="L92" s="30" t="s">
        <v>31</v>
      </c>
      <c r="M92" s="46"/>
    </row>
    <row r="93" spans="6:15" x14ac:dyDescent="0.35">
      <c r="G93" s="29"/>
      <c r="H93" s="30"/>
      <c r="I93" s="30"/>
      <c r="J93" s="30"/>
      <c r="K93" s="30"/>
      <c r="L93" s="30"/>
      <c r="M93" s="35">
        <f>SUM(M90:M92)</f>
        <v>0</v>
      </c>
    </row>
    <row r="94" spans="6:15" x14ac:dyDescent="0.35">
      <c r="G94" s="29"/>
      <c r="H94" s="30"/>
      <c r="I94" s="30"/>
      <c r="J94" s="30"/>
      <c r="K94" s="30"/>
      <c r="L94" s="30"/>
      <c r="M94" s="35"/>
    </row>
    <row r="95" spans="6:15" ht="14.5" customHeight="1" x14ac:dyDescent="0.35">
      <c r="G95" s="29"/>
      <c r="H95" s="30"/>
      <c r="I95" s="30"/>
      <c r="J95" s="30"/>
      <c r="K95" s="60" t="s">
        <v>33</v>
      </c>
      <c r="L95" s="60"/>
      <c r="M95" s="61">
        <f>M89+M93</f>
        <v>0</v>
      </c>
    </row>
    <row r="96" spans="6:15" ht="14.5" customHeight="1" x14ac:dyDescent="0.35">
      <c r="G96" s="29"/>
      <c r="H96" s="30"/>
      <c r="I96" s="30"/>
      <c r="J96" s="30"/>
      <c r="K96" s="60"/>
      <c r="L96" s="60"/>
      <c r="M96" s="61"/>
    </row>
    <row r="97" spans="7:13" ht="15" thickBot="1" x14ac:dyDescent="0.4">
      <c r="G97" s="36"/>
      <c r="H97" s="37"/>
      <c r="I97" s="38"/>
      <c r="J97" s="37"/>
      <c r="K97" s="37"/>
      <c r="L97" s="37"/>
      <c r="M97" s="39"/>
    </row>
    <row r="98" spans="7:13" x14ac:dyDescent="0.35">
      <c r="G98"/>
      <c r="H98"/>
      <c r="I98"/>
      <c r="J98"/>
      <c r="K98"/>
      <c r="L98"/>
      <c r="M98"/>
    </row>
  </sheetData>
  <mergeCells count="8">
    <mergeCell ref="K95:L96"/>
    <mergeCell ref="M95:M96"/>
    <mergeCell ref="A1:C2"/>
    <mergeCell ref="D1:D2"/>
    <mergeCell ref="D4:D5"/>
    <mergeCell ref="E4:E5"/>
    <mergeCell ref="B23:C23"/>
    <mergeCell ref="H79:I7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45BE1-4CED-4483-951B-1B5F3233B928}">
  <dimension ref="A1:AA82"/>
  <sheetViews>
    <sheetView showGridLines="0" topLeftCell="A82" zoomScale="65" zoomScaleNormal="65" workbookViewId="0">
      <selection activeCell="J88" sqref="J88"/>
    </sheetView>
  </sheetViews>
  <sheetFormatPr defaultRowHeight="14.5" x14ac:dyDescent="0.35"/>
  <cols>
    <col min="1" max="1" width="10.81640625" style="2" customWidth="1"/>
    <col min="2" max="2" width="9.1796875" style="2" bestFit="1" customWidth="1"/>
    <col min="3" max="3" width="9.54296875" style="2" bestFit="1" customWidth="1"/>
    <col min="4" max="4" width="14" style="2" bestFit="1" customWidth="1"/>
    <col min="5" max="5" width="21.7265625" style="2" customWidth="1"/>
    <col min="6" max="6" width="13.81640625" style="2" bestFit="1" customWidth="1"/>
    <col min="7" max="7" width="14.7265625" style="2" bestFit="1" customWidth="1"/>
    <col min="8" max="8" width="10.08984375" style="2" bestFit="1" customWidth="1"/>
    <col min="9" max="9" width="10.90625" style="2" customWidth="1"/>
    <col min="10" max="10" width="11.90625" style="2" bestFit="1" customWidth="1"/>
    <col min="11" max="11" width="12.36328125" style="2" bestFit="1" customWidth="1"/>
    <col min="12" max="12" width="15.1796875" style="2" bestFit="1" customWidth="1"/>
    <col min="13" max="13" width="22.90625" style="2" bestFit="1" customWidth="1"/>
    <col min="14" max="15" width="8.7265625" style="2"/>
    <col min="17" max="17" width="20.36328125" bestFit="1" customWidth="1"/>
    <col min="18" max="18" width="19.453125" bestFit="1" customWidth="1"/>
    <col min="19" max="19" width="21.1796875" bestFit="1" customWidth="1"/>
    <col min="20" max="20" width="20.26953125" bestFit="1" customWidth="1"/>
    <col min="21" max="21" width="17.7265625" bestFit="1" customWidth="1"/>
    <col min="22" max="22" width="19.7265625" bestFit="1" customWidth="1"/>
    <col min="23" max="23" width="20.453125" bestFit="1" customWidth="1"/>
    <col min="24" max="24" width="16.453125" bestFit="1" customWidth="1"/>
    <col min="25" max="25" width="22" bestFit="1" customWidth="1"/>
    <col min="26" max="26" width="12.6328125" bestFit="1" customWidth="1"/>
    <col min="27" max="27" width="14.81640625" bestFit="1" customWidth="1"/>
  </cols>
  <sheetData>
    <row r="1" spans="1:8" ht="14.5" customHeight="1" x14ac:dyDescent="0.35">
      <c r="A1" s="62" t="s">
        <v>13</v>
      </c>
      <c r="B1" s="62"/>
      <c r="C1" s="62"/>
      <c r="D1" s="63" t="s">
        <v>42</v>
      </c>
      <c r="E1" s="6"/>
      <c r="H1" s="15"/>
    </row>
    <row r="2" spans="1:8" ht="14.5" customHeight="1" x14ac:dyDescent="0.35">
      <c r="A2" s="62"/>
      <c r="B2" s="62"/>
      <c r="C2" s="62"/>
      <c r="D2" s="63"/>
      <c r="E2" s="6"/>
      <c r="H2" s="15"/>
    </row>
    <row r="3" spans="1:8" ht="14.5" customHeight="1" x14ac:dyDescent="0.35">
      <c r="A3" s="3"/>
      <c r="B3" s="3"/>
      <c r="C3" s="3"/>
      <c r="D3" s="5"/>
      <c r="E3" s="6"/>
      <c r="F3" s="3"/>
      <c r="G3" s="16"/>
      <c r="H3" s="15"/>
    </row>
    <row r="4" spans="1:8" ht="14.5" customHeight="1" x14ac:dyDescent="0.35">
      <c r="A4" s="3"/>
      <c r="B4" s="3"/>
      <c r="C4" s="3"/>
      <c r="D4" s="64" t="s">
        <v>19</v>
      </c>
      <c r="E4" s="65">
        <f>SUM(E7:E20)-B23</f>
        <v>0</v>
      </c>
      <c r="F4" s="19"/>
      <c r="G4" s="16"/>
      <c r="H4" s="15"/>
    </row>
    <row r="5" spans="1:8" ht="14.5" customHeight="1" x14ac:dyDescent="0.35">
      <c r="A5" s="3"/>
      <c r="B5" s="3"/>
      <c r="C5" s="3"/>
      <c r="D5" s="64"/>
      <c r="E5" s="65"/>
      <c r="F5" s="19"/>
      <c r="G5" s="16"/>
      <c r="H5" s="15"/>
    </row>
    <row r="6" spans="1:8" ht="14.5" customHeight="1" x14ac:dyDescent="0.35">
      <c r="A6"/>
      <c r="B6"/>
      <c r="C6"/>
      <c r="D6" s="17" t="s">
        <v>0</v>
      </c>
      <c r="E6" s="20" t="s">
        <v>41</v>
      </c>
      <c r="F6" s="20" t="s">
        <v>40</v>
      </c>
      <c r="G6" s="48" t="s">
        <v>39</v>
      </c>
      <c r="H6" s="15"/>
    </row>
    <row r="7" spans="1:8" ht="14.5" customHeight="1" x14ac:dyDescent="0.35">
      <c r="A7"/>
      <c r="B7"/>
      <c r="C7"/>
      <c r="D7" s="18"/>
      <c r="E7" s="21"/>
      <c r="F7" s="22"/>
      <c r="G7" s="51"/>
      <c r="H7" s="15"/>
    </row>
    <row r="8" spans="1:8" ht="14.5" customHeight="1" x14ac:dyDescent="0.35">
      <c r="A8"/>
      <c r="B8"/>
      <c r="C8"/>
      <c r="D8" s="18"/>
      <c r="E8" s="21"/>
      <c r="F8" s="21"/>
      <c r="G8" s="53"/>
      <c r="H8" s="15"/>
    </row>
    <row r="9" spans="1:8" ht="14.5" customHeight="1" x14ac:dyDescent="0.35">
      <c r="A9"/>
      <c r="B9"/>
      <c r="C9"/>
      <c r="D9" s="18"/>
      <c r="E9" s="21"/>
      <c r="F9" s="21"/>
      <c r="G9" s="53"/>
      <c r="H9" s="15"/>
    </row>
    <row r="10" spans="1:8" ht="14.5" customHeight="1" x14ac:dyDescent="0.35">
      <c r="A10"/>
      <c r="B10"/>
      <c r="C10"/>
      <c r="D10" s="18"/>
      <c r="E10" s="21"/>
      <c r="F10" s="21"/>
      <c r="G10" s="53"/>
      <c r="H10" s="15"/>
    </row>
    <row r="11" spans="1:8" ht="14.5" customHeight="1" x14ac:dyDescent="0.35">
      <c r="A11"/>
      <c r="B11"/>
      <c r="C11"/>
      <c r="D11" s="18"/>
      <c r="E11" s="21"/>
      <c r="F11" s="21"/>
      <c r="G11" s="53"/>
      <c r="H11" s="15"/>
    </row>
    <row r="12" spans="1:8" ht="14.5" customHeight="1" x14ac:dyDescent="0.35">
      <c r="A12"/>
      <c r="B12"/>
      <c r="C12"/>
      <c r="D12" s="18"/>
      <c r="E12" s="21"/>
      <c r="F12" s="21"/>
      <c r="G12" s="53"/>
      <c r="H12" s="15"/>
    </row>
    <row r="13" spans="1:8" ht="14.5" customHeight="1" x14ac:dyDescent="0.35">
      <c r="A13"/>
      <c r="B13"/>
      <c r="C13"/>
      <c r="D13" s="18"/>
      <c r="E13" s="21"/>
      <c r="F13" s="21"/>
      <c r="G13" s="53"/>
      <c r="H13" s="15"/>
    </row>
    <row r="14" spans="1:8" ht="14.5" customHeight="1" x14ac:dyDescent="0.35">
      <c r="A14"/>
      <c r="B14"/>
      <c r="C14"/>
      <c r="D14" s="18"/>
      <c r="E14" s="21"/>
      <c r="F14" s="21"/>
      <c r="G14" s="53"/>
      <c r="H14" s="15"/>
    </row>
    <row r="15" spans="1:8" ht="14.5" customHeight="1" x14ac:dyDescent="0.35">
      <c r="A15"/>
      <c r="B15"/>
      <c r="C15"/>
      <c r="D15" s="18"/>
      <c r="E15" s="21"/>
      <c r="F15" s="21"/>
      <c r="G15" s="53"/>
      <c r="H15" s="15"/>
    </row>
    <row r="16" spans="1:8" ht="14.5" customHeight="1" x14ac:dyDescent="0.35">
      <c r="A16"/>
      <c r="B16"/>
      <c r="C16"/>
      <c r="D16" s="18"/>
      <c r="E16" s="21"/>
      <c r="F16" s="21"/>
      <c r="G16" s="53"/>
      <c r="H16" s="15"/>
    </row>
    <row r="17" spans="1:27" ht="14.5" customHeight="1" x14ac:dyDescent="0.35">
      <c r="A17"/>
      <c r="B17"/>
      <c r="C17"/>
      <c r="D17" s="18"/>
      <c r="E17" s="21"/>
      <c r="F17" s="21"/>
      <c r="G17" s="53"/>
      <c r="H17" s="15"/>
    </row>
    <row r="18" spans="1:27" ht="14.5" customHeight="1" x14ac:dyDescent="0.35">
      <c r="A18"/>
      <c r="B18"/>
      <c r="C18"/>
      <c r="D18" s="18"/>
      <c r="E18" s="21"/>
      <c r="F18" s="21"/>
      <c r="G18" s="53"/>
      <c r="H18" s="15"/>
    </row>
    <row r="19" spans="1:27" ht="14.5" customHeight="1" x14ac:dyDescent="0.35">
      <c r="A19"/>
      <c r="B19"/>
      <c r="C19"/>
      <c r="D19" s="18"/>
      <c r="E19" s="21"/>
      <c r="F19" s="21"/>
      <c r="G19" s="53"/>
      <c r="H19" s="15"/>
    </row>
    <row r="20" spans="1:27" ht="14.5" customHeight="1" x14ac:dyDescent="0.35">
      <c r="A20"/>
      <c r="B20"/>
      <c r="C20"/>
      <c r="D20" s="18"/>
      <c r="E20" s="21"/>
      <c r="F20" s="21"/>
      <c r="G20" s="52"/>
    </row>
    <row r="21" spans="1:27" ht="14.5" customHeight="1" x14ac:dyDescent="0.35">
      <c r="A21" s="3"/>
      <c r="B21" s="3"/>
      <c r="C21" s="3"/>
      <c r="D21" s="5"/>
      <c r="E21" s="6"/>
    </row>
    <row r="22" spans="1:27" ht="14.5" customHeight="1" x14ac:dyDescent="0.35">
      <c r="A22" s="3"/>
      <c r="B22" s="3"/>
      <c r="C22" s="3"/>
      <c r="D22" s="5"/>
      <c r="E22" s="6"/>
    </row>
    <row r="23" spans="1:27" ht="14.5" customHeight="1" x14ac:dyDescent="0.35">
      <c r="A23" s="3" t="s">
        <v>18</v>
      </c>
      <c r="B23" s="66">
        <f>SUM(D23:N23)</f>
        <v>0</v>
      </c>
      <c r="C23" s="67"/>
      <c r="D23" s="8">
        <f>SUM(D28:D56)*D24</f>
        <v>0</v>
      </c>
      <c r="E23" s="8">
        <f t="shared" ref="E23:K23" si="0">SUM(E28:E56)*E24</f>
        <v>0</v>
      </c>
      <c r="F23" s="8">
        <f t="shared" si="0"/>
        <v>0</v>
      </c>
      <c r="G23" s="8">
        <f t="shared" si="0"/>
        <v>0</v>
      </c>
      <c r="H23" s="8">
        <f t="shared" si="0"/>
        <v>0</v>
      </c>
      <c r="I23" s="8">
        <f t="shared" si="0"/>
        <v>0</v>
      </c>
      <c r="J23" s="8">
        <f t="shared" si="0"/>
        <v>0</v>
      </c>
      <c r="K23" s="8">
        <f t="shared" si="0"/>
        <v>0</v>
      </c>
      <c r="L23" s="8">
        <f t="shared" ref="L23" si="1">SUM(L28:L56)*L24</f>
        <v>0</v>
      </c>
      <c r="M23" s="8">
        <f t="shared" ref="M23:N23" si="2">SUM(M28:M56)*M24</f>
        <v>0</v>
      </c>
      <c r="N23" s="8">
        <f t="shared" si="2"/>
        <v>0</v>
      </c>
      <c r="O23" s="8"/>
    </row>
    <row r="24" spans="1:27" x14ac:dyDescent="0.35">
      <c r="A24" s="14" t="s">
        <v>17</v>
      </c>
      <c r="B24"/>
      <c r="C24" s="13"/>
      <c r="D24" s="49">
        <v>67000</v>
      </c>
      <c r="E24" s="50">
        <v>68000</v>
      </c>
      <c r="F24" s="50">
        <v>76000</v>
      </c>
      <c r="G24" s="50">
        <v>77000</v>
      </c>
      <c r="H24" s="50">
        <v>32000</v>
      </c>
      <c r="I24" s="50">
        <v>39000</v>
      </c>
      <c r="J24" s="50">
        <v>50000</v>
      </c>
      <c r="K24" s="50">
        <v>43000</v>
      </c>
      <c r="L24" s="10">
        <v>18000</v>
      </c>
      <c r="M24" s="10">
        <v>70000</v>
      </c>
      <c r="N24" s="10">
        <v>72000</v>
      </c>
      <c r="O24" s="11"/>
    </row>
    <row r="25" spans="1:27" x14ac:dyDescent="0.35">
      <c r="D25" s="12"/>
      <c r="E25" s="12"/>
      <c r="F25" s="12"/>
      <c r="G25" s="12"/>
      <c r="H25" s="12"/>
      <c r="I25" s="12"/>
      <c r="J25" s="12"/>
      <c r="K25" s="12"/>
      <c r="L25"/>
      <c r="M25"/>
      <c r="N25"/>
      <c r="O25"/>
    </row>
    <row r="26" spans="1:27" x14ac:dyDescent="0.35">
      <c r="D26" s="12"/>
      <c r="E26" s="12"/>
      <c r="F26" s="12"/>
      <c r="G26" s="12"/>
      <c r="H26" s="12"/>
      <c r="I26" s="12"/>
      <c r="J26" s="12"/>
      <c r="K26" s="12"/>
      <c r="L26"/>
      <c r="M26"/>
      <c r="N26"/>
      <c r="O26"/>
    </row>
    <row r="27" spans="1:27" ht="29" x14ac:dyDescent="0.35">
      <c r="A27" s="1" t="s">
        <v>0</v>
      </c>
      <c r="B27" s="1" t="s">
        <v>1</v>
      </c>
      <c r="C27" s="1" t="s">
        <v>2</v>
      </c>
      <c r="D27" s="42" t="s">
        <v>3</v>
      </c>
      <c r="E27" s="42" t="s">
        <v>4</v>
      </c>
      <c r="F27" s="42" t="s">
        <v>5</v>
      </c>
      <c r="G27" s="42" t="s">
        <v>6</v>
      </c>
      <c r="H27" s="42" t="s">
        <v>7</v>
      </c>
      <c r="I27" s="42" t="s">
        <v>8</v>
      </c>
      <c r="J27" s="42" t="s">
        <v>9</v>
      </c>
      <c r="K27" s="42" t="s">
        <v>10</v>
      </c>
      <c r="L27" s="43" t="s">
        <v>14</v>
      </c>
      <c r="M27" s="43" t="s">
        <v>15</v>
      </c>
      <c r="N27" s="43" t="s">
        <v>16</v>
      </c>
      <c r="O27" s="47" t="s">
        <v>18</v>
      </c>
      <c r="Q27" t="s">
        <v>20</v>
      </c>
      <c r="R27" t="s">
        <v>21</v>
      </c>
      <c r="S27" t="s">
        <v>22</v>
      </c>
      <c r="T27" t="s">
        <v>23</v>
      </c>
      <c r="U27" t="s">
        <v>34</v>
      </c>
      <c r="V27" t="s">
        <v>24</v>
      </c>
      <c r="W27" t="s">
        <v>35</v>
      </c>
      <c r="X27" t="s">
        <v>36</v>
      </c>
      <c r="Y27" t="s">
        <v>25</v>
      </c>
      <c r="Z27" t="s">
        <v>37</v>
      </c>
      <c r="AA27" t="s">
        <v>38</v>
      </c>
    </row>
    <row r="28" spans="1:27" x14ac:dyDescent="0.35">
      <c r="A28" s="7"/>
      <c r="B28" s="4">
        <f>WEEKNUM(A28)</f>
        <v>0</v>
      </c>
      <c r="C28" s="7" t="str">
        <f>TEXT(A28,"mmmm")</f>
        <v>January</v>
      </c>
      <c r="D28" s="4"/>
      <c r="E28" s="4"/>
      <c r="F28" s="4"/>
      <c r="G28" s="4"/>
      <c r="H28" s="4"/>
      <c r="I28" s="4"/>
      <c r="J28" s="4"/>
      <c r="K28" s="4"/>
      <c r="L28" s="4"/>
      <c r="M28" s="4"/>
      <c r="N28" s="4"/>
      <c r="O28" s="2">
        <f>SUM(D28:N28)</f>
        <v>0</v>
      </c>
      <c r="Q28" s="70"/>
      <c r="R28" s="70"/>
      <c r="S28" s="70"/>
      <c r="T28" s="70"/>
      <c r="U28" s="70"/>
      <c r="V28" s="70"/>
      <c r="W28" s="70"/>
      <c r="X28" s="70"/>
      <c r="Y28" s="70"/>
      <c r="Z28" s="70"/>
      <c r="AA28" s="70"/>
    </row>
    <row r="29" spans="1:27" x14ac:dyDescent="0.35">
      <c r="A29" s="7"/>
      <c r="B29" s="4">
        <f t="shared" ref="B29:B55" si="3">WEEKNUM(A29)</f>
        <v>0</v>
      </c>
      <c r="C29" s="7" t="str">
        <f t="shared" ref="C29:C55" si="4">TEXT(A29,"mmmm")</f>
        <v>January</v>
      </c>
      <c r="D29" s="4"/>
      <c r="E29" s="4"/>
      <c r="F29" s="4"/>
      <c r="G29" s="4"/>
      <c r="H29" s="4"/>
      <c r="I29" s="4"/>
      <c r="J29" s="4"/>
      <c r="K29" s="4"/>
      <c r="L29" s="4"/>
      <c r="M29" s="4"/>
      <c r="N29" s="4"/>
      <c r="O29" s="2">
        <f t="shared" ref="O29:O56" si="5">SUM(D29:N29)</f>
        <v>0</v>
      </c>
    </row>
    <row r="30" spans="1:27" x14ac:dyDescent="0.35">
      <c r="A30" s="7"/>
      <c r="B30" s="4">
        <f t="shared" si="3"/>
        <v>0</v>
      </c>
      <c r="C30" s="7" t="str">
        <f t="shared" si="4"/>
        <v>January</v>
      </c>
      <c r="D30" s="4"/>
      <c r="E30" s="4"/>
      <c r="F30" s="4"/>
      <c r="G30" s="4"/>
      <c r="H30" s="4"/>
      <c r="I30" s="4"/>
      <c r="J30" s="4"/>
      <c r="K30" s="4"/>
      <c r="L30" s="4"/>
      <c r="M30" s="4"/>
      <c r="N30" s="4"/>
      <c r="O30" s="2">
        <f t="shared" si="5"/>
        <v>0</v>
      </c>
    </row>
    <row r="31" spans="1:27" x14ac:dyDescent="0.35">
      <c r="A31" s="7"/>
      <c r="B31" s="4">
        <f t="shared" si="3"/>
        <v>0</v>
      </c>
      <c r="C31" s="7" t="str">
        <f t="shared" si="4"/>
        <v>January</v>
      </c>
      <c r="D31" s="4"/>
      <c r="E31" s="4"/>
      <c r="F31" s="4"/>
      <c r="G31" s="4"/>
      <c r="H31" s="4"/>
      <c r="I31" s="4"/>
      <c r="J31" s="4"/>
      <c r="K31" s="4"/>
      <c r="L31" s="4"/>
      <c r="M31" s="4"/>
      <c r="N31" s="4"/>
      <c r="O31" s="2">
        <f t="shared" si="5"/>
        <v>0</v>
      </c>
    </row>
    <row r="32" spans="1:27" x14ac:dyDescent="0.35">
      <c r="A32" s="7"/>
      <c r="B32" s="4">
        <f t="shared" si="3"/>
        <v>0</v>
      </c>
      <c r="C32" s="7" t="str">
        <f t="shared" si="4"/>
        <v>January</v>
      </c>
      <c r="D32" s="4"/>
      <c r="E32" s="4"/>
      <c r="F32" s="4"/>
      <c r="G32" s="4"/>
      <c r="H32" s="4"/>
      <c r="I32" s="4"/>
      <c r="J32" s="4"/>
      <c r="K32" s="4"/>
      <c r="L32" s="4"/>
      <c r="M32" s="4"/>
      <c r="N32" s="4"/>
      <c r="O32" s="2">
        <f t="shared" si="5"/>
        <v>0</v>
      </c>
    </row>
    <row r="33" spans="1:15" x14ac:dyDescent="0.35">
      <c r="A33" s="7"/>
      <c r="B33" s="4">
        <f t="shared" si="3"/>
        <v>0</v>
      </c>
      <c r="C33" s="7" t="str">
        <f t="shared" si="4"/>
        <v>January</v>
      </c>
      <c r="D33" s="4"/>
      <c r="E33" s="4"/>
      <c r="F33" s="4"/>
      <c r="G33" s="4"/>
      <c r="H33" s="4"/>
      <c r="I33" s="4"/>
      <c r="J33" s="4"/>
      <c r="K33" s="4"/>
      <c r="L33" s="4"/>
      <c r="M33" s="4"/>
      <c r="N33" s="4"/>
      <c r="O33" s="2">
        <f t="shared" si="5"/>
        <v>0</v>
      </c>
    </row>
    <row r="34" spans="1:15" x14ac:dyDescent="0.35">
      <c r="A34" s="7"/>
      <c r="B34" s="4">
        <f t="shared" si="3"/>
        <v>0</v>
      </c>
      <c r="C34" s="7" t="str">
        <f t="shared" si="4"/>
        <v>January</v>
      </c>
      <c r="D34" s="4"/>
      <c r="E34" s="4"/>
      <c r="F34" s="4"/>
      <c r="G34" s="4"/>
      <c r="H34" s="4"/>
      <c r="I34" s="4"/>
      <c r="J34" s="4"/>
      <c r="K34" s="4"/>
      <c r="L34" s="4"/>
      <c r="M34" s="4"/>
      <c r="N34" s="4"/>
      <c r="O34" s="2">
        <f t="shared" si="5"/>
        <v>0</v>
      </c>
    </row>
    <row r="35" spans="1:15" x14ac:dyDescent="0.35">
      <c r="A35" s="7"/>
      <c r="B35" s="4">
        <f t="shared" si="3"/>
        <v>0</v>
      </c>
      <c r="C35" s="7" t="str">
        <f t="shared" si="4"/>
        <v>January</v>
      </c>
      <c r="D35" s="4"/>
      <c r="E35" s="4"/>
      <c r="F35" s="4"/>
      <c r="G35" s="4"/>
      <c r="H35" s="4"/>
      <c r="I35" s="4"/>
      <c r="J35" s="4"/>
      <c r="K35" s="4"/>
      <c r="L35" s="4"/>
      <c r="M35" s="4"/>
      <c r="N35" s="4"/>
      <c r="O35" s="2">
        <f t="shared" si="5"/>
        <v>0</v>
      </c>
    </row>
    <row r="36" spans="1:15" x14ac:dyDescent="0.35">
      <c r="A36" s="7"/>
      <c r="B36" s="4">
        <f t="shared" ref="B36:B47" si="6">WEEKNUM(A36)</f>
        <v>0</v>
      </c>
      <c r="C36" s="7" t="str">
        <f t="shared" ref="C36:C47" si="7">TEXT(A36,"mmmm")</f>
        <v>January</v>
      </c>
      <c r="D36" s="55"/>
      <c r="E36" s="55"/>
      <c r="F36" s="55"/>
      <c r="G36" s="55"/>
      <c r="H36" s="55"/>
      <c r="I36" s="55"/>
      <c r="J36" s="55"/>
      <c r="K36" s="55"/>
      <c r="L36" s="4"/>
      <c r="M36" s="4"/>
      <c r="N36" s="4"/>
      <c r="O36" s="2">
        <f t="shared" si="5"/>
        <v>0</v>
      </c>
    </row>
    <row r="37" spans="1:15" x14ac:dyDescent="0.35">
      <c r="A37" s="7"/>
      <c r="B37" s="4">
        <f t="shared" si="6"/>
        <v>0</v>
      </c>
      <c r="C37" s="7" t="str">
        <f t="shared" si="7"/>
        <v>January</v>
      </c>
      <c r="D37" s="55"/>
      <c r="E37" s="55"/>
      <c r="F37" s="55"/>
      <c r="G37" s="55"/>
      <c r="H37" s="55"/>
      <c r="I37" s="55"/>
      <c r="J37" s="55"/>
      <c r="K37" s="55"/>
      <c r="L37" s="4"/>
      <c r="M37" s="4"/>
      <c r="N37" s="4"/>
      <c r="O37" s="2">
        <f t="shared" si="5"/>
        <v>0</v>
      </c>
    </row>
    <row r="38" spans="1:15" x14ac:dyDescent="0.35">
      <c r="A38" s="7"/>
      <c r="B38" s="4">
        <f t="shared" si="6"/>
        <v>0</v>
      </c>
      <c r="C38" s="7" t="str">
        <f t="shared" si="7"/>
        <v>January</v>
      </c>
      <c r="D38" s="55"/>
      <c r="E38" s="55"/>
      <c r="F38" s="55"/>
      <c r="G38" s="55"/>
      <c r="H38" s="55"/>
      <c r="I38" s="55"/>
      <c r="J38" s="55"/>
      <c r="K38" s="55"/>
      <c r="L38" s="4"/>
      <c r="M38" s="4"/>
      <c r="N38" s="4"/>
      <c r="O38" s="2">
        <f t="shared" si="5"/>
        <v>0</v>
      </c>
    </row>
    <row r="39" spans="1:15" x14ac:dyDescent="0.35">
      <c r="A39" s="7"/>
      <c r="B39" s="4">
        <f t="shared" si="6"/>
        <v>0</v>
      </c>
      <c r="C39" s="7" t="str">
        <f t="shared" si="7"/>
        <v>January</v>
      </c>
      <c r="D39" s="55"/>
      <c r="E39" s="55"/>
      <c r="F39" s="55"/>
      <c r="G39" s="55"/>
      <c r="H39" s="55"/>
      <c r="I39" s="55"/>
      <c r="J39" s="55"/>
      <c r="K39" s="55"/>
      <c r="L39" s="4"/>
      <c r="M39" s="4"/>
      <c r="N39" s="4"/>
      <c r="O39" s="2">
        <f t="shared" si="5"/>
        <v>0</v>
      </c>
    </row>
    <row r="40" spans="1:15" x14ac:dyDescent="0.35">
      <c r="A40" s="7"/>
      <c r="B40" s="4">
        <f t="shared" si="6"/>
        <v>0</v>
      </c>
      <c r="C40" s="7" t="str">
        <f t="shared" si="7"/>
        <v>January</v>
      </c>
      <c r="D40" s="55"/>
      <c r="E40" s="55"/>
      <c r="F40" s="55"/>
      <c r="G40" s="55"/>
      <c r="H40" s="55"/>
      <c r="I40" s="55"/>
      <c r="J40" s="55"/>
      <c r="K40" s="55"/>
      <c r="L40" s="4"/>
      <c r="M40" s="4"/>
      <c r="N40" s="4"/>
      <c r="O40" s="2">
        <f t="shared" si="5"/>
        <v>0</v>
      </c>
    </row>
    <row r="41" spans="1:15" x14ac:dyDescent="0.35">
      <c r="A41" s="7"/>
      <c r="B41" s="4">
        <f t="shared" si="6"/>
        <v>0</v>
      </c>
      <c r="C41" s="7" t="str">
        <f t="shared" si="7"/>
        <v>January</v>
      </c>
      <c r="D41" s="55"/>
      <c r="E41" s="55"/>
      <c r="F41" s="55"/>
      <c r="G41" s="55"/>
      <c r="H41" s="55"/>
      <c r="I41" s="55"/>
      <c r="J41" s="55"/>
      <c r="K41" s="55"/>
      <c r="L41" s="4"/>
      <c r="M41" s="4"/>
      <c r="N41" s="4"/>
      <c r="O41" s="2">
        <f t="shared" si="5"/>
        <v>0</v>
      </c>
    </row>
    <row r="42" spans="1:15" x14ac:dyDescent="0.35">
      <c r="A42" s="7"/>
      <c r="B42" s="4">
        <f t="shared" si="6"/>
        <v>0</v>
      </c>
      <c r="C42" s="7" t="str">
        <f t="shared" si="7"/>
        <v>January</v>
      </c>
      <c r="D42" s="55"/>
      <c r="E42" s="55"/>
      <c r="F42" s="55"/>
      <c r="G42" s="55"/>
      <c r="H42" s="55"/>
      <c r="I42" s="55"/>
      <c r="J42" s="55"/>
      <c r="K42" s="55"/>
      <c r="L42" s="4"/>
      <c r="M42" s="4"/>
      <c r="N42" s="4"/>
      <c r="O42" s="2">
        <f t="shared" si="5"/>
        <v>0</v>
      </c>
    </row>
    <row r="43" spans="1:15" x14ac:dyDescent="0.35">
      <c r="A43" s="7"/>
      <c r="B43" s="4">
        <f t="shared" si="6"/>
        <v>0</v>
      </c>
      <c r="C43" s="7" t="str">
        <f t="shared" si="7"/>
        <v>January</v>
      </c>
      <c r="D43" s="4"/>
      <c r="E43" s="4"/>
      <c r="F43" s="4"/>
      <c r="G43" s="4"/>
      <c r="H43" s="4"/>
      <c r="I43" s="4"/>
      <c r="J43" s="4"/>
      <c r="K43" s="4"/>
      <c r="L43" s="4"/>
      <c r="M43" s="4"/>
      <c r="N43" s="4"/>
      <c r="O43" s="2">
        <f t="shared" si="5"/>
        <v>0</v>
      </c>
    </row>
    <row r="44" spans="1:15" x14ac:dyDescent="0.35">
      <c r="A44" s="7"/>
      <c r="B44" s="4">
        <f t="shared" si="6"/>
        <v>0</v>
      </c>
      <c r="C44" s="7" t="str">
        <f t="shared" si="7"/>
        <v>January</v>
      </c>
      <c r="D44" s="4"/>
      <c r="E44" s="4"/>
      <c r="F44" s="4"/>
      <c r="G44" s="4"/>
      <c r="H44" s="4"/>
      <c r="I44" s="4"/>
      <c r="J44" s="4"/>
      <c r="K44" s="4"/>
      <c r="L44" s="4"/>
      <c r="M44" s="4"/>
      <c r="N44" s="4"/>
      <c r="O44" s="2">
        <f t="shared" si="5"/>
        <v>0</v>
      </c>
    </row>
    <row r="45" spans="1:15" x14ac:dyDescent="0.35">
      <c r="A45" s="7"/>
      <c r="B45" s="4">
        <f t="shared" si="6"/>
        <v>0</v>
      </c>
      <c r="C45" s="7" t="str">
        <f t="shared" si="7"/>
        <v>January</v>
      </c>
      <c r="D45" s="4"/>
      <c r="E45" s="4"/>
      <c r="F45" s="4"/>
      <c r="G45" s="4"/>
      <c r="H45" s="4"/>
      <c r="I45" s="4"/>
      <c r="J45" s="4"/>
      <c r="K45" s="4"/>
      <c r="L45" s="4"/>
      <c r="M45" s="4"/>
      <c r="N45" s="4"/>
      <c r="O45" s="2">
        <f t="shared" si="5"/>
        <v>0</v>
      </c>
    </row>
    <row r="46" spans="1:15" x14ac:dyDescent="0.35">
      <c r="A46" s="7"/>
      <c r="B46" s="4">
        <f t="shared" si="6"/>
        <v>0</v>
      </c>
      <c r="C46" s="7" t="str">
        <f t="shared" si="7"/>
        <v>January</v>
      </c>
      <c r="D46" s="4"/>
      <c r="E46" s="4"/>
      <c r="F46" s="4"/>
      <c r="G46" s="4"/>
      <c r="H46" s="4"/>
      <c r="I46" s="4"/>
      <c r="J46" s="4"/>
      <c r="K46" s="4"/>
      <c r="L46" s="4"/>
      <c r="M46" s="4"/>
      <c r="N46" s="4"/>
      <c r="O46" s="2">
        <f t="shared" si="5"/>
        <v>0</v>
      </c>
    </row>
    <row r="47" spans="1:15" x14ac:dyDescent="0.35">
      <c r="A47" s="7"/>
      <c r="B47" s="4">
        <f t="shared" si="6"/>
        <v>0</v>
      </c>
      <c r="C47" s="7" t="str">
        <f t="shared" si="7"/>
        <v>January</v>
      </c>
      <c r="D47" s="4"/>
      <c r="E47" s="4"/>
      <c r="F47" s="4"/>
      <c r="G47" s="4"/>
      <c r="H47" s="4"/>
      <c r="I47" s="4"/>
      <c r="J47" s="4"/>
      <c r="K47" s="4"/>
      <c r="L47" s="4"/>
      <c r="M47" s="4"/>
      <c r="N47" s="4"/>
      <c r="O47" s="2">
        <f t="shared" si="5"/>
        <v>0</v>
      </c>
    </row>
    <row r="48" spans="1:15" x14ac:dyDescent="0.35">
      <c r="A48" s="7"/>
      <c r="B48" s="4">
        <f t="shared" ref="B48:B50" si="8">WEEKNUM(A48)</f>
        <v>0</v>
      </c>
      <c r="C48" s="7" t="str">
        <f t="shared" ref="C48:C50" si="9">TEXT(A48,"mmmm")</f>
        <v>January</v>
      </c>
      <c r="D48" s="4"/>
      <c r="E48" s="4"/>
      <c r="F48" s="4"/>
      <c r="G48" s="4"/>
      <c r="H48" s="4"/>
      <c r="I48" s="4"/>
      <c r="J48" s="4"/>
      <c r="K48" s="4"/>
      <c r="L48" s="4"/>
      <c r="M48" s="4"/>
      <c r="N48" s="4"/>
      <c r="O48" s="2">
        <f t="shared" si="5"/>
        <v>0</v>
      </c>
    </row>
    <row r="49" spans="1:15" x14ac:dyDescent="0.35">
      <c r="A49" s="7"/>
      <c r="B49" s="4">
        <f t="shared" si="8"/>
        <v>0</v>
      </c>
      <c r="C49" s="7" t="str">
        <f t="shared" si="9"/>
        <v>January</v>
      </c>
      <c r="D49" s="4"/>
      <c r="E49" s="4"/>
      <c r="F49" s="4"/>
      <c r="G49" s="4"/>
      <c r="H49" s="4"/>
      <c r="I49" s="4"/>
      <c r="J49" s="4"/>
      <c r="K49" s="4"/>
      <c r="L49" s="4"/>
      <c r="M49" s="4"/>
      <c r="N49" s="4"/>
      <c r="O49" s="2">
        <f t="shared" si="5"/>
        <v>0</v>
      </c>
    </row>
    <row r="50" spans="1:15" x14ac:dyDescent="0.35">
      <c r="A50" s="7"/>
      <c r="B50" s="4">
        <f t="shared" si="8"/>
        <v>0</v>
      </c>
      <c r="C50" s="7" t="str">
        <f t="shared" si="9"/>
        <v>January</v>
      </c>
      <c r="D50" s="4"/>
      <c r="E50" s="4"/>
      <c r="F50" s="4"/>
      <c r="G50" s="4"/>
      <c r="H50" s="4"/>
      <c r="I50" s="4"/>
      <c r="J50" s="4"/>
      <c r="K50" s="4"/>
      <c r="L50" s="4"/>
      <c r="M50" s="4"/>
      <c r="N50" s="4"/>
      <c r="O50" s="2">
        <f t="shared" si="5"/>
        <v>0</v>
      </c>
    </row>
    <row r="51" spans="1:15" x14ac:dyDescent="0.35">
      <c r="A51" s="7"/>
      <c r="B51" s="4">
        <f t="shared" si="3"/>
        <v>0</v>
      </c>
      <c r="C51" s="7" t="str">
        <f t="shared" si="4"/>
        <v>January</v>
      </c>
      <c r="D51" s="4"/>
      <c r="E51" s="4"/>
      <c r="F51" s="4"/>
      <c r="G51" s="4"/>
      <c r="H51" s="4"/>
      <c r="I51" s="4"/>
      <c r="J51" s="4"/>
      <c r="K51" s="4"/>
      <c r="L51" s="4"/>
      <c r="M51" s="4"/>
      <c r="N51" s="4"/>
      <c r="O51" s="2">
        <f t="shared" si="5"/>
        <v>0</v>
      </c>
    </row>
    <row r="52" spans="1:15" x14ac:dyDescent="0.35">
      <c r="A52" s="4"/>
      <c r="B52" s="4">
        <f t="shared" si="3"/>
        <v>0</v>
      </c>
      <c r="C52" s="7" t="str">
        <f t="shared" si="4"/>
        <v>January</v>
      </c>
      <c r="D52" s="4"/>
      <c r="E52" s="4"/>
      <c r="F52" s="4"/>
      <c r="G52" s="4"/>
      <c r="H52" s="4"/>
      <c r="I52" s="4"/>
      <c r="J52" s="4"/>
      <c r="K52" s="4"/>
      <c r="L52" s="4"/>
      <c r="M52" s="4"/>
      <c r="N52" s="4"/>
      <c r="O52" s="2">
        <f t="shared" si="5"/>
        <v>0</v>
      </c>
    </row>
    <row r="53" spans="1:15" x14ac:dyDescent="0.35">
      <c r="A53" s="4"/>
      <c r="B53" s="4">
        <f t="shared" si="3"/>
        <v>0</v>
      </c>
      <c r="C53" s="7" t="str">
        <f t="shared" si="4"/>
        <v>January</v>
      </c>
      <c r="D53" s="4"/>
      <c r="E53" s="4"/>
      <c r="F53" s="4"/>
      <c r="G53" s="4"/>
      <c r="H53" s="4"/>
      <c r="I53" s="4"/>
      <c r="J53" s="4"/>
      <c r="K53" s="4"/>
      <c r="L53" s="4"/>
      <c r="M53" s="4"/>
      <c r="N53" s="4"/>
      <c r="O53" s="2">
        <f t="shared" si="5"/>
        <v>0</v>
      </c>
    </row>
    <row r="54" spans="1:15" x14ac:dyDescent="0.35">
      <c r="A54" s="4"/>
      <c r="B54" s="4">
        <f t="shared" si="3"/>
        <v>0</v>
      </c>
      <c r="C54" s="7" t="str">
        <f t="shared" si="4"/>
        <v>January</v>
      </c>
      <c r="D54" s="4"/>
      <c r="E54" s="4"/>
      <c r="F54" s="4"/>
      <c r="G54" s="4"/>
      <c r="H54" s="4"/>
      <c r="I54" s="4"/>
      <c r="J54" s="4"/>
      <c r="K54" s="4"/>
      <c r="L54" s="4"/>
      <c r="M54" s="4"/>
      <c r="N54" s="4"/>
      <c r="O54" s="2">
        <f t="shared" si="5"/>
        <v>0</v>
      </c>
    </row>
    <row r="55" spans="1:15" x14ac:dyDescent="0.35">
      <c r="A55" s="4"/>
      <c r="B55" s="4">
        <f t="shared" si="3"/>
        <v>0</v>
      </c>
      <c r="C55" s="7" t="str">
        <f t="shared" si="4"/>
        <v>January</v>
      </c>
      <c r="D55" s="4"/>
      <c r="E55" s="4"/>
      <c r="F55" s="4"/>
      <c r="G55" s="4"/>
      <c r="H55" s="4"/>
      <c r="I55" s="4"/>
      <c r="J55" s="4"/>
      <c r="K55" s="4"/>
      <c r="L55" s="4"/>
      <c r="M55" s="4"/>
      <c r="N55" s="4"/>
      <c r="O55" s="2">
        <f t="shared" si="5"/>
        <v>0</v>
      </c>
    </row>
    <row r="56" spans="1:15" x14ac:dyDescent="0.35">
      <c r="A56" s="4"/>
      <c r="B56" s="4"/>
      <c r="C56" s="4"/>
      <c r="D56" s="4"/>
      <c r="E56" s="4"/>
      <c r="F56" s="4"/>
      <c r="G56" s="4"/>
      <c r="H56" s="4"/>
      <c r="I56" s="4"/>
      <c r="J56" s="4"/>
      <c r="K56" s="4"/>
      <c r="L56" s="4"/>
      <c r="M56" s="4"/>
      <c r="N56" s="4"/>
      <c r="O56" s="2">
        <f t="shared" si="5"/>
        <v>0</v>
      </c>
    </row>
    <row r="60" spans="1:15" ht="15" thickBot="1" x14ac:dyDescent="0.4">
      <c r="F60"/>
      <c r="G60"/>
      <c r="H60"/>
      <c r="I60"/>
      <c r="J60"/>
      <c r="K60"/>
      <c r="L60"/>
      <c r="M60"/>
      <c r="N60"/>
      <c r="O60"/>
    </row>
    <row r="61" spans="1:15" x14ac:dyDescent="0.35">
      <c r="F61"/>
      <c r="G61" s="23" t="s">
        <v>26</v>
      </c>
      <c r="H61" s="24" t="s">
        <v>27</v>
      </c>
      <c r="I61" s="25">
        <v>45977</v>
      </c>
      <c r="J61" s="26" t="s">
        <v>28</v>
      </c>
      <c r="K61" s="27">
        <v>45983</v>
      </c>
      <c r="L61" s="24"/>
      <c r="M61" s="28"/>
      <c r="N61"/>
      <c r="O61"/>
    </row>
    <row r="62" spans="1:15" x14ac:dyDescent="0.35">
      <c r="F62"/>
      <c r="G62" s="29" t="s">
        <v>11</v>
      </c>
      <c r="H62" s="68" t="str">
        <f>D1</f>
        <v>REZA</v>
      </c>
      <c r="I62" s="68"/>
      <c r="J62" s="30"/>
      <c r="K62" s="30"/>
      <c r="L62" s="30"/>
      <c r="M62" s="31"/>
      <c r="N62"/>
      <c r="O62"/>
    </row>
    <row r="63" spans="1:15" x14ac:dyDescent="0.35">
      <c r="F63"/>
      <c r="G63" s="29" t="s">
        <v>29</v>
      </c>
      <c r="H63" s="30"/>
      <c r="I63" s="30"/>
      <c r="J63" s="30"/>
      <c r="K63" s="30"/>
      <c r="L63" s="30"/>
      <c r="M63" s="31"/>
      <c r="N63"/>
      <c r="O63"/>
    </row>
    <row r="64" spans="1:15" x14ac:dyDescent="0.35">
      <c r="F64"/>
      <c r="G64" s="32" t="str">
        <f>IF(I64=0,"","Gotik Duyung")</f>
        <v/>
      </c>
      <c r="H64" s="30" t="s">
        <v>27</v>
      </c>
      <c r="I64" s="40">
        <f>$Q$28</f>
        <v>0</v>
      </c>
      <c r="J64" s="30" t="s">
        <v>30</v>
      </c>
      <c r="K64" s="41" t="s">
        <v>47</v>
      </c>
      <c r="L64" s="30" t="s">
        <v>31</v>
      </c>
      <c r="M64" s="33" t="str">
        <f>IFERROR(I64*K64,"")</f>
        <v/>
      </c>
      <c r="N64"/>
      <c r="O64"/>
    </row>
    <row r="65" spans="6:15" x14ac:dyDescent="0.35">
      <c r="F65"/>
      <c r="G65" s="32" t="str">
        <f>IF(I65=0,"","Gotik Plisket")</f>
        <v/>
      </c>
      <c r="H65" s="30" t="s">
        <v>27</v>
      </c>
      <c r="I65" s="40">
        <f>$R$28</f>
        <v>0</v>
      </c>
      <c r="J65" s="30" t="s">
        <v>30</v>
      </c>
      <c r="K65" s="41" t="str">
        <f>IF(I65=0,"","68000")</f>
        <v/>
      </c>
      <c r="L65" s="30" t="s">
        <v>31</v>
      </c>
      <c r="M65" s="33" t="str">
        <f>IFERROR(I65*K65,"")</f>
        <v/>
      </c>
      <c r="N65"/>
      <c r="O65"/>
    </row>
    <row r="66" spans="6:15" x14ac:dyDescent="0.35">
      <c r="F66"/>
      <c r="G66" s="32" t="str">
        <f>IF(I66=0,"","Slayer Duyung")</f>
        <v/>
      </c>
      <c r="H66" s="30" t="s">
        <v>27</v>
      </c>
      <c r="I66" s="40">
        <f>S28</f>
        <v>0</v>
      </c>
      <c r="J66" s="30" t="s">
        <v>30</v>
      </c>
      <c r="K66" s="41" t="str">
        <f>IF(I66=0,"","76000")</f>
        <v/>
      </c>
      <c r="L66" s="30" t="s">
        <v>31</v>
      </c>
      <c r="M66" s="33" t="str">
        <f>IFERROR(I66*K66,"")</f>
        <v/>
      </c>
      <c r="N66"/>
      <c r="O66"/>
    </row>
    <row r="67" spans="6:15" x14ac:dyDescent="0.35">
      <c r="F67"/>
      <c r="G67" s="32" t="str">
        <f>IF(I67=0,"","Slayer Prisket")</f>
        <v/>
      </c>
      <c r="H67" s="30" t="s">
        <v>27</v>
      </c>
      <c r="I67" s="40">
        <f>T28</f>
        <v>0</v>
      </c>
      <c r="J67" s="30" t="s">
        <v>30</v>
      </c>
      <c r="K67" s="41" t="str">
        <f>IF(I67=0,"","77000")</f>
        <v/>
      </c>
      <c r="L67" s="30" t="s">
        <v>31</v>
      </c>
      <c r="M67" s="33" t="str">
        <f>IFERROR(I67*K67,"")</f>
        <v/>
      </c>
      <c r="N67"/>
      <c r="O67"/>
    </row>
    <row r="68" spans="6:15" x14ac:dyDescent="0.35">
      <c r="F68"/>
      <c r="G68" s="32" t="str">
        <f>IF(I68=0,"","Rok Prisket")</f>
        <v/>
      </c>
      <c r="H68" s="30" t="s">
        <v>27</v>
      </c>
      <c r="I68" s="40">
        <f>U28</f>
        <v>0</v>
      </c>
      <c r="J68" s="30" t="s">
        <v>30</v>
      </c>
      <c r="K68" s="41" t="str">
        <f>IF(I68=0,"","32000")</f>
        <v/>
      </c>
      <c r="L68" s="30" t="s">
        <v>31</v>
      </c>
      <c r="M68" s="33" t="str">
        <f t="shared" ref="M68:M70" si="10">IFERROR(I68*K68,"")</f>
        <v/>
      </c>
      <c r="N68"/>
      <c r="O68"/>
    </row>
    <row r="69" spans="6:15" x14ac:dyDescent="0.35">
      <c r="F69"/>
      <c r="G69" s="32" t="str">
        <f>IF(I69=0,"","Atasan Gotik")</f>
        <v/>
      </c>
      <c r="H69" s="30" t="s">
        <v>27</v>
      </c>
      <c r="I69" s="40">
        <f>V28</f>
        <v>0</v>
      </c>
      <c r="J69" s="30" t="s">
        <v>30</v>
      </c>
      <c r="K69" s="41" t="str">
        <f>IF(I69=0,"","39000")</f>
        <v/>
      </c>
      <c r="L69" s="30" t="s">
        <v>31</v>
      </c>
      <c r="M69" s="33" t="str">
        <f t="shared" si="10"/>
        <v/>
      </c>
      <c r="N69"/>
      <c r="O69"/>
    </row>
    <row r="70" spans="6:15" x14ac:dyDescent="0.35">
      <c r="F70"/>
      <c r="G70" s="32" t="str">
        <f>IF(I70=0,"","Atasan Slayer")</f>
        <v/>
      </c>
      <c r="H70" s="30" t="s">
        <v>27</v>
      </c>
      <c r="I70" s="40">
        <f>W28</f>
        <v>0</v>
      </c>
      <c r="J70" s="30" t="s">
        <v>30</v>
      </c>
      <c r="K70" s="41" t="str">
        <f>IF(I70=0,"","50000")</f>
        <v/>
      </c>
      <c r="L70" s="30" t="s">
        <v>31</v>
      </c>
      <c r="M70" s="33" t="str">
        <f t="shared" si="10"/>
        <v/>
      </c>
      <c r="O70"/>
    </row>
    <row r="71" spans="6:15" ht="15" thickBot="1" x14ac:dyDescent="0.4">
      <c r="F71"/>
      <c r="G71" s="32" t="str">
        <f>IF(I71=0,"","Kutubaru")</f>
        <v/>
      </c>
      <c r="H71" s="30" t="s">
        <v>27</v>
      </c>
      <c r="I71" s="40">
        <f>X28</f>
        <v>0</v>
      </c>
      <c r="J71" s="30" t="s">
        <v>30</v>
      </c>
      <c r="K71" s="41" t="str">
        <f>IF(I71=0,"","43000")</f>
        <v/>
      </c>
      <c r="L71" s="30" t="s">
        <v>31</v>
      </c>
      <c r="M71" s="34" t="str">
        <f>IFERROR(I71*K71,"")</f>
        <v/>
      </c>
      <c r="N71"/>
      <c r="O71"/>
    </row>
    <row r="72" spans="6:15" x14ac:dyDescent="0.35">
      <c r="F72"/>
      <c r="G72" s="29" t="s">
        <v>32</v>
      </c>
      <c r="H72" s="30"/>
      <c r="I72" s="30"/>
      <c r="J72" s="30"/>
      <c r="K72" s="30"/>
      <c r="L72" s="30"/>
      <c r="M72" s="35">
        <f>SUM(M64:M71)+I80</f>
        <v>0</v>
      </c>
      <c r="N72"/>
      <c r="O72"/>
    </row>
    <row r="73" spans="6:15" x14ac:dyDescent="0.35">
      <c r="F73"/>
      <c r="G73" s="44" t="str">
        <f>IF(I73=0,"","Plastik Packing")</f>
        <v/>
      </c>
      <c r="H73" s="30" t="s">
        <v>27</v>
      </c>
      <c r="I73" s="40">
        <f>Y28</f>
        <v>0</v>
      </c>
      <c r="J73" s="30" t="s">
        <v>30</v>
      </c>
      <c r="K73" s="41" t="str">
        <f>IF(I73=0,"","18000")</f>
        <v/>
      </c>
      <c r="L73" s="30" t="s">
        <v>31</v>
      </c>
      <c r="M73" s="45" t="str">
        <f>IFERROR(I73*K73,"")</f>
        <v/>
      </c>
      <c r="N73"/>
      <c r="O73"/>
    </row>
    <row r="74" spans="6:15" x14ac:dyDescent="0.35">
      <c r="F74"/>
      <c r="G74" s="44" t="str">
        <f>IF(I74=0,"","Indah")</f>
        <v/>
      </c>
      <c r="H74" s="30" t="s">
        <v>27</v>
      </c>
      <c r="I74" s="40">
        <f>Z28</f>
        <v>0</v>
      </c>
      <c r="J74" s="30" t="s">
        <v>30</v>
      </c>
      <c r="K74" s="41" t="str">
        <f>IF(I74=0,"","70000")</f>
        <v/>
      </c>
      <c r="L74" s="30" t="s">
        <v>31</v>
      </c>
      <c r="M74" s="35" t="str">
        <f>IFERROR(I74*K74,"")</f>
        <v/>
      </c>
      <c r="N74"/>
      <c r="O74"/>
    </row>
    <row r="75" spans="6:15" x14ac:dyDescent="0.35">
      <c r="G75" s="44" t="str">
        <f>IF(I75=0,"","Mayang")</f>
        <v/>
      </c>
      <c r="H75" s="30" t="s">
        <v>27</v>
      </c>
      <c r="I75" s="40">
        <f>AA28</f>
        <v>0</v>
      </c>
      <c r="J75" s="30" t="s">
        <v>30</v>
      </c>
      <c r="K75" s="41" t="str">
        <f>IF(I75=0,"","72000")</f>
        <v/>
      </c>
      <c r="L75" s="30" t="s">
        <v>31</v>
      </c>
      <c r="M75" s="35" t="str">
        <f>IFERROR(I75*K75,"")</f>
        <v/>
      </c>
    </row>
    <row r="76" spans="6:15" ht="16.5" thickBot="1" x14ac:dyDescent="0.55000000000000004">
      <c r="G76" s="36"/>
      <c r="H76" s="37" t="s">
        <v>27</v>
      </c>
      <c r="I76" s="57">
        <v>1</v>
      </c>
      <c r="J76" s="37" t="s">
        <v>30</v>
      </c>
      <c r="K76" s="58"/>
      <c r="L76" s="37" t="s">
        <v>31</v>
      </c>
      <c r="M76" s="46">
        <f>IFERROR(I76*K76,"")</f>
        <v>0</v>
      </c>
    </row>
    <row r="77" spans="6:15" x14ac:dyDescent="0.35">
      <c r="G77" s="29"/>
      <c r="H77" s="30"/>
      <c r="I77" s="30"/>
      <c r="J77" s="30"/>
      <c r="K77" s="30"/>
      <c r="L77" s="30"/>
      <c r="M77" s="35">
        <f>SUM(M73:M76)</f>
        <v>0</v>
      </c>
    </row>
    <row r="78" spans="6:15" ht="14.5" customHeight="1" x14ac:dyDescent="0.35">
      <c r="G78" s="29"/>
      <c r="H78" s="30"/>
      <c r="I78" s="30"/>
      <c r="J78" s="30"/>
      <c r="K78" s="60" t="s">
        <v>33</v>
      </c>
      <c r="L78" s="60"/>
      <c r="M78" s="35"/>
    </row>
    <row r="79" spans="6:15" ht="14.5" customHeight="1" x14ac:dyDescent="0.35">
      <c r="G79" s="29"/>
      <c r="H79" s="30"/>
      <c r="I79" s="30"/>
      <c r="J79" s="30"/>
      <c r="K79" s="60"/>
      <c r="L79" s="60"/>
      <c r="M79" s="61">
        <f>M72+M77</f>
        <v>0</v>
      </c>
      <c r="N79"/>
    </row>
    <row r="80" spans="6:15" x14ac:dyDescent="0.35">
      <c r="G80" s="44"/>
      <c r="H80" s="30"/>
      <c r="I80" s="56"/>
      <c r="J80" s="30"/>
      <c r="K80" s="30"/>
      <c r="L80" s="30"/>
      <c r="M80" s="61"/>
    </row>
    <row r="81" spans="7:13" ht="15" thickBot="1" x14ac:dyDescent="0.4">
      <c r="G81" s="36"/>
      <c r="H81" s="37"/>
      <c r="I81" s="37"/>
      <c r="J81" s="37"/>
      <c r="K81" s="37"/>
      <c r="L81" s="37"/>
      <c r="M81" s="39"/>
    </row>
    <row r="82" spans="7:13" x14ac:dyDescent="0.35">
      <c r="M82"/>
    </row>
  </sheetData>
  <mergeCells count="8">
    <mergeCell ref="K78:L79"/>
    <mergeCell ref="M79:M80"/>
    <mergeCell ref="A1:C2"/>
    <mergeCell ref="D1:D2"/>
    <mergeCell ref="D4:D5"/>
    <mergeCell ref="E4:E5"/>
    <mergeCell ref="B23:C23"/>
    <mergeCell ref="H62:I62"/>
  </mergeCells>
  <pageMargins left="0.7" right="0.7" top="0.75" bottom="0.75" header="0.3" footer="0.3"/>
  <pageSetup paperSize="256" orientation="portrait" horizontalDpi="203" verticalDpi="203"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JOING</vt:lpstr>
      <vt:lpstr>PAJIM</vt:lpstr>
      <vt:lpstr>RAJIL</vt:lpstr>
      <vt:lpstr>RANGGA</vt:lpstr>
      <vt:lpstr>REZA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dfitrian035@gmail.com</dc:creator>
  <cp:lastModifiedBy>deti fitriani</cp:lastModifiedBy>
  <dcterms:created xsi:type="dcterms:W3CDTF">2025-11-04T07:26:16Z</dcterms:created>
  <dcterms:modified xsi:type="dcterms:W3CDTF">2026-05-21T16:48:26Z</dcterms:modified>
</cp:coreProperties>
</file>